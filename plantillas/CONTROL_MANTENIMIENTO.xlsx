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SULTA" sheetId="1" state="visible" r:id="rId3"/>
    <sheet name="FORMATO" sheetId="2" state="visible" r:id="rId4"/>
    <sheet name="REGISTRO" sheetId="3" state="visible" r:id="rId5"/>
    <sheet name="EQUIPOS" sheetId="4" state="visible" r:id="rId6"/>
    <sheet name="MATERIALES" sheetId="5" state="visible" r:id="rId7"/>
    <sheet name="BD_PLAN" sheetId="6" state="visible" r:id="rId8"/>
    <sheet name="BD_INSPECCION" sheetId="7" state="visible" r:id="rId9"/>
    <sheet name="BD_CICLO" sheetId="8" state="visible" r:id="rId10"/>
  </sheets>
  <definedNames>
    <definedName function="false" hidden="false" localSheetId="1" name="_xlnm.Print_Area" vbProcedure="false">FORMATO!$B$2:$J$65</definedName>
    <definedName function="false" hidden="true" localSheetId="2" name="_xlnm._FilterDatabase" vbProcedure="false">REGISTRO!$B$2:$M$2002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<sst xmlns="http://schemas.openxmlformats.org/spreadsheetml/2006/main" count="8699" uniqueCount="2149">
  <si>
    <t xml:space="preserve">CONTROL DE MANTENIMIENTO PREVENTIVO</t>
  </si>
  <si>
    <t xml:space="preserve">EQUIPO</t>
  </si>
  <si>
    <t xml:space="preserve">04101 - VL001- TRIMOTO MAVILA 1 - CAMPO</t>
  </si>
  <si>
    <t xml:space="preserve">CÓDIGO</t>
  </si>
  <si>
    <t xml:space="preserve">CONTROL</t>
  </si>
  <si>
    <t xml:space="preserve">ÚLTIMO MANT.</t>
  </si>
  <si>
    <t xml:space="preserve">PRÓXIMO MANT.</t>
  </si>
  <si>
    <t xml:space="preserve">ÁREA</t>
  </si>
  <si>
    <t xml:space="preserve">INTERVALO</t>
  </si>
  <si>
    <t xml:space="preserve">FECHA ÚLTIMO</t>
  </si>
  <si>
    <t xml:space="preserve">PRÓXIMO A</t>
  </si>
  <si>
    <t xml:space="preserve">CRITICIDAD</t>
  </si>
  <si>
    <t xml:space="preserve">LECTURA ACTUAL</t>
  </si>
  <si>
    <t xml:space="preserve">LECTURA ÚLTIMO</t>
  </si>
  <si>
    <t xml:space="preserve">FALTA</t>
  </si>
  <si>
    <t xml:space="preserve">PLAN</t>
  </si>
  <si>
    <t xml:space="preserve">FECHA LECTURA</t>
  </si>
  <si>
    <t xml:space="preserve">ESTADO</t>
  </si>
  <si>
    <t xml:space="preserve">OBSERVACIONES DE MANTENIMIENTOS ANTERIORES</t>
  </si>
  <si>
    <t xml:space="preserve">FECHA</t>
  </si>
  <si>
    <t xml:space="preserve">MANTENIMIENTO</t>
  </si>
  <si>
    <t xml:space="preserve">OBSERVACIÓN</t>
  </si>
  <si>
    <t xml:space="preserve">PROGRAMA DE MANTENIMIENTO (CAMBIOS)</t>
  </si>
  <si>
    <t xml:space="preserve">PROGRAMA DE INSPECCIÓN</t>
  </si>
  <si>
    <t xml:space="preserve">PROGRAMADO</t>
  </si>
  <si>
    <t xml:space="preserve">ÚLTIMA VEZ REALIZADO</t>
  </si>
  <si>
    <t xml:space="preserve">SISTEMA</t>
  </si>
  <si>
    <t xml:space="preserve">DESCRIPCIÓN</t>
  </si>
  <si>
    <t xml:space="preserve">CANTIDAD</t>
  </si>
  <si>
    <t xml:space="preserve">UNIDAD</t>
  </si>
  <si>
    <t xml:space="preserve">P. UNIT (S/)</t>
  </si>
  <si>
    <t xml:space="preserve">P. TOTAL (S/)</t>
  </si>
  <si>
    <t xml:space="preserve">TOTAL PM (S/)</t>
  </si>
  <si>
    <t xml:space="preserve">ACTIVIDAD</t>
  </si>
  <si>
    <t xml:space="preserve">TAREA</t>
  </si>
  <si>
    <t xml:space="preserve">FORMATO DE MANTENIMIENTO PREVENTIVO</t>
  </si>
  <si>
    <t xml:space="preserve">PM1 - 1000 KM</t>
  </si>
  <si>
    <t xml:space="preserve">PROGRAMADO A</t>
  </si>
  <si>
    <t xml:space="preserve">N° OT</t>
  </si>
  <si>
    <t xml:space="preserve">KM / HORÓMETRO REAL</t>
  </si>
  <si>
    <t xml:space="preserve">TÉCNICO</t>
  </si>
  <si>
    <t xml:space="preserve">HORA INICIO / FIN</t>
  </si>
  <si>
    <t xml:space="preserve">MATERIALES A CAMBIAR</t>
  </si>
  <si>
    <t xml:space="preserve">MATERIAL</t>
  </si>
  <si>
    <t xml:space="preserve">CANT.</t>
  </si>
  <si>
    <t xml:space="preserve">UND.</t>
  </si>
  <si>
    <t xml:space="preserve">CAMBIADO</t>
  </si>
  <si>
    <t xml:space="preserve">CANT. USADA</t>
  </si>
  <si>
    <t xml:space="preserve">CHECK LIST DE INSPECCIÓN</t>
  </si>
  <si>
    <t xml:space="preserve">OK</t>
  </si>
  <si>
    <t xml:space="preserve">NO OK</t>
  </si>
  <si>
    <t xml:space="preserve">CAMBIOS FUERA DEL PLAN / OBSERVACIONES</t>
  </si>
  <si>
    <t xml:space="preserve">FIRMA - TÉCNICO</t>
  </si>
  <si>
    <t xml:space="preserve">FIRMA - SUPERVISOR DE MANTENIMIENTO</t>
  </si>
  <si>
    <t xml:space="preserve">LECTURA (KM / HR)</t>
  </si>
  <si>
    <t xml:space="preserve">MANTENIMIENTO REALIZADO</t>
  </si>
  <si>
    <t xml:space="preserve">COSTO PM (S/)</t>
  </si>
  <si>
    <t xml:space="preserve">CAMBIOS FUERA DEL PLAN</t>
  </si>
  <si>
    <t xml:space="preserve">OBSERVACIONES</t>
  </si>
  <si>
    <t xml:space="preserve">ÚLTIMO MANTENIMIENTO</t>
  </si>
  <si>
    <t xml:space="preserve">PRÓXIMO MANTENIMIENTO</t>
  </si>
  <si>
    <t xml:space="preserve">FILA REG</t>
  </si>
  <si>
    <t xml:space="preserve">ORDEN</t>
  </si>
  <si>
    <t xml:space="preserve">BUSCADOR</t>
  </si>
  <si>
    <t xml:space="preserve">04101</t>
  </si>
  <si>
    <t xml:space="preserve">VL001- TRIMOTO MAVILA 1 - CAMPO</t>
  </si>
  <si>
    <t xml:space="preserve">RIEGO</t>
  </si>
  <si>
    <t xml:space="preserve">BAJO</t>
  </si>
  <si>
    <t xml:space="preserve">TRIMOTO MAVILA CARGO 250</t>
  </si>
  <si>
    <t xml:space="preserve">KM</t>
  </si>
  <si>
    <t xml:space="preserve">04102</t>
  </si>
  <si>
    <t xml:space="preserve">VL002- TRIMOTO MAVILA 2 - CAMPO</t>
  </si>
  <si>
    <t xml:space="preserve">SANIDAD</t>
  </si>
  <si>
    <t xml:space="preserve">04103</t>
  </si>
  <si>
    <t xml:space="preserve">VL003- CUATRIMOTO HONDA TRX 250 N°1 - CAMPO</t>
  </si>
  <si>
    <t xml:space="preserve">CAMPO</t>
  </si>
  <si>
    <t xml:space="preserve">HONDA TRX250</t>
  </si>
  <si>
    <t xml:space="preserve">04104</t>
  </si>
  <si>
    <t xml:space="preserve">VL004- CUATRIMOTO YAMAHA GRIZZLY 350 N°2 - PRODUCCION</t>
  </si>
  <si>
    <t xml:space="preserve">YAMAHA GRIZZLY 350 4X2</t>
  </si>
  <si>
    <t xml:space="preserve">04105</t>
  </si>
  <si>
    <t xml:space="preserve">VL005- CUATRIMOTO HONDA TRX 250 N°3 - CAMPO</t>
  </si>
  <si>
    <t xml:space="preserve">05112</t>
  </si>
  <si>
    <t xml:space="preserve">IC 012- TRACTOR DE FUMIGACIÓN NEW HOLLAND TD90D - CAMPO</t>
  </si>
  <si>
    <t xml:space="preserve">ALTO</t>
  </si>
  <si>
    <t xml:space="preserve">NEW HOLLAND TD90D</t>
  </si>
  <si>
    <t xml:space="preserve">HR</t>
  </si>
  <si>
    <t xml:space="preserve">05701</t>
  </si>
  <si>
    <t xml:space="preserve">MC 001- MEZCLADORA DE CONCRETO - PRODUCCION</t>
  </si>
  <si>
    <t xml:space="preserve">SSGG</t>
  </si>
  <si>
    <t xml:space="preserve">MEZCLADORA CON MOTOR RATO R390</t>
  </si>
  <si>
    <t xml:space="preserve">05702</t>
  </si>
  <si>
    <t xml:space="preserve">MC 002- MOTOR ESTACIONARIO HONDA GX 390 - 1 (SANIDAD) CAMPO</t>
  </si>
  <si>
    <t xml:space="preserve">MOTOR HONDA GX390</t>
  </si>
  <si>
    <t xml:space="preserve">05703</t>
  </si>
  <si>
    <t xml:space="preserve">MC 003- MOTOR ESTACIONARIO HONDA GX 160 - CAMPO</t>
  </si>
  <si>
    <t xml:space="preserve">MOTOR HONDA GX160</t>
  </si>
  <si>
    <t xml:space="preserve">05704</t>
  </si>
  <si>
    <t xml:space="preserve">MC 004- CORTA CESPED RONIX 4805</t>
  </si>
  <si>
    <t xml:space="preserve">DESBROZADORA MULTIFUNCIONAL RONIX 4805</t>
  </si>
  <si>
    <t xml:space="preserve">05705</t>
  </si>
  <si>
    <t xml:space="preserve">MC 005- MOTOR ESTACIONARIO HONDA GX 390 - 2 (SANIDAD) CAMPO</t>
  </si>
  <si>
    <t xml:space="preserve">05706</t>
  </si>
  <si>
    <t xml:space="preserve">MC 006- GENERADOR DE ENERGIA HONDA EG 6500 CXS - PRODUCCION</t>
  </si>
  <si>
    <t xml:space="preserve">MEDIO</t>
  </si>
  <si>
    <t xml:space="preserve">GENERADOR HONDA EG6500CXS</t>
  </si>
  <si>
    <t xml:space="preserve">05708</t>
  </si>
  <si>
    <t xml:space="preserve">MC 008- ATOMIZADORA MASTER 452 X 15 LTS</t>
  </si>
  <si>
    <t xml:space="preserve">ATOMIZADORA MASTER 452</t>
  </si>
  <si>
    <t xml:space="preserve">05709</t>
  </si>
  <si>
    <t xml:space="preserve">MC 009- ATOMIZADORA CIFARELLI M1200 17 LT - N°2</t>
  </si>
  <si>
    <t xml:space="preserve">ATOMIZADORA CIFARELLI M1200</t>
  </si>
  <si>
    <t xml:space="preserve">05801</t>
  </si>
  <si>
    <t xml:space="preserve">ML 001- COMPRESOR DE AIRE 50 LT - PACKING</t>
  </si>
  <si>
    <t xml:space="preserve">COMPRESORA 50 LT</t>
  </si>
  <si>
    <t xml:space="preserve">MESES</t>
  </si>
  <si>
    <t xml:space="preserve">05802</t>
  </si>
  <si>
    <t xml:space="preserve">ML 002- COMPRESOR DE AIRE 227 LT - MTO Y OPER</t>
  </si>
  <si>
    <t xml:space="preserve">COMPRESORA 227 LT</t>
  </si>
  <si>
    <t xml:space="preserve">ACEITE CORONA HIPOIDE SAE 80 GL-4</t>
  </si>
  <si>
    <t xml:space="preserve">L</t>
  </si>
  <si>
    <t xml:space="preserve">ACEITE CORONA HIPOIDE SAE 80W90</t>
  </si>
  <si>
    <t xml:space="preserve">ACEITE DIESEL 15W40 SUPER TD</t>
  </si>
  <si>
    <t xml:space="preserve">GLN</t>
  </si>
  <si>
    <t xml:space="preserve">ACEITE DIFERENCIAL 80W90</t>
  </si>
  <si>
    <t xml:space="preserve">ACEITE DIFERENCIAL 80W90 8T-9582</t>
  </si>
  <si>
    <t xml:space="preserve">ACEITE DIFERENCIAL 80W90 8T-9582 VALTRA</t>
  </si>
  <si>
    <t xml:space="preserve">ACEITE MOTOR 20W50 4T MINERAL</t>
  </si>
  <si>
    <t xml:space="preserve">ACEITE MOTOR SAE 10W30 4T</t>
  </si>
  <si>
    <t xml:space="preserve">ACEITE MOTUL 7100 20W50</t>
  </si>
  <si>
    <t xml:space="preserve">ACEITE PARA COMPRESOR SAE 30</t>
  </si>
  <si>
    <t xml:space="preserve">ACEITE SPIRAX S4 TXM (DONAX TD 10W30)</t>
  </si>
  <si>
    <t xml:space="preserve">ARANDELA TAPÓN DE DRENAJE</t>
  </si>
  <si>
    <t xml:space="preserve">ARANDELA TAPÓN DE DRENAJE 94109-12000</t>
  </si>
  <si>
    <t xml:space="preserve">BUJÍA CIFARELLI M1200</t>
  </si>
  <si>
    <t xml:space="preserve">BUJÍA MASTER 452</t>
  </si>
  <si>
    <t xml:space="preserve">BUJÍA MAVILA CARGO 250</t>
  </si>
  <si>
    <t xml:space="preserve">BUJÍA NGK BPR6ES</t>
  </si>
  <si>
    <t xml:space="preserve">BUJÍA NGK DPR7EA-9</t>
  </si>
  <si>
    <t xml:space="preserve">BUJÍA NGK DR8EA</t>
  </si>
  <si>
    <t xml:space="preserve">BUJÍA RATO R390</t>
  </si>
  <si>
    <t xml:space="preserve">BUJÍA RONIX 4805</t>
  </si>
  <si>
    <t xml:space="preserve">EMPAQUE TAPA DE CÁRTER</t>
  </si>
  <si>
    <t xml:space="preserve">FAJA COMPRESOR 227 LT</t>
  </si>
  <si>
    <t xml:space="preserve">FILTRO ACEITE PER-1</t>
  </si>
  <si>
    <t xml:space="preserve">FILTRO AIRE PRIMARIO 5080445 NEW HOLLAND</t>
  </si>
  <si>
    <t xml:space="preserve">FILTRO AIRE SECUNDARIO 47137832 NEW HOLLAND</t>
  </si>
  <si>
    <t xml:space="preserve">FILTRO COMBUSTIBLE 47135706 NEW HOLLAND</t>
  </si>
  <si>
    <t xml:space="preserve">FILTRO DE ACEITE YAMAHA 5GH-13440-90-00</t>
  </si>
  <si>
    <t xml:space="preserve">FILTRO DE AIRE CIFARELLI M1200</t>
  </si>
  <si>
    <t xml:space="preserve">FILTRO DE AIRE COMPRESOR 227 LT</t>
  </si>
  <si>
    <t xml:space="preserve">FILTRO DE AIRE COMPRESOR 50 LT</t>
  </si>
  <si>
    <t xml:space="preserve">FILTRO DE AIRE GRIZZLY 350</t>
  </si>
  <si>
    <t xml:space="preserve">FILTRO DE AIRE HONDA 17254-HN5-670</t>
  </si>
  <si>
    <t xml:space="preserve">FILTRO DE AIRE HONDA EG6500CXS</t>
  </si>
  <si>
    <t xml:space="preserve">FILTRO DE AIRE HONDA GX160 17210-ZE1-517</t>
  </si>
  <si>
    <t xml:space="preserve">FILTRO DE AIRE HONDA GX390 17210-ZE3-505</t>
  </si>
  <si>
    <t xml:space="preserve">FILTRO DE AIRE MASTER 452</t>
  </si>
  <si>
    <t xml:space="preserve">FILTRO DE AIRE MAVILA CARGO 250</t>
  </si>
  <si>
    <t xml:space="preserve">FILTRO DE AIRE RATO R390</t>
  </si>
  <si>
    <t xml:space="preserve">FILTRO DE AIRE RONIX 4805</t>
  </si>
  <si>
    <t xml:space="preserve">FILTRO DE COMBUSTIBLE (CHUPADOR) CIFARELLI M1200</t>
  </si>
  <si>
    <t xml:space="preserve">FILTRO DE COMBUSTIBLE (CHUPADOR) MASTER 452</t>
  </si>
  <si>
    <t xml:space="preserve">FILTRO DE COMBUSTIBLE (CHUPADOR) RONIX 4805</t>
  </si>
  <si>
    <t xml:space="preserve">FILTRO DE GASOLINA EN LÍNEA</t>
  </si>
  <si>
    <t xml:space="preserve">FILTRO HIDRÁULICO 1909130 NEW HOLLAND</t>
  </si>
  <si>
    <t xml:space="preserve">FILTRO PER 147-B</t>
  </si>
  <si>
    <t xml:space="preserve">GASOLINA 90 OCT</t>
  </si>
  <si>
    <t xml:space="preserve">GL</t>
  </si>
  <si>
    <t xml:space="preserve">GRASA MULTIPROPÓSITO</t>
  </si>
  <si>
    <t xml:space="preserve">LBRS</t>
  </si>
  <si>
    <t xml:space="preserve">GRASA PARA CAJA ANGULAR</t>
  </si>
  <si>
    <t xml:space="preserve">LIMPIA CARBURADOR</t>
  </si>
  <si>
    <t xml:space="preserve">LIMPIA CONTACTO</t>
  </si>
  <si>
    <t xml:space="preserve">LUBRICACIÓN DE PUNTOS DE ENGRASE</t>
  </si>
  <si>
    <t xml:space="preserve">LÍQUIDO DE FRENO</t>
  </si>
  <si>
    <t xml:space="preserve">REFRIGERANTE ANTIFREEZE / SUMMER COOLANT CAM2</t>
  </si>
  <si>
    <t xml:space="preserve">TRAPO INDUSTRIAL</t>
  </si>
  <si>
    <t xml:space="preserve">KG</t>
  </si>
  <si>
    <t xml:space="preserve">MOTOR</t>
  </si>
  <si>
    <t xml:space="preserve">TRIMOTO MAVILA CARGO 250|1</t>
  </si>
  <si>
    <t xml:space="preserve">TRIMOTO MAVILA CARGO 250|PM1 - 1000 KM|1</t>
  </si>
  <si>
    <t xml:space="preserve">TRIMOTO MAVILA CARGO 250|2</t>
  </si>
  <si>
    <t xml:space="preserve">TRIMOTO MAVILA CARGO 250|PM1 - 1000 KM|2</t>
  </si>
  <si>
    <t xml:space="preserve">CHASIS</t>
  </si>
  <si>
    <t xml:space="preserve">TRIMOTO MAVILA CARGO 250|3</t>
  </si>
  <si>
    <t xml:space="preserve">TRIMOTO MAVILA CARGO 250|PM1 - 1000 KM|3</t>
  </si>
  <si>
    <t xml:space="preserve">SERVICIO GENERAL</t>
  </si>
  <si>
    <t xml:space="preserve">TRIMOTO MAVILA CARGO 250|4</t>
  </si>
  <si>
    <t xml:space="preserve">TRIMOTO MAVILA CARGO 250|PM1 - 1000 KM|4</t>
  </si>
  <si>
    <t xml:space="preserve">TRIMOTO MAVILA CARGO 250|5</t>
  </si>
  <si>
    <t xml:space="preserve">TRIMOTO MAVILA CARGO 250|PM1 - 1000 KM|5</t>
  </si>
  <si>
    <t xml:space="preserve">COMBUSTIBLE</t>
  </si>
  <si>
    <t xml:space="preserve">TRIMOTO MAVILA CARGO 250|6</t>
  </si>
  <si>
    <t xml:space="preserve">TRIMOTO MAVILA CARGO 250|PM1 - 1000 KM|6</t>
  </si>
  <si>
    <t xml:space="preserve">PM2 - 2000 KM</t>
  </si>
  <si>
    <t xml:space="preserve">TRIMOTO MAVILA CARGO 250|7</t>
  </si>
  <si>
    <t xml:space="preserve">TRIMOTO MAVILA CARGO 250|PM2 - 2000 KM|1</t>
  </si>
  <si>
    <t xml:space="preserve">TRIMOTO MAVILA CARGO 250|8</t>
  </si>
  <si>
    <t xml:space="preserve">TRIMOTO MAVILA CARGO 250|PM2 - 2000 KM|2</t>
  </si>
  <si>
    <t xml:space="preserve">TRIMOTO MAVILA CARGO 250|9</t>
  </si>
  <si>
    <t xml:space="preserve">TRIMOTO MAVILA CARGO 250|PM2 - 2000 KM|3</t>
  </si>
  <si>
    <t xml:space="preserve">TRIMOTO MAVILA CARGO 250|10</t>
  </si>
  <si>
    <t xml:space="preserve">TRIMOTO MAVILA CARGO 250|PM2 - 2000 KM|4</t>
  </si>
  <si>
    <t xml:space="preserve">TRIMOTO MAVILA CARGO 250|11</t>
  </si>
  <si>
    <t xml:space="preserve">TRIMOTO MAVILA CARGO 250|PM2 - 2000 KM|5</t>
  </si>
  <si>
    <t xml:space="preserve">TRIMOTO MAVILA CARGO 250|12</t>
  </si>
  <si>
    <t xml:space="preserve">TRIMOTO MAVILA CARGO 250|PM2 - 2000 KM|6</t>
  </si>
  <si>
    <t xml:space="preserve">TRIMOTO MAVILA CARGO 250|13</t>
  </si>
  <si>
    <t xml:space="preserve">TRIMOTO MAVILA CARGO 250|PM2 - 2000 KM|7</t>
  </si>
  <si>
    <t xml:space="preserve">PM3 - 3000 KM</t>
  </si>
  <si>
    <t xml:space="preserve">TRIMOTO MAVILA CARGO 250|14</t>
  </si>
  <si>
    <t xml:space="preserve">TRIMOTO MAVILA CARGO 250|PM3 - 3000 KM|1</t>
  </si>
  <si>
    <t xml:space="preserve">TRIMOTO MAVILA CARGO 250|15</t>
  </si>
  <si>
    <t xml:space="preserve">TRIMOTO MAVILA CARGO 250|PM3 - 3000 KM|2</t>
  </si>
  <si>
    <t xml:space="preserve">TRIMOTO MAVILA CARGO 250|16</t>
  </si>
  <si>
    <t xml:space="preserve">TRIMOTO MAVILA CARGO 250|PM3 - 3000 KM|3</t>
  </si>
  <si>
    <t xml:space="preserve">TRIMOTO MAVILA CARGO 250|17</t>
  </si>
  <si>
    <t xml:space="preserve">TRIMOTO MAVILA CARGO 250|PM3 - 3000 KM|4</t>
  </si>
  <si>
    <t xml:space="preserve">TRIMOTO MAVILA CARGO 250|18</t>
  </si>
  <si>
    <t xml:space="preserve">TRIMOTO MAVILA CARGO 250|PM3 - 3000 KM|5</t>
  </si>
  <si>
    <t xml:space="preserve">TRIMOTO MAVILA CARGO 250|19</t>
  </si>
  <si>
    <t xml:space="preserve">TRIMOTO MAVILA CARGO 250|PM3 - 3000 KM|6</t>
  </si>
  <si>
    <t xml:space="preserve">PM4 - 4000 KM</t>
  </si>
  <si>
    <t xml:space="preserve">TRIMOTO MAVILA CARGO 250|20</t>
  </si>
  <si>
    <t xml:space="preserve">TRIMOTO MAVILA CARGO 250|PM4 - 4000 KM|1</t>
  </si>
  <si>
    <t xml:space="preserve">TRIMOTO MAVILA CARGO 250|21</t>
  </si>
  <si>
    <t xml:space="preserve">TRIMOTO MAVILA CARGO 250|PM4 - 4000 KM|2</t>
  </si>
  <si>
    <t xml:space="preserve">TRIMOTO MAVILA CARGO 250|22</t>
  </si>
  <si>
    <t xml:space="preserve">TRIMOTO MAVILA CARGO 250|PM4 - 4000 KM|3</t>
  </si>
  <si>
    <t xml:space="preserve">TRIMOTO MAVILA CARGO 250|23</t>
  </si>
  <si>
    <t xml:space="preserve">TRIMOTO MAVILA CARGO 250|PM4 - 4000 KM|4</t>
  </si>
  <si>
    <t xml:space="preserve">ADMISIÓN DE AIRE</t>
  </si>
  <si>
    <t xml:space="preserve">TRIMOTO MAVILA CARGO 250|24</t>
  </si>
  <si>
    <t xml:space="preserve">TRIMOTO MAVILA CARGO 250|PM4 - 4000 KM|5</t>
  </si>
  <si>
    <t xml:space="preserve">ENCENDIDO</t>
  </si>
  <si>
    <t xml:space="preserve">TRIMOTO MAVILA CARGO 250|25</t>
  </si>
  <si>
    <t xml:space="preserve">TRIMOTO MAVILA CARGO 250|PM4 - 4000 KM|6</t>
  </si>
  <si>
    <t xml:space="preserve">TRIMOTO MAVILA CARGO 250|26</t>
  </si>
  <si>
    <t xml:space="preserve">TRIMOTO MAVILA CARGO 250|PM4 - 4000 KM|7</t>
  </si>
  <si>
    <t xml:space="preserve">TRIMOTO MAVILA CARGO 250|27</t>
  </si>
  <si>
    <t xml:space="preserve">TRIMOTO MAVILA CARGO 250|PM4 - 4000 KM|8</t>
  </si>
  <si>
    <t xml:space="preserve">TRIMOTO MAVILA CARGO 250|28</t>
  </si>
  <si>
    <t xml:space="preserve">TRIMOTO MAVILA CARGO 250|PM4 - 4000 KM|9</t>
  </si>
  <si>
    <t xml:space="preserve">PM5 - 5000 KM</t>
  </si>
  <si>
    <t xml:space="preserve">TRIMOTO MAVILA CARGO 250|29</t>
  </si>
  <si>
    <t xml:space="preserve">TRIMOTO MAVILA CARGO 250|PM5 - 5000 KM|1</t>
  </si>
  <si>
    <t xml:space="preserve">TRIMOTO MAVILA CARGO 250|30</t>
  </si>
  <si>
    <t xml:space="preserve">TRIMOTO MAVILA CARGO 250|PM5 - 5000 KM|2</t>
  </si>
  <si>
    <t xml:space="preserve">TRIMOTO MAVILA CARGO 250|31</t>
  </si>
  <si>
    <t xml:space="preserve">TRIMOTO MAVILA CARGO 250|PM5 - 5000 KM|3</t>
  </si>
  <si>
    <t xml:space="preserve">TRIMOTO MAVILA CARGO 250|32</t>
  </si>
  <si>
    <t xml:space="preserve">TRIMOTO MAVILA CARGO 250|PM5 - 5000 KM|4</t>
  </si>
  <si>
    <t xml:space="preserve">TRIMOTO MAVILA CARGO 250|33</t>
  </si>
  <si>
    <t xml:space="preserve">TRIMOTO MAVILA CARGO 250|PM5 - 5000 KM|5</t>
  </si>
  <si>
    <t xml:space="preserve">TRIMOTO MAVILA CARGO 250|34</t>
  </si>
  <si>
    <t xml:space="preserve">TRIMOTO MAVILA CARGO 250|PM5 - 5000 KM|6</t>
  </si>
  <si>
    <t xml:space="preserve">PM6 - 6000 KM</t>
  </si>
  <si>
    <t xml:space="preserve">TRIMOTO MAVILA CARGO 250|35</t>
  </si>
  <si>
    <t xml:space="preserve">TRIMOTO MAVILA CARGO 250|PM6 - 6000 KM|1</t>
  </si>
  <si>
    <t xml:space="preserve">TRIMOTO MAVILA CARGO 250|36</t>
  </si>
  <si>
    <t xml:space="preserve">TRIMOTO MAVILA CARGO 250|PM6 - 6000 KM|2</t>
  </si>
  <si>
    <t xml:space="preserve">TRIMOTO MAVILA CARGO 250|37</t>
  </si>
  <si>
    <t xml:space="preserve">TRIMOTO MAVILA CARGO 250|PM6 - 6000 KM|3</t>
  </si>
  <si>
    <t xml:space="preserve">TRIMOTO MAVILA CARGO 250|38</t>
  </si>
  <si>
    <t xml:space="preserve">TRIMOTO MAVILA CARGO 250|PM6 - 6000 KM|4</t>
  </si>
  <si>
    <t xml:space="preserve">TRIMOTO MAVILA CARGO 250|39</t>
  </si>
  <si>
    <t xml:space="preserve">TRIMOTO MAVILA CARGO 250|PM6 - 6000 KM|5</t>
  </si>
  <si>
    <t xml:space="preserve">TRIMOTO MAVILA CARGO 250|40</t>
  </si>
  <si>
    <t xml:space="preserve">TRIMOTO MAVILA CARGO 250|PM6 - 6000 KM|6</t>
  </si>
  <si>
    <t xml:space="preserve">DIFERENCIAL</t>
  </si>
  <si>
    <t xml:space="preserve">TRIMOTO MAVILA CARGO 250|41</t>
  </si>
  <si>
    <t xml:space="preserve">TRIMOTO MAVILA CARGO 250|PM6 - 6000 KM|7</t>
  </si>
  <si>
    <t xml:space="preserve">TRIMOTO MAVILA CARGO 250|42</t>
  </si>
  <si>
    <t xml:space="preserve">TRIMOTO MAVILA CARGO 250|PM6 - 6000 KM|8</t>
  </si>
  <si>
    <t xml:space="preserve">TRIMOTO MAVILA CARGO 250|43</t>
  </si>
  <si>
    <t xml:space="preserve">TRIMOTO MAVILA CARGO 250|PM6 - 6000 KM|9</t>
  </si>
  <si>
    <t xml:space="preserve">TRIMOTO MAVILA CARGO 250|44</t>
  </si>
  <si>
    <t xml:space="preserve">TRIMOTO MAVILA CARGO 250|PM6 - 6000 KM|10</t>
  </si>
  <si>
    <t xml:space="preserve">HONDA TRX250|1</t>
  </si>
  <si>
    <t xml:space="preserve">HONDA TRX250|PM1 - 1000 KM|1</t>
  </si>
  <si>
    <t xml:space="preserve">HONDA TRX250|2</t>
  </si>
  <si>
    <t xml:space="preserve">HONDA TRX250|PM1 - 1000 KM|2</t>
  </si>
  <si>
    <t xml:space="preserve">HONDA TRX250|3</t>
  </si>
  <si>
    <t xml:space="preserve">HONDA TRX250|PM1 - 1000 KM|3</t>
  </si>
  <si>
    <t xml:space="preserve">HONDA TRX250|4</t>
  </si>
  <si>
    <t xml:space="preserve">HONDA TRX250|PM1 - 1000 KM|4</t>
  </si>
  <si>
    <t xml:space="preserve">HONDA TRX250|5</t>
  </si>
  <si>
    <t xml:space="preserve">HONDA TRX250|PM1 - 1000 KM|5</t>
  </si>
  <si>
    <t xml:space="preserve">HONDA TRX250|6</t>
  </si>
  <si>
    <t xml:space="preserve">HONDA TRX250|PM1 - 1000 KM|6</t>
  </si>
  <si>
    <t xml:space="preserve">HONDA TRX250|7</t>
  </si>
  <si>
    <t xml:space="preserve">HONDA TRX250|PM2 - 2000 KM|1</t>
  </si>
  <si>
    <t xml:space="preserve">HONDA TRX250|8</t>
  </si>
  <si>
    <t xml:space="preserve">HONDA TRX250|PM2 - 2000 KM|2</t>
  </si>
  <si>
    <t xml:space="preserve">HONDA TRX250|9</t>
  </si>
  <si>
    <t xml:space="preserve">HONDA TRX250|PM2 - 2000 KM|3</t>
  </si>
  <si>
    <t xml:space="preserve">HONDA TRX250|10</t>
  </si>
  <si>
    <t xml:space="preserve">HONDA TRX250|PM2 - 2000 KM|4</t>
  </si>
  <si>
    <t xml:space="preserve">HONDA TRX250|11</t>
  </si>
  <si>
    <t xml:space="preserve">HONDA TRX250|PM2 - 2000 KM|5</t>
  </si>
  <si>
    <t xml:space="preserve">HONDA TRX250|12</t>
  </si>
  <si>
    <t xml:space="preserve">HONDA TRX250|PM2 - 2000 KM|6</t>
  </si>
  <si>
    <t xml:space="preserve">HONDA TRX250|13</t>
  </si>
  <si>
    <t xml:space="preserve">HONDA TRX250|PM2 - 2000 KM|7</t>
  </si>
  <si>
    <t xml:space="preserve">HONDA TRX250|14</t>
  </si>
  <si>
    <t xml:space="preserve">HONDA TRX250|PM2 - 2000 KM|8</t>
  </si>
  <si>
    <t xml:space="preserve">HONDA TRX250|15</t>
  </si>
  <si>
    <t xml:space="preserve">HONDA TRX250|PM3 - 3000 KM|1</t>
  </si>
  <si>
    <t xml:space="preserve">HONDA TRX250|16</t>
  </si>
  <si>
    <t xml:space="preserve">HONDA TRX250|PM3 - 3000 KM|2</t>
  </si>
  <si>
    <t xml:space="preserve">HONDA TRX250|17</t>
  </si>
  <si>
    <t xml:space="preserve">HONDA TRX250|PM3 - 3000 KM|3</t>
  </si>
  <si>
    <t xml:space="preserve">HONDA TRX250|18</t>
  </si>
  <si>
    <t xml:space="preserve">HONDA TRX250|PM3 - 3000 KM|4</t>
  </si>
  <si>
    <t xml:space="preserve">HONDA TRX250|19</t>
  </si>
  <si>
    <t xml:space="preserve">HONDA TRX250|PM3 - 3000 KM|5</t>
  </si>
  <si>
    <t xml:space="preserve">HONDA TRX250|20</t>
  </si>
  <si>
    <t xml:space="preserve">HONDA TRX250|PM3 - 3000 KM|6</t>
  </si>
  <si>
    <t xml:space="preserve">HONDA TRX250|21</t>
  </si>
  <si>
    <t xml:space="preserve">HONDA TRX250|PM4 - 4000 KM|1</t>
  </si>
  <si>
    <t xml:space="preserve">HONDA TRX250|22</t>
  </si>
  <si>
    <t xml:space="preserve">HONDA TRX250|PM4 - 4000 KM|2</t>
  </si>
  <si>
    <t xml:space="preserve">HONDA TRX250|23</t>
  </si>
  <si>
    <t xml:space="preserve">HONDA TRX250|PM4 - 4000 KM|3</t>
  </si>
  <si>
    <t xml:space="preserve">HONDA TRX250|24</t>
  </si>
  <si>
    <t xml:space="preserve">HONDA TRX250|PM4 - 4000 KM|4</t>
  </si>
  <si>
    <t xml:space="preserve">HONDA TRX250|25</t>
  </si>
  <si>
    <t xml:space="preserve">HONDA TRX250|PM4 - 4000 KM|5</t>
  </si>
  <si>
    <t xml:space="preserve">HONDA TRX250|26</t>
  </si>
  <si>
    <t xml:space="preserve">HONDA TRX250|PM4 - 4000 KM|6</t>
  </si>
  <si>
    <t xml:space="preserve">HONDA TRX250|27</t>
  </si>
  <si>
    <t xml:space="preserve">HONDA TRX250|PM4 - 4000 KM|7</t>
  </si>
  <si>
    <t xml:space="preserve">HONDA TRX250|28</t>
  </si>
  <si>
    <t xml:space="preserve">HONDA TRX250|PM4 - 4000 KM|8</t>
  </si>
  <si>
    <t xml:space="preserve">HONDA TRX250|29</t>
  </si>
  <si>
    <t xml:space="preserve">HONDA TRX250|PM4 - 4000 KM|9</t>
  </si>
  <si>
    <t xml:space="preserve">HONDA TRX250|30</t>
  </si>
  <si>
    <t xml:space="preserve">HONDA TRX250|PM4 - 4000 KM|10</t>
  </si>
  <si>
    <t xml:space="preserve">HONDA TRX250|31</t>
  </si>
  <si>
    <t xml:space="preserve">HONDA TRX250|PM5 - 5000 KM|1</t>
  </si>
  <si>
    <t xml:space="preserve">HONDA TRX250|32</t>
  </si>
  <si>
    <t xml:space="preserve">HONDA TRX250|PM5 - 5000 KM|2</t>
  </si>
  <si>
    <t xml:space="preserve">HONDA TRX250|33</t>
  </si>
  <si>
    <t xml:space="preserve">HONDA TRX250|PM5 - 5000 KM|3</t>
  </si>
  <si>
    <t xml:space="preserve">HONDA TRX250|34</t>
  </si>
  <si>
    <t xml:space="preserve">HONDA TRX250|PM5 - 5000 KM|4</t>
  </si>
  <si>
    <t xml:space="preserve">HONDA TRX250|35</t>
  </si>
  <si>
    <t xml:space="preserve">HONDA TRX250|PM5 - 5000 KM|5</t>
  </si>
  <si>
    <t xml:space="preserve">HONDA TRX250|36</t>
  </si>
  <si>
    <t xml:space="preserve">HONDA TRX250|PM5 - 5000 KM|6</t>
  </si>
  <si>
    <t xml:space="preserve">HONDA TRX250|37</t>
  </si>
  <si>
    <t xml:space="preserve">HONDA TRX250|PM6 - 6000 KM|1</t>
  </si>
  <si>
    <t xml:space="preserve">HONDA TRX250|38</t>
  </si>
  <si>
    <t xml:space="preserve">HONDA TRX250|PM6 - 6000 KM|2</t>
  </si>
  <si>
    <t xml:space="preserve">HONDA TRX250|39</t>
  </si>
  <si>
    <t xml:space="preserve">HONDA TRX250|PM6 - 6000 KM|3</t>
  </si>
  <si>
    <t xml:space="preserve">HONDA TRX250|40</t>
  </si>
  <si>
    <t xml:space="preserve">HONDA TRX250|PM6 - 6000 KM|4</t>
  </si>
  <si>
    <t xml:space="preserve">HONDA TRX250|41</t>
  </si>
  <si>
    <t xml:space="preserve">HONDA TRX250|PM6 - 6000 KM|5</t>
  </si>
  <si>
    <t xml:space="preserve">HONDA TRX250|42</t>
  </si>
  <si>
    <t xml:space="preserve">HONDA TRX250|PM6 - 6000 KM|6</t>
  </si>
  <si>
    <t xml:space="preserve">HONDA TRX250|43</t>
  </si>
  <si>
    <t xml:space="preserve">HONDA TRX250|PM6 - 6000 KM|7</t>
  </si>
  <si>
    <t xml:space="preserve">TRANSMISIÓN</t>
  </si>
  <si>
    <t xml:space="preserve">HONDA TRX250|44</t>
  </si>
  <si>
    <t xml:space="preserve">HONDA TRX250|PM6 - 6000 KM|8</t>
  </si>
  <si>
    <t xml:space="preserve">HONDA TRX250|45</t>
  </si>
  <si>
    <t xml:space="preserve">HONDA TRX250|PM6 - 6000 KM|9</t>
  </si>
  <si>
    <t xml:space="preserve">HONDA TRX250|46</t>
  </si>
  <si>
    <t xml:space="preserve">HONDA TRX250|PM6 - 6000 KM|10</t>
  </si>
  <si>
    <t xml:space="preserve">HONDA TRX250|47</t>
  </si>
  <si>
    <t xml:space="preserve">HONDA TRX250|PM6 - 6000 KM|11</t>
  </si>
  <si>
    <t xml:space="preserve">YAMAHA GRIZZLY 350 4X2|1</t>
  </si>
  <si>
    <t xml:space="preserve">YAMAHA GRIZZLY 350 4X2|PM1 - 1000 KM|1</t>
  </si>
  <si>
    <t xml:space="preserve">YAMAHA GRIZZLY 350 4X2|2</t>
  </si>
  <si>
    <t xml:space="preserve">YAMAHA GRIZZLY 350 4X2|PM1 - 1000 KM|2</t>
  </si>
  <si>
    <t xml:space="preserve">YAMAHA GRIZZLY 350 4X2|3</t>
  </si>
  <si>
    <t xml:space="preserve">YAMAHA GRIZZLY 350 4X2|PM1 - 1000 KM|3</t>
  </si>
  <si>
    <t xml:space="preserve">YAMAHA GRIZZLY 350 4X2|4</t>
  </si>
  <si>
    <t xml:space="preserve">YAMAHA GRIZZLY 350 4X2|PM1 - 1000 KM|4</t>
  </si>
  <si>
    <t xml:space="preserve">YAMAHA GRIZZLY 350 4X2|5</t>
  </si>
  <si>
    <t xml:space="preserve">YAMAHA GRIZZLY 350 4X2|PM1 - 1000 KM|5</t>
  </si>
  <si>
    <t xml:space="preserve">YAMAHA GRIZZLY 350 4X2|6</t>
  </si>
  <si>
    <t xml:space="preserve">YAMAHA GRIZZLY 350 4X2|PM1 - 1000 KM|6</t>
  </si>
  <si>
    <t xml:space="preserve">YAMAHA GRIZZLY 350 4X2|7</t>
  </si>
  <si>
    <t xml:space="preserve">YAMAHA GRIZZLY 350 4X2|PM1 - 1000 KM|7</t>
  </si>
  <si>
    <t xml:space="preserve">YAMAHA GRIZZLY 350 4X2|8</t>
  </si>
  <si>
    <t xml:space="preserve">YAMAHA GRIZZLY 350 4X2|PM2 - 2000 KM|1</t>
  </si>
  <si>
    <t xml:space="preserve">YAMAHA GRIZZLY 350 4X2|9</t>
  </si>
  <si>
    <t xml:space="preserve">YAMAHA GRIZZLY 350 4X2|PM2 - 2000 KM|2</t>
  </si>
  <si>
    <t xml:space="preserve">YAMAHA GRIZZLY 350 4X2|10</t>
  </si>
  <si>
    <t xml:space="preserve">YAMAHA GRIZZLY 350 4X2|PM2 - 2000 KM|3</t>
  </si>
  <si>
    <t xml:space="preserve">YAMAHA GRIZZLY 350 4X2|11</t>
  </si>
  <si>
    <t xml:space="preserve">YAMAHA GRIZZLY 350 4X2|PM2 - 2000 KM|4</t>
  </si>
  <si>
    <t xml:space="preserve">YAMAHA GRIZZLY 350 4X2|12</t>
  </si>
  <si>
    <t xml:space="preserve">YAMAHA GRIZZLY 350 4X2|PM2 - 2000 KM|5</t>
  </si>
  <si>
    <t xml:space="preserve">YAMAHA GRIZZLY 350 4X2|13</t>
  </si>
  <si>
    <t xml:space="preserve">YAMAHA GRIZZLY 350 4X2|PM2 - 2000 KM|6</t>
  </si>
  <si>
    <t xml:space="preserve">YAMAHA GRIZZLY 350 4X2|14</t>
  </si>
  <si>
    <t xml:space="preserve">YAMAHA GRIZZLY 350 4X2|PM2 - 2000 KM|7</t>
  </si>
  <si>
    <t xml:space="preserve">YAMAHA GRIZZLY 350 4X2|15</t>
  </si>
  <si>
    <t xml:space="preserve">YAMAHA GRIZZLY 350 4X2|PM2 - 2000 KM|8</t>
  </si>
  <si>
    <t xml:space="preserve">YAMAHA GRIZZLY 350 4X2|16</t>
  </si>
  <si>
    <t xml:space="preserve">YAMAHA GRIZZLY 350 4X2|PM3 - 3000 KM|1</t>
  </si>
  <si>
    <t xml:space="preserve">YAMAHA GRIZZLY 350 4X2|17</t>
  </si>
  <si>
    <t xml:space="preserve">YAMAHA GRIZZLY 350 4X2|PM3 - 3000 KM|2</t>
  </si>
  <si>
    <t xml:space="preserve">YAMAHA GRIZZLY 350 4X2|18</t>
  </si>
  <si>
    <t xml:space="preserve">YAMAHA GRIZZLY 350 4X2|PM3 - 3000 KM|3</t>
  </si>
  <si>
    <t xml:space="preserve">YAMAHA GRIZZLY 350 4X2|19</t>
  </si>
  <si>
    <t xml:space="preserve">YAMAHA GRIZZLY 350 4X2|PM3 - 3000 KM|4</t>
  </si>
  <si>
    <t xml:space="preserve">YAMAHA GRIZZLY 350 4X2|20</t>
  </si>
  <si>
    <t xml:space="preserve">YAMAHA GRIZZLY 350 4X2|PM3 - 3000 KM|5</t>
  </si>
  <si>
    <t xml:space="preserve">YAMAHA GRIZZLY 350 4X2|21</t>
  </si>
  <si>
    <t xml:space="preserve">YAMAHA GRIZZLY 350 4X2|PM3 - 3000 KM|6</t>
  </si>
  <si>
    <t xml:space="preserve">YAMAHA GRIZZLY 350 4X2|22</t>
  </si>
  <si>
    <t xml:space="preserve">YAMAHA GRIZZLY 350 4X2|PM3 - 3000 KM|7</t>
  </si>
  <si>
    <t xml:space="preserve">YAMAHA GRIZZLY 350 4X2|23</t>
  </si>
  <si>
    <t xml:space="preserve">YAMAHA GRIZZLY 350 4X2|PM4 - 4000 KM|1</t>
  </si>
  <si>
    <t xml:space="preserve">YAMAHA GRIZZLY 350 4X2|24</t>
  </si>
  <si>
    <t xml:space="preserve">YAMAHA GRIZZLY 350 4X2|PM4 - 4000 KM|2</t>
  </si>
  <si>
    <t xml:space="preserve">YAMAHA GRIZZLY 350 4X2|25</t>
  </si>
  <si>
    <t xml:space="preserve">YAMAHA GRIZZLY 350 4X2|PM4 - 4000 KM|3</t>
  </si>
  <si>
    <t xml:space="preserve">YAMAHA GRIZZLY 350 4X2|26</t>
  </si>
  <si>
    <t xml:space="preserve">YAMAHA GRIZZLY 350 4X2|PM4 - 4000 KM|4</t>
  </si>
  <si>
    <t xml:space="preserve">YAMAHA GRIZZLY 350 4X2|27</t>
  </si>
  <si>
    <t xml:space="preserve">YAMAHA GRIZZLY 350 4X2|PM4 - 4000 KM|5</t>
  </si>
  <si>
    <t xml:space="preserve">YAMAHA GRIZZLY 350 4X2|28</t>
  </si>
  <si>
    <t xml:space="preserve">YAMAHA GRIZZLY 350 4X2|PM4 - 4000 KM|6</t>
  </si>
  <si>
    <t xml:space="preserve">YAMAHA GRIZZLY 350 4X2|29</t>
  </si>
  <si>
    <t xml:space="preserve">YAMAHA GRIZZLY 350 4X2|PM4 - 4000 KM|7</t>
  </si>
  <si>
    <t xml:space="preserve">YAMAHA GRIZZLY 350 4X2|30</t>
  </si>
  <si>
    <t xml:space="preserve">YAMAHA GRIZZLY 350 4X2|PM4 - 4000 KM|8</t>
  </si>
  <si>
    <t xml:space="preserve">YAMAHA GRIZZLY 350 4X2|31</t>
  </si>
  <si>
    <t xml:space="preserve">YAMAHA GRIZZLY 350 4X2|PM4 - 4000 KM|9</t>
  </si>
  <si>
    <t xml:space="preserve">YAMAHA GRIZZLY 350 4X2|32</t>
  </si>
  <si>
    <t xml:space="preserve">YAMAHA GRIZZLY 350 4X2|PM4 - 4000 KM|10</t>
  </si>
  <si>
    <t xml:space="preserve">YAMAHA GRIZZLY 350 4X2|33</t>
  </si>
  <si>
    <t xml:space="preserve">YAMAHA GRIZZLY 350 4X2|PM5 - 5000 KM|1</t>
  </si>
  <si>
    <t xml:space="preserve">YAMAHA GRIZZLY 350 4X2|34</t>
  </si>
  <si>
    <t xml:space="preserve">YAMAHA GRIZZLY 350 4X2|PM5 - 5000 KM|2</t>
  </si>
  <si>
    <t xml:space="preserve">YAMAHA GRIZZLY 350 4X2|35</t>
  </si>
  <si>
    <t xml:space="preserve">YAMAHA GRIZZLY 350 4X2|PM5 - 5000 KM|3</t>
  </si>
  <si>
    <t xml:space="preserve">YAMAHA GRIZZLY 350 4X2|36</t>
  </si>
  <si>
    <t xml:space="preserve">YAMAHA GRIZZLY 350 4X2|PM5 - 5000 KM|4</t>
  </si>
  <si>
    <t xml:space="preserve">YAMAHA GRIZZLY 350 4X2|37</t>
  </si>
  <si>
    <t xml:space="preserve">YAMAHA GRIZZLY 350 4X2|PM5 - 5000 KM|5</t>
  </si>
  <si>
    <t xml:space="preserve">YAMAHA GRIZZLY 350 4X2|38</t>
  </si>
  <si>
    <t xml:space="preserve">YAMAHA GRIZZLY 350 4X2|PM5 - 5000 KM|6</t>
  </si>
  <si>
    <t xml:space="preserve">YAMAHA GRIZZLY 350 4X2|39</t>
  </si>
  <si>
    <t xml:space="preserve">YAMAHA GRIZZLY 350 4X2|PM5 - 5000 KM|7</t>
  </si>
  <si>
    <t xml:space="preserve">YAMAHA GRIZZLY 350 4X2|40</t>
  </si>
  <si>
    <t xml:space="preserve">YAMAHA GRIZZLY 350 4X2|PM6 - 6000 KM|1</t>
  </si>
  <si>
    <t xml:space="preserve">YAMAHA GRIZZLY 350 4X2|41</t>
  </si>
  <si>
    <t xml:space="preserve">YAMAHA GRIZZLY 350 4X2|PM6 - 6000 KM|2</t>
  </si>
  <si>
    <t xml:space="preserve">YAMAHA GRIZZLY 350 4X2|42</t>
  </si>
  <si>
    <t xml:space="preserve">YAMAHA GRIZZLY 350 4X2|PM6 - 6000 KM|3</t>
  </si>
  <si>
    <t xml:space="preserve">YAMAHA GRIZZLY 350 4X2|43</t>
  </si>
  <si>
    <t xml:space="preserve">YAMAHA GRIZZLY 350 4X2|PM6 - 6000 KM|4</t>
  </si>
  <si>
    <t xml:space="preserve">YAMAHA GRIZZLY 350 4X2|44</t>
  </si>
  <si>
    <t xml:space="preserve">YAMAHA GRIZZLY 350 4X2|PM6 - 6000 KM|5</t>
  </si>
  <si>
    <t xml:space="preserve">YAMAHA GRIZZLY 350 4X2|45</t>
  </si>
  <si>
    <t xml:space="preserve">YAMAHA GRIZZLY 350 4X2|PM6 - 6000 KM|6</t>
  </si>
  <si>
    <t xml:space="preserve">YAMAHA GRIZZLY 350 4X2|46</t>
  </si>
  <si>
    <t xml:space="preserve">YAMAHA GRIZZLY 350 4X2|PM6 - 6000 KM|7</t>
  </si>
  <si>
    <t xml:space="preserve">YAMAHA GRIZZLY 350 4X2|47</t>
  </si>
  <si>
    <t xml:space="preserve">YAMAHA GRIZZLY 350 4X2|PM6 - 6000 KM|8</t>
  </si>
  <si>
    <t xml:space="preserve">YAMAHA GRIZZLY 350 4X2|48</t>
  </si>
  <si>
    <t xml:space="preserve">YAMAHA GRIZZLY 350 4X2|PM6 - 6000 KM|9</t>
  </si>
  <si>
    <t xml:space="preserve">YAMAHA GRIZZLY 350 4X2|49</t>
  </si>
  <si>
    <t xml:space="preserve">YAMAHA GRIZZLY 350 4X2|PM6 - 6000 KM|10</t>
  </si>
  <si>
    <t xml:space="preserve">YAMAHA GRIZZLY 350 4X2|50</t>
  </si>
  <si>
    <t xml:space="preserve">YAMAHA GRIZZLY 350 4X2|PM6 - 6000 KM|11</t>
  </si>
  <si>
    <t xml:space="preserve">PM1 - 250 HR</t>
  </si>
  <si>
    <t xml:space="preserve">NEW HOLLAND TD90D|1</t>
  </si>
  <si>
    <t xml:space="preserve">NEW HOLLAND TD90D|PM1 - 250 HR|1</t>
  </si>
  <si>
    <t xml:space="preserve">NEW HOLLAND TD90D|2</t>
  </si>
  <si>
    <t xml:space="preserve">NEW HOLLAND TD90D|PM1 - 250 HR|2</t>
  </si>
  <si>
    <t xml:space="preserve">NEW HOLLAND TD90D|3</t>
  </si>
  <si>
    <t xml:space="preserve">NEW HOLLAND TD90D|PM1 - 250 HR|3</t>
  </si>
  <si>
    <t xml:space="preserve">NEW HOLLAND TD90D|4</t>
  </si>
  <si>
    <t xml:space="preserve">NEW HOLLAND TD90D|PM1 - 250 HR|4</t>
  </si>
  <si>
    <t xml:space="preserve">ENGRASE</t>
  </si>
  <si>
    <t xml:space="preserve">NEW HOLLAND TD90D|5</t>
  </si>
  <si>
    <t xml:space="preserve">NEW HOLLAND TD90D|PM1 - 250 HR|5</t>
  </si>
  <si>
    <t xml:space="preserve">NEW HOLLAND TD90D|6</t>
  </si>
  <si>
    <t xml:space="preserve">NEW HOLLAND TD90D|PM1 - 250 HR|6</t>
  </si>
  <si>
    <t xml:space="preserve">NEW HOLLAND TD90D|7</t>
  </si>
  <si>
    <t xml:space="preserve">NEW HOLLAND TD90D|PM1 - 250 HR|7</t>
  </si>
  <si>
    <t xml:space="preserve">PM2 - 500 HR</t>
  </si>
  <si>
    <t xml:space="preserve">NEW HOLLAND TD90D|8</t>
  </si>
  <si>
    <t xml:space="preserve">NEW HOLLAND TD90D|PM2 - 500 HR|1</t>
  </si>
  <si>
    <t xml:space="preserve">NEW HOLLAND TD90D|9</t>
  </si>
  <si>
    <t xml:space="preserve">NEW HOLLAND TD90D|PM2 - 500 HR|2</t>
  </si>
  <si>
    <t xml:space="preserve">NEW HOLLAND TD90D|10</t>
  </si>
  <si>
    <t xml:space="preserve">NEW HOLLAND TD90D|PM2 - 500 HR|3</t>
  </si>
  <si>
    <t xml:space="preserve">NEW HOLLAND TD90D|11</t>
  </si>
  <si>
    <t xml:space="preserve">NEW HOLLAND TD90D|PM2 - 500 HR|4</t>
  </si>
  <si>
    <t xml:space="preserve">NEW HOLLAND TD90D|12</t>
  </si>
  <si>
    <t xml:space="preserve">NEW HOLLAND TD90D|PM2 - 500 HR|5</t>
  </si>
  <si>
    <t xml:space="preserve">NEW HOLLAND TD90D|13</t>
  </si>
  <si>
    <t xml:space="preserve">NEW HOLLAND TD90D|PM2 - 500 HR|6</t>
  </si>
  <si>
    <t xml:space="preserve">EJE / DIFERENCIAL</t>
  </si>
  <si>
    <t xml:space="preserve">NEW HOLLAND TD90D|14</t>
  </si>
  <si>
    <t xml:space="preserve">NEW HOLLAND TD90D|PM2 - 500 HR|7</t>
  </si>
  <si>
    <t xml:space="preserve">NEW HOLLAND TD90D|15</t>
  </si>
  <si>
    <t xml:space="preserve">NEW HOLLAND TD90D|PM2 - 500 HR|8</t>
  </si>
  <si>
    <t xml:space="preserve">NEW HOLLAND TD90D|16</t>
  </si>
  <si>
    <t xml:space="preserve">NEW HOLLAND TD90D|PM2 - 500 HR|9</t>
  </si>
  <si>
    <t xml:space="preserve">NEW HOLLAND TD90D|17</t>
  </si>
  <si>
    <t xml:space="preserve">NEW HOLLAND TD90D|PM2 - 500 HR|10</t>
  </si>
  <si>
    <t xml:space="preserve">PM3 - 750 HR</t>
  </si>
  <si>
    <t xml:space="preserve">NEW HOLLAND TD90D|18</t>
  </si>
  <si>
    <t xml:space="preserve">NEW HOLLAND TD90D|PM3 - 750 HR|1</t>
  </si>
  <si>
    <t xml:space="preserve">NEW HOLLAND TD90D|19</t>
  </si>
  <si>
    <t xml:space="preserve">NEW HOLLAND TD90D|PM3 - 750 HR|2</t>
  </si>
  <si>
    <t xml:space="preserve">NEW HOLLAND TD90D|20</t>
  </si>
  <si>
    <t xml:space="preserve">NEW HOLLAND TD90D|PM3 - 750 HR|3</t>
  </si>
  <si>
    <t xml:space="preserve">NEW HOLLAND TD90D|21</t>
  </si>
  <si>
    <t xml:space="preserve">NEW HOLLAND TD90D|PM3 - 750 HR|4</t>
  </si>
  <si>
    <t xml:space="preserve">NEW HOLLAND TD90D|22</t>
  </si>
  <si>
    <t xml:space="preserve">NEW HOLLAND TD90D|PM3 - 750 HR|5</t>
  </si>
  <si>
    <t xml:space="preserve">NEW HOLLAND TD90D|23</t>
  </si>
  <si>
    <t xml:space="preserve">NEW HOLLAND TD90D|PM3 - 750 HR|6</t>
  </si>
  <si>
    <t xml:space="preserve">NEW HOLLAND TD90D|24</t>
  </si>
  <si>
    <t xml:space="preserve">NEW HOLLAND TD90D|PM3 - 750 HR|7</t>
  </si>
  <si>
    <t xml:space="preserve">PM4 - 1000 HR</t>
  </si>
  <si>
    <t xml:space="preserve">NEW HOLLAND TD90D|25</t>
  </si>
  <si>
    <t xml:space="preserve">NEW HOLLAND TD90D|PM4 - 1000 HR|1</t>
  </si>
  <si>
    <t xml:space="preserve">NEW HOLLAND TD90D|26</t>
  </si>
  <si>
    <t xml:space="preserve">NEW HOLLAND TD90D|PM4 - 1000 HR|2</t>
  </si>
  <si>
    <t xml:space="preserve">NEW HOLLAND TD90D|27</t>
  </si>
  <si>
    <t xml:space="preserve">NEW HOLLAND TD90D|PM4 - 1000 HR|3</t>
  </si>
  <si>
    <t xml:space="preserve">NEW HOLLAND TD90D|28</t>
  </si>
  <si>
    <t xml:space="preserve">NEW HOLLAND TD90D|PM4 - 1000 HR|4</t>
  </si>
  <si>
    <t xml:space="preserve">NEW HOLLAND TD90D|29</t>
  </si>
  <si>
    <t xml:space="preserve">NEW HOLLAND TD90D|PM4 - 1000 HR|5</t>
  </si>
  <si>
    <t xml:space="preserve">NEW HOLLAND TD90D|30</t>
  </si>
  <si>
    <t xml:space="preserve">NEW HOLLAND TD90D|PM4 - 1000 HR|6</t>
  </si>
  <si>
    <t xml:space="preserve">TRANSMISIÓN / HIDRÁULICO</t>
  </si>
  <si>
    <t xml:space="preserve">NEW HOLLAND TD90D|31</t>
  </si>
  <si>
    <t xml:space="preserve">NEW HOLLAND TD90D|PM4 - 1000 HR|7</t>
  </si>
  <si>
    <t xml:space="preserve">NEW HOLLAND TD90D|32</t>
  </si>
  <si>
    <t xml:space="preserve">NEW HOLLAND TD90D|PM4 - 1000 HR|8</t>
  </si>
  <si>
    <t xml:space="preserve">NEW HOLLAND TD90D|33</t>
  </si>
  <si>
    <t xml:space="preserve">NEW HOLLAND TD90D|PM4 - 1000 HR|9</t>
  </si>
  <si>
    <t xml:space="preserve">SISTEMA DE REFRIGERACIÓN</t>
  </si>
  <si>
    <t xml:space="preserve">NEW HOLLAND TD90D|34</t>
  </si>
  <si>
    <t xml:space="preserve">NEW HOLLAND TD90D|PM4 - 1000 HR|10</t>
  </si>
  <si>
    <t xml:space="preserve">SISTEMA DE FRENOS</t>
  </si>
  <si>
    <t xml:space="preserve">NEW HOLLAND TD90D|35</t>
  </si>
  <si>
    <t xml:space="preserve">NEW HOLLAND TD90D|PM4 - 1000 HR|11</t>
  </si>
  <si>
    <t xml:space="preserve">SERVICIO</t>
  </si>
  <si>
    <t xml:space="preserve">NEW HOLLAND TD90D|36</t>
  </si>
  <si>
    <t xml:space="preserve">NEW HOLLAND TD90D|PM4 - 1000 HR|12</t>
  </si>
  <si>
    <t xml:space="preserve">NEW HOLLAND TD90D|37</t>
  </si>
  <si>
    <t xml:space="preserve">NEW HOLLAND TD90D|PM4 - 1000 HR|13</t>
  </si>
  <si>
    <t xml:space="preserve">NEW HOLLAND TD90D|38</t>
  </si>
  <si>
    <t xml:space="preserve">NEW HOLLAND TD90D|PM4 - 1000 HR|14</t>
  </si>
  <si>
    <t xml:space="preserve">PM1 - 100 HR</t>
  </si>
  <si>
    <t xml:space="preserve">GENERADOR HONDA EG6500CXS|1</t>
  </si>
  <si>
    <t xml:space="preserve">GENERADOR HONDA EG6500CXS|PM1 - 100 HR|1</t>
  </si>
  <si>
    <t xml:space="preserve">GENERADOR HONDA EG6500CXS|2</t>
  </si>
  <si>
    <t xml:space="preserve">GENERADOR HONDA EG6500CXS|PM1 - 100 HR|2</t>
  </si>
  <si>
    <t xml:space="preserve">GENERADOR HONDA EG6500CXS|3</t>
  </si>
  <si>
    <t xml:space="preserve">GENERADOR HONDA EG6500CXS|PM1 - 100 HR|3</t>
  </si>
  <si>
    <t xml:space="preserve">GENERADOR HONDA EG6500CXS|4</t>
  </si>
  <si>
    <t xml:space="preserve">GENERADOR HONDA EG6500CXS|PM1 - 100 HR|4</t>
  </si>
  <si>
    <t xml:space="preserve">PM2 - 200 HR</t>
  </si>
  <si>
    <t xml:space="preserve">GENERADOR HONDA EG6500CXS|5</t>
  </si>
  <si>
    <t xml:space="preserve">GENERADOR HONDA EG6500CXS|PM2 - 200 HR|1</t>
  </si>
  <si>
    <t xml:space="preserve">GENERADOR HONDA EG6500CXS|6</t>
  </si>
  <si>
    <t xml:space="preserve">GENERADOR HONDA EG6500CXS|PM2 - 200 HR|2</t>
  </si>
  <si>
    <t xml:space="preserve">GENERADOR HONDA EG6500CXS|7</t>
  </si>
  <si>
    <t xml:space="preserve">GENERADOR HONDA EG6500CXS|PM2 - 200 HR|3</t>
  </si>
  <si>
    <t xml:space="preserve">GENERADOR HONDA EG6500CXS|8</t>
  </si>
  <si>
    <t xml:space="preserve">GENERADOR HONDA EG6500CXS|PM2 - 200 HR|4</t>
  </si>
  <si>
    <t xml:space="preserve">PM3 - 300 HR</t>
  </si>
  <si>
    <t xml:space="preserve">GENERADOR HONDA EG6500CXS|9</t>
  </si>
  <si>
    <t xml:space="preserve">GENERADOR HONDA EG6500CXS|PM3 - 300 HR|1</t>
  </si>
  <si>
    <t xml:space="preserve">GENERADOR HONDA EG6500CXS|10</t>
  </si>
  <si>
    <t xml:space="preserve">GENERADOR HONDA EG6500CXS|PM3 - 300 HR|2</t>
  </si>
  <si>
    <t xml:space="preserve">GENERADOR HONDA EG6500CXS|11</t>
  </si>
  <si>
    <t xml:space="preserve">GENERADOR HONDA EG6500CXS|PM3 - 300 HR|3</t>
  </si>
  <si>
    <t xml:space="preserve">ALTERNADOR</t>
  </si>
  <si>
    <t xml:space="preserve">GENERADOR HONDA EG6500CXS|12</t>
  </si>
  <si>
    <t xml:space="preserve">GENERADOR HONDA EG6500CXS|PM3 - 300 HR|4</t>
  </si>
  <si>
    <t xml:space="preserve">GENERADOR HONDA EG6500CXS|13</t>
  </si>
  <si>
    <t xml:space="preserve">GENERADOR HONDA EG6500CXS|PM3 - 300 HR|5</t>
  </si>
  <si>
    <t xml:space="preserve">GENERADOR HONDA EG6500CXS|14</t>
  </si>
  <si>
    <t xml:space="preserve">GENERADOR HONDA EG6500CXS|PM3 - 300 HR|6</t>
  </si>
  <si>
    <t xml:space="preserve">GENERADOR HONDA EG6500CXS|15</t>
  </si>
  <si>
    <t xml:space="preserve">GENERADOR HONDA EG6500CXS|PM3 - 300 HR|7</t>
  </si>
  <si>
    <t xml:space="preserve">MOTOR HONDA GX390|1</t>
  </si>
  <si>
    <t xml:space="preserve">MOTOR HONDA GX390|PM1 - 100 HR|1</t>
  </si>
  <si>
    <t xml:space="preserve">MOTOR HONDA GX390|2</t>
  </si>
  <si>
    <t xml:space="preserve">MOTOR HONDA GX390|PM1 - 100 HR|2</t>
  </si>
  <si>
    <t xml:space="preserve">MOTOR HONDA GX390|3</t>
  </si>
  <si>
    <t xml:space="preserve">MOTOR HONDA GX390|PM1 - 100 HR|3</t>
  </si>
  <si>
    <t xml:space="preserve">MOTOR HONDA GX390|4</t>
  </si>
  <si>
    <t xml:space="preserve">MOTOR HONDA GX390|PM1 - 100 HR|4</t>
  </si>
  <si>
    <t xml:space="preserve">MOTOR HONDA GX390|5</t>
  </si>
  <si>
    <t xml:space="preserve">MOTOR HONDA GX390|PM2 - 200 HR|1</t>
  </si>
  <si>
    <t xml:space="preserve">MOTOR HONDA GX390|6</t>
  </si>
  <si>
    <t xml:space="preserve">MOTOR HONDA GX390|PM2 - 200 HR|2</t>
  </si>
  <si>
    <t xml:space="preserve">MOTOR HONDA GX390|7</t>
  </si>
  <si>
    <t xml:space="preserve">MOTOR HONDA GX390|PM2 - 200 HR|3</t>
  </si>
  <si>
    <t xml:space="preserve">MOTOR HONDA GX390|8</t>
  </si>
  <si>
    <t xml:space="preserve">MOTOR HONDA GX390|PM2 - 200 HR|4</t>
  </si>
  <si>
    <t xml:space="preserve">MOTOR HONDA GX390|9</t>
  </si>
  <si>
    <t xml:space="preserve">MOTOR HONDA GX390|PM3 - 300 HR|1</t>
  </si>
  <si>
    <t xml:space="preserve">MOTOR HONDA GX390|10</t>
  </si>
  <si>
    <t xml:space="preserve">MOTOR HONDA GX390|PM3 - 300 HR|2</t>
  </si>
  <si>
    <t xml:space="preserve">MOTOR HONDA GX390|11</t>
  </si>
  <si>
    <t xml:space="preserve">MOTOR HONDA GX390|PM3 - 300 HR|3</t>
  </si>
  <si>
    <t xml:space="preserve">MOTOR HONDA GX390|12</t>
  </si>
  <si>
    <t xml:space="preserve">MOTOR HONDA GX390|PM3 - 300 HR|4</t>
  </si>
  <si>
    <t xml:space="preserve">MOTOR HONDA GX390|13</t>
  </si>
  <si>
    <t xml:space="preserve">MOTOR HONDA GX390|PM3 - 300 HR|5</t>
  </si>
  <si>
    <t xml:space="preserve">MOTOR HONDA GX390|14</t>
  </si>
  <si>
    <t xml:space="preserve">MOTOR HONDA GX390|PM3 - 300 HR|6</t>
  </si>
  <si>
    <t xml:space="preserve">MOTOR HONDA GX160|1</t>
  </si>
  <si>
    <t xml:space="preserve">MOTOR HONDA GX160|PM1 - 100 HR|1</t>
  </si>
  <si>
    <t xml:space="preserve">MOTOR HONDA GX160|2</t>
  </si>
  <si>
    <t xml:space="preserve">MOTOR HONDA GX160|PM1 - 100 HR|2</t>
  </si>
  <si>
    <t xml:space="preserve">MOTOR HONDA GX160|3</t>
  </si>
  <si>
    <t xml:space="preserve">MOTOR HONDA GX160|PM1 - 100 HR|3</t>
  </si>
  <si>
    <t xml:space="preserve">MOTOR HONDA GX160|4</t>
  </si>
  <si>
    <t xml:space="preserve">MOTOR HONDA GX160|PM1 - 100 HR|4</t>
  </si>
  <si>
    <t xml:space="preserve">MOTOR HONDA GX160|5</t>
  </si>
  <si>
    <t xml:space="preserve">MOTOR HONDA GX160|PM2 - 200 HR|1</t>
  </si>
  <si>
    <t xml:space="preserve">MOTOR HONDA GX160|6</t>
  </si>
  <si>
    <t xml:space="preserve">MOTOR HONDA GX160|PM2 - 200 HR|2</t>
  </si>
  <si>
    <t xml:space="preserve">MOTOR HONDA GX160|7</t>
  </si>
  <si>
    <t xml:space="preserve">MOTOR HONDA GX160|PM2 - 200 HR|3</t>
  </si>
  <si>
    <t xml:space="preserve">MOTOR HONDA GX160|8</t>
  </si>
  <si>
    <t xml:space="preserve">MOTOR HONDA GX160|PM2 - 200 HR|4</t>
  </si>
  <si>
    <t xml:space="preserve">MOTOR HONDA GX160|9</t>
  </si>
  <si>
    <t xml:space="preserve">MOTOR HONDA GX160|PM3 - 300 HR|1</t>
  </si>
  <si>
    <t xml:space="preserve">MOTOR HONDA GX160|10</t>
  </si>
  <si>
    <t xml:space="preserve">MOTOR HONDA GX160|PM3 - 300 HR|2</t>
  </si>
  <si>
    <t xml:space="preserve">MOTOR HONDA GX160|11</t>
  </si>
  <si>
    <t xml:space="preserve">MOTOR HONDA GX160|PM3 - 300 HR|3</t>
  </si>
  <si>
    <t xml:space="preserve">MOTOR HONDA GX160|12</t>
  </si>
  <si>
    <t xml:space="preserve">MOTOR HONDA GX160|PM3 - 300 HR|4</t>
  </si>
  <si>
    <t xml:space="preserve">MOTOR HONDA GX160|13</t>
  </si>
  <si>
    <t xml:space="preserve">MOTOR HONDA GX160|PM3 - 300 HR|5</t>
  </si>
  <si>
    <t xml:space="preserve">MOTOR HONDA GX160|14</t>
  </si>
  <si>
    <t xml:space="preserve">MOTOR HONDA GX160|PM3 - 300 HR|6</t>
  </si>
  <si>
    <t xml:space="preserve">MEZCLADORA CON MOTOR RATO R390|1</t>
  </si>
  <si>
    <t xml:space="preserve">MEZCLADORA CON MOTOR RATO R390|PM1 - 100 HR|1</t>
  </si>
  <si>
    <t xml:space="preserve">MEZCLADORA</t>
  </si>
  <si>
    <t xml:space="preserve">MEZCLADORA CON MOTOR RATO R390|2</t>
  </si>
  <si>
    <t xml:space="preserve">MEZCLADORA CON MOTOR RATO R390|PM1 - 100 HR|2</t>
  </si>
  <si>
    <t xml:space="preserve">MEZCLADORA CON MOTOR RATO R390|3</t>
  </si>
  <si>
    <t xml:space="preserve">MEZCLADORA CON MOTOR RATO R390|PM1 - 100 HR|3</t>
  </si>
  <si>
    <t xml:space="preserve">MEZCLADORA CON MOTOR RATO R390|4</t>
  </si>
  <si>
    <t xml:space="preserve">MEZCLADORA CON MOTOR RATO R390|PM1 - 100 HR|4</t>
  </si>
  <si>
    <t xml:space="preserve">MEZCLADORA CON MOTOR RATO R390|5</t>
  </si>
  <si>
    <t xml:space="preserve">MEZCLADORA CON MOTOR RATO R390|PM1 - 100 HR|5</t>
  </si>
  <si>
    <t xml:space="preserve">MEZCLADORA CON MOTOR RATO R390|6</t>
  </si>
  <si>
    <t xml:space="preserve">MEZCLADORA CON MOTOR RATO R390|PM2 - 200 HR|1</t>
  </si>
  <si>
    <t xml:space="preserve">MEZCLADORA CON MOTOR RATO R390|7</t>
  </si>
  <si>
    <t xml:space="preserve">MEZCLADORA CON MOTOR RATO R390|PM2 - 200 HR|2</t>
  </si>
  <si>
    <t xml:space="preserve">MEZCLADORA CON MOTOR RATO R390|8</t>
  </si>
  <si>
    <t xml:space="preserve">MEZCLADORA CON MOTOR RATO R390|PM2 - 200 HR|3</t>
  </si>
  <si>
    <t xml:space="preserve">MEZCLADORA CON MOTOR RATO R390|9</t>
  </si>
  <si>
    <t xml:space="preserve">MEZCLADORA CON MOTOR RATO R390|PM2 - 200 HR|4</t>
  </si>
  <si>
    <t xml:space="preserve">MEZCLADORA CON MOTOR RATO R390|10</t>
  </si>
  <si>
    <t xml:space="preserve">MEZCLADORA CON MOTOR RATO R390|PM2 - 200 HR|5</t>
  </si>
  <si>
    <t xml:space="preserve">MEZCLADORA CON MOTOR RATO R390|11</t>
  </si>
  <si>
    <t xml:space="preserve">MEZCLADORA CON MOTOR RATO R390|PM3 - 300 HR|1</t>
  </si>
  <si>
    <t xml:space="preserve">MEZCLADORA CON MOTOR RATO R390|12</t>
  </si>
  <si>
    <t xml:space="preserve">MEZCLADORA CON MOTOR RATO R390|PM3 - 300 HR|2</t>
  </si>
  <si>
    <t xml:space="preserve">MEZCLADORA CON MOTOR RATO R390|13</t>
  </si>
  <si>
    <t xml:space="preserve">MEZCLADORA CON MOTOR RATO R390|PM3 - 300 HR|3</t>
  </si>
  <si>
    <t xml:space="preserve">MEZCLADORA CON MOTOR RATO R390|14</t>
  </si>
  <si>
    <t xml:space="preserve">MEZCLADORA CON MOTOR RATO R390|PM3 - 300 HR|4</t>
  </si>
  <si>
    <t xml:space="preserve">MEZCLADORA CON MOTOR RATO R390|15</t>
  </si>
  <si>
    <t xml:space="preserve">MEZCLADORA CON MOTOR RATO R390|PM3 - 300 HR|5</t>
  </si>
  <si>
    <t xml:space="preserve">MEZCLADORA CON MOTOR RATO R390|16</t>
  </si>
  <si>
    <t xml:space="preserve">MEZCLADORA CON MOTOR RATO R390|PM3 - 300 HR|6</t>
  </si>
  <si>
    <t xml:space="preserve">MEZCLADORA CON MOTOR RATO R390|17</t>
  </si>
  <si>
    <t xml:space="preserve">MEZCLADORA CON MOTOR RATO R390|PM3 - 300 HR|7</t>
  </si>
  <si>
    <t xml:space="preserve">PM1 - 50 HR</t>
  </si>
  <si>
    <t xml:space="preserve">ATOMIZADORA MASTER 452|1</t>
  </si>
  <si>
    <t xml:space="preserve">ATOMIZADORA MASTER 452|PM1 - 50 HR|1</t>
  </si>
  <si>
    <t xml:space="preserve">ATOMIZADORA MASTER 452|2</t>
  </si>
  <si>
    <t xml:space="preserve">ATOMIZADORA MASTER 452|PM1 - 50 HR|2</t>
  </si>
  <si>
    <t xml:space="preserve">ATOMIZADORA MASTER 452|3</t>
  </si>
  <si>
    <t xml:space="preserve">ATOMIZADORA MASTER 452|PM1 - 50 HR|3</t>
  </si>
  <si>
    <t xml:space="preserve">PM2 - 100 HR</t>
  </si>
  <si>
    <t xml:space="preserve">ATOMIZADORA MASTER 452|4</t>
  </si>
  <si>
    <t xml:space="preserve">ATOMIZADORA MASTER 452|PM2 - 100 HR|1</t>
  </si>
  <si>
    <t xml:space="preserve">ATOMIZADORA MASTER 452|5</t>
  </si>
  <si>
    <t xml:space="preserve">ATOMIZADORA MASTER 452|PM2 - 100 HR|2</t>
  </si>
  <si>
    <t xml:space="preserve">ATOMIZADORA MASTER 452|6</t>
  </si>
  <si>
    <t xml:space="preserve">ATOMIZADORA MASTER 452|PM2 - 100 HR|3</t>
  </si>
  <si>
    <t xml:space="preserve">ATOMIZADORA MASTER 452|7</t>
  </si>
  <si>
    <t xml:space="preserve">ATOMIZADORA MASTER 452|PM2 - 100 HR|4</t>
  </si>
  <si>
    <t xml:space="preserve">ATOMIZADORA MASTER 452|8</t>
  </si>
  <si>
    <t xml:space="preserve">ATOMIZADORA MASTER 452|PM2 - 100 HR|5</t>
  </si>
  <si>
    <t xml:space="preserve">PM3 - 150 HR</t>
  </si>
  <si>
    <t xml:space="preserve">ATOMIZADORA MASTER 452|9</t>
  </si>
  <si>
    <t xml:space="preserve">ATOMIZADORA MASTER 452|PM3 - 150 HR|1</t>
  </si>
  <si>
    <t xml:space="preserve">ATOMIZADORA MASTER 452|10</t>
  </si>
  <si>
    <t xml:space="preserve">ATOMIZADORA MASTER 452|PM3 - 150 HR|2</t>
  </si>
  <si>
    <t xml:space="preserve">ATOMIZADORA MASTER 452|11</t>
  </si>
  <si>
    <t xml:space="preserve">ATOMIZADORA MASTER 452|PM3 - 150 HR|3</t>
  </si>
  <si>
    <t xml:space="preserve">PM4 - 200 HR</t>
  </si>
  <si>
    <t xml:space="preserve">ATOMIZADORA MASTER 452|12</t>
  </si>
  <si>
    <t xml:space="preserve">ATOMIZADORA MASTER 452|PM4 - 200 HR|1</t>
  </si>
  <si>
    <t xml:space="preserve">ATOMIZADORA MASTER 452|13</t>
  </si>
  <si>
    <t xml:space="preserve">ATOMIZADORA MASTER 452|PM4 - 200 HR|2</t>
  </si>
  <si>
    <t xml:space="preserve">ATOMIZADORA MASTER 452|14</t>
  </si>
  <si>
    <t xml:space="preserve">ATOMIZADORA MASTER 452|PM4 - 200 HR|3</t>
  </si>
  <si>
    <t xml:space="preserve">ATOMIZADORA MASTER 452|15</t>
  </si>
  <si>
    <t xml:space="preserve">ATOMIZADORA MASTER 452|PM4 - 200 HR|4</t>
  </si>
  <si>
    <t xml:space="preserve">ATOMIZADORA MASTER 452|16</t>
  </si>
  <si>
    <t xml:space="preserve">ATOMIZADORA MASTER 452|PM4 - 200 HR|5</t>
  </si>
  <si>
    <t xml:space="preserve">ATOMIZADORA MASTER 452|17</t>
  </si>
  <si>
    <t xml:space="preserve">ATOMIZADORA MASTER 452|PM4 - 200 HR|6</t>
  </si>
  <si>
    <t xml:space="preserve">ATOMIZADORA CIFARELLI M1200|1</t>
  </si>
  <si>
    <t xml:space="preserve">ATOMIZADORA CIFARELLI M1200|PM1 - 50 HR|1</t>
  </si>
  <si>
    <t xml:space="preserve">ATOMIZADORA CIFARELLI M1200|2</t>
  </si>
  <si>
    <t xml:space="preserve">ATOMIZADORA CIFARELLI M1200|PM1 - 50 HR|2</t>
  </si>
  <si>
    <t xml:space="preserve">ATOMIZADORA CIFARELLI M1200|3</t>
  </si>
  <si>
    <t xml:space="preserve">ATOMIZADORA CIFARELLI M1200|PM1 - 50 HR|3</t>
  </si>
  <si>
    <t xml:space="preserve">ATOMIZADORA CIFARELLI M1200|4</t>
  </si>
  <si>
    <t xml:space="preserve">ATOMIZADORA CIFARELLI M1200|PM2 - 100 HR|1</t>
  </si>
  <si>
    <t xml:space="preserve">ATOMIZADORA CIFARELLI M1200|5</t>
  </si>
  <si>
    <t xml:space="preserve">ATOMIZADORA CIFARELLI M1200|PM2 - 100 HR|2</t>
  </si>
  <si>
    <t xml:space="preserve">ATOMIZADORA CIFARELLI M1200|6</t>
  </si>
  <si>
    <t xml:space="preserve">ATOMIZADORA CIFARELLI M1200|PM2 - 100 HR|3</t>
  </si>
  <si>
    <t xml:space="preserve">ATOMIZADORA CIFARELLI M1200|7</t>
  </si>
  <si>
    <t xml:space="preserve">ATOMIZADORA CIFARELLI M1200|PM2 - 100 HR|4</t>
  </si>
  <si>
    <t xml:space="preserve">ATOMIZADORA CIFARELLI M1200|8</t>
  </si>
  <si>
    <t xml:space="preserve">ATOMIZADORA CIFARELLI M1200|PM2 - 100 HR|5</t>
  </si>
  <si>
    <t xml:space="preserve">ATOMIZADORA CIFARELLI M1200|9</t>
  </si>
  <si>
    <t xml:space="preserve">ATOMIZADORA CIFARELLI M1200|PM3 - 150 HR|1</t>
  </si>
  <si>
    <t xml:space="preserve">ATOMIZADORA CIFARELLI M1200|10</t>
  </si>
  <si>
    <t xml:space="preserve">ATOMIZADORA CIFARELLI M1200|PM3 - 150 HR|2</t>
  </si>
  <si>
    <t xml:space="preserve">ATOMIZADORA CIFARELLI M1200|11</t>
  </si>
  <si>
    <t xml:space="preserve">ATOMIZADORA CIFARELLI M1200|PM3 - 150 HR|3</t>
  </si>
  <si>
    <t xml:space="preserve">ATOMIZADORA CIFARELLI M1200|12</t>
  </si>
  <si>
    <t xml:space="preserve">ATOMIZADORA CIFARELLI M1200|PM4 - 200 HR|1</t>
  </si>
  <si>
    <t xml:space="preserve">ATOMIZADORA CIFARELLI M1200|13</t>
  </si>
  <si>
    <t xml:space="preserve">ATOMIZADORA CIFARELLI M1200|PM4 - 200 HR|2</t>
  </si>
  <si>
    <t xml:space="preserve">ATOMIZADORA CIFARELLI M1200|14</t>
  </si>
  <si>
    <t xml:space="preserve">ATOMIZADORA CIFARELLI M1200|PM4 - 200 HR|3</t>
  </si>
  <si>
    <t xml:space="preserve">ATOMIZADORA CIFARELLI M1200|15</t>
  </si>
  <si>
    <t xml:space="preserve">ATOMIZADORA CIFARELLI M1200|PM4 - 200 HR|4</t>
  </si>
  <si>
    <t xml:space="preserve">ATOMIZADORA CIFARELLI M1200|16</t>
  </si>
  <si>
    <t xml:space="preserve">ATOMIZADORA CIFARELLI M1200|PM4 - 200 HR|5</t>
  </si>
  <si>
    <t xml:space="preserve">ATOMIZADORA CIFARELLI M1200|17</t>
  </si>
  <si>
    <t xml:space="preserve">ATOMIZADORA CIFARELLI M1200|PM4 - 200 HR|6</t>
  </si>
  <si>
    <t xml:space="preserve">DESBROZADORA MULTIFUNCIONAL RONIX 4805|1</t>
  </si>
  <si>
    <t xml:space="preserve">DESBROZADORA MULTIFUNCIONAL RONIX 4805|PM1 - 50 HR|1</t>
  </si>
  <si>
    <t xml:space="preserve">DESBROZADORA MULTIFUNCIONAL RONIX 4805|2</t>
  </si>
  <si>
    <t xml:space="preserve">DESBROZADORA MULTIFUNCIONAL RONIX 4805|PM1 - 50 HR|2</t>
  </si>
  <si>
    <t xml:space="preserve">DESBROZADORA MULTIFUNCIONAL RONIX 4805|3</t>
  </si>
  <si>
    <t xml:space="preserve">DESBROZADORA MULTIFUNCIONAL RONIX 4805|PM1 - 50 HR|3</t>
  </si>
  <si>
    <t xml:space="preserve">DESBROZADORA MULTIFUNCIONAL RONIX 4805|4</t>
  </si>
  <si>
    <t xml:space="preserve">DESBROZADORA MULTIFUNCIONAL RONIX 4805|PM1 - 50 HR|4</t>
  </si>
  <si>
    <t xml:space="preserve">DESBROZADORA MULTIFUNCIONAL RONIX 4805|5</t>
  </si>
  <si>
    <t xml:space="preserve">DESBROZADORA MULTIFUNCIONAL RONIX 4805|PM2 - 100 HR|1</t>
  </si>
  <si>
    <t xml:space="preserve">DESBROZADORA MULTIFUNCIONAL RONIX 4805|6</t>
  </si>
  <si>
    <t xml:space="preserve">DESBROZADORA MULTIFUNCIONAL RONIX 4805|PM2 - 100 HR|2</t>
  </si>
  <si>
    <t xml:space="preserve">DESBROZADORA MULTIFUNCIONAL RONIX 4805|7</t>
  </si>
  <si>
    <t xml:space="preserve">DESBROZADORA MULTIFUNCIONAL RONIX 4805|PM2 - 100 HR|3</t>
  </si>
  <si>
    <t xml:space="preserve">DESBROZADORA MULTIFUNCIONAL RONIX 4805|8</t>
  </si>
  <si>
    <t xml:space="preserve">DESBROZADORA MULTIFUNCIONAL RONIX 4805|PM2 - 100 HR|4</t>
  </si>
  <si>
    <t xml:space="preserve">DESBROZADORA MULTIFUNCIONAL RONIX 4805|9</t>
  </si>
  <si>
    <t xml:space="preserve">DESBROZADORA MULTIFUNCIONAL RONIX 4805|PM2 - 100 HR|5</t>
  </si>
  <si>
    <t xml:space="preserve">DESBROZADORA MULTIFUNCIONAL RONIX 4805|10</t>
  </si>
  <si>
    <t xml:space="preserve">DESBROZADORA MULTIFUNCIONAL RONIX 4805|PM2 - 100 HR|6</t>
  </si>
  <si>
    <t xml:space="preserve">DESBROZADORA MULTIFUNCIONAL RONIX 4805|11</t>
  </si>
  <si>
    <t xml:space="preserve">DESBROZADORA MULTIFUNCIONAL RONIX 4805|PM3 - 150 HR|1</t>
  </si>
  <si>
    <t xml:space="preserve">DESBROZADORA MULTIFUNCIONAL RONIX 4805|12</t>
  </si>
  <si>
    <t xml:space="preserve">DESBROZADORA MULTIFUNCIONAL RONIX 4805|PM3 - 150 HR|2</t>
  </si>
  <si>
    <t xml:space="preserve">DESBROZADORA MULTIFUNCIONAL RONIX 4805|13</t>
  </si>
  <si>
    <t xml:space="preserve">DESBROZADORA MULTIFUNCIONAL RONIX 4805|PM3 - 150 HR|3</t>
  </si>
  <si>
    <t xml:space="preserve">DESBROZADORA MULTIFUNCIONAL RONIX 4805|14</t>
  </si>
  <si>
    <t xml:space="preserve">DESBROZADORA MULTIFUNCIONAL RONIX 4805|PM3 - 150 HR|4</t>
  </si>
  <si>
    <t xml:space="preserve">DESBROZADORA MULTIFUNCIONAL RONIX 4805|15</t>
  </si>
  <si>
    <t xml:space="preserve">DESBROZADORA MULTIFUNCIONAL RONIX 4805|PM4 - 200 HR|1</t>
  </si>
  <si>
    <t xml:space="preserve">DESBROZADORA MULTIFUNCIONAL RONIX 4805|16</t>
  </si>
  <si>
    <t xml:space="preserve">DESBROZADORA MULTIFUNCIONAL RONIX 4805|PM4 - 200 HR|2</t>
  </si>
  <si>
    <t xml:space="preserve">DESBROZADORA MULTIFUNCIONAL RONIX 4805|17</t>
  </si>
  <si>
    <t xml:space="preserve">DESBROZADORA MULTIFUNCIONAL RONIX 4805|PM4 - 200 HR|3</t>
  </si>
  <si>
    <t xml:space="preserve">DESBROZADORA MULTIFUNCIONAL RONIX 4805|18</t>
  </si>
  <si>
    <t xml:space="preserve">DESBROZADORA MULTIFUNCIONAL RONIX 4805|PM4 - 200 HR|4</t>
  </si>
  <si>
    <t xml:space="preserve">DESBROZADORA MULTIFUNCIONAL RONIX 4805|19</t>
  </si>
  <si>
    <t xml:space="preserve">DESBROZADORA MULTIFUNCIONAL RONIX 4805|PM4 - 200 HR|5</t>
  </si>
  <si>
    <t xml:space="preserve">DESBROZADORA MULTIFUNCIONAL RONIX 4805|20</t>
  </si>
  <si>
    <t xml:space="preserve">DESBROZADORA MULTIFUNCIONAL RONIX 4805|PM4 - 200 HR|6</t>
  </si>
  <si>
    <t xml:space="preserve">DESBROZADORA MULTIFUNCIONAL RONIX 4805|21</t>
  </si>
  <si>
    <t xml:space="preserve">DESBROZADORA MULTIFUNCIONAL RONIX 4805|PM4 - 200 HR|7</t>
  </si>
  <si>
    <t xml:space="preserve">PM1 - 3 MESES</t>
  </si>
  <si>
    <t xml:space="preserve">CABEZAL</t>
  </si>
  <si>
    <t xml:space="preserve">COMPRESORA 50 LT|1</t>
  </si>
  <si>
    <t xml:space="preserve">COMPRESORA 50 LT|PM1 - 3 MESES|1</t>
  </si>
  <si>
    <t xml:space="preserve">COMPRESORA 50 LT|2</t>
  </si>
  <si>
    <t xml:space="preserve">COMPRESORA 50 LT|PM1 - 3 MESES|2</t>
  </si>
  <si>
    <t xml:space="preserve">PM2 - 6 MESES</t>
  </si>
  <si>
    <t xml:space="preserve">COMPRESORA 50 LT|3</t>
  </si>
  <si>
    <t xml:space="preserve">COMPRESORA 50 LT|PM2 - 6 MESES|1</t>
  </si>
  <si>
    <t xml:space="preserve">COMPRESORA 50 LT|4</t>
  </si>
  <si>
    <t xml:space="preserve">COMPRESORA 50 LT|PM2 - 6 MESES|2</t>
  </si>
  <si>
    <t xml:space="preserve">COMPRESORA 50 LT|5</t>
  </si>
  <si>
    <t xml:space="preserve">COMPRESORA 50 LT|PM2 - 6 MESES|3</t>
  </si>
  <si>
    <t xml:space="preserve">COMPRESORA 227 LT|1</t>
  </si>
  <si>
    <t xml:space="preserve">COMPRESORA 227 LT|PM1 - 3 MESES|1</t>
  </si>
  <si>
    <t xml:space="preserve">COMPRESORA 227 LT|2</t>
  </si>
  <si>
    <t xml:space="preserve">COMPRESORA 227 LT|PM1 - 3 MESES|2</t>
  </si>
  <si>
    <t xml:space="preserve">COMPRESORA 227 LT|3</t>
  </si>
  <si>
    <t xml:space="preserve">COMPRESORA 227 LT|PM2 - 6 MESES|1</t>
  </si>
  <si>
    <t xml:space="preserve">COMPRESORA 227 LT|4</t>
  </si>
  <si>
    <t xml:space="preserve">COMPRESORA 227 LT|PM2 - 6 MESES|2</t>
  </si>
  <si>
    <t xml:space="preserve">COMPRESORA 227 LT|5</t>
  </si>
  <si>
    <t xml:space="preserve">COMPRESORA 227 LT|PM2 - 6 MESES|3</t>
  </si>
  <si>
    <t xml:space="preserve">PM3 - 9 MESES</t>
  </si>
  <si>
    <t xml:space="preserve">COMPRESORA 227 LT|6</t>
  </si>
  <si>
    <t xml:space="preserve">COMPRESORA 227 LT|PM3 - 9 MESES|1</t>
  </si>
  <si>
    <t xml:space="preserve">COMPRESORA 227 LT|7</t>
  </si>
  <si>
    <t xml:space="preserve">COMPRESORA 227 LT|PM3 - 9 MESES|2</t>
  </si>
  <si>
    <t xml:space="preserve">PM4 - 12 MESES</t>
  </si>
  <si>
    <t xml:space="preserve">COMPRESORA 227 LT|8</t>
  </si>
  <si>
    <t xml:space="preserve">COMPRESORA 227 LT|PM4 - 12 MESES|1</t>
  </si>
  <si>
    <t xml:space="preserve">COMPRESORA 227 LT|9</t>
  </si>
  <si>
    <t xml:space="preserve">COMPRESORA 227 LT|PM4 - 12 MESES|2</t>
  </si>
  <si>
    <t xml:space="preserve">COMPRESORA 227 LT|10</t>
  </si>
  <si>
    <t xml:space="preserve">COMPRESORA 227 LT|PM4 - 12 MESES|3</t>
  </si>
  <si>
    <t xml:space="preserve">COMPRESORA 227 LT|11</t>
  </si>
  <si>
    <t xml:space="preserve">COMPRESORA 227 LT|PM4 - 12 MESES|4</t>
  </si>
  <si>
    <t xml:space="preserve">INSPECCIONAR</t>
  </si>
  <si>
    <t xml:space="preserve">LUZ DE VÁLVULAS (REGULAR SI ES NECESARIO)</t>
  </si>
  <si>
    <t xml:space="preserve">VELOCIDAD DE RALENTÍ</t>
  </si>
  <si>
    <t xml:space="preserve">FUGAS DE ACEITE Y ESTADO DE EMPAQUES</t>
  </si>
  <si>
    <t xml:space="preserve">LIMPIAR</t>
  </si>
  <si>
    <t xml:space="preserve">MALLA (COLADOR) DE ACEITE</t>
  </si>
  <si>
    <t xml:space="preserve">FILTRO DE AIRE</t>
  </si>
  <si>
    <t xml:space="preserve">MANGUERA DE COMBUSTIBLE (GRIETAS Y FUGAS)</t>
  </si>
  <si>
    <t xml:space="preserve">FUNCIONAMIENTO DEL ACELERADOR Y CHOKE</t>
  </si>
  <si>
    <t xml:space="preserve">TRIMOTO MAVILA CARGO 250|PM1 - 1000 KM|7</t>
  </si>
  <si>
    <t xml:space="preserve">BUJÍA: LIMPIAR Y CALIBRAR</t>
  </si>
  <si>
    <t xml:space="preserve">TRIMOTO MAVILA CARGO 250|PM1 - 1000 KM|8</t>
  </si>
  <si>
    <t xml:space="preserve">EMBRAGUE (JUEGO LIBRE DEL CABLE) Y CAMBIOS</t>
  </si>
  <si>
    <t xml:space="preserve">TRIMOTO MAVILA CARGO 250|PM1 - 1000 KM|9</t>
  </si>
  <si>
    <t xml:space="preserve">CARDÁN</t>
  </si>
  <si>
    <t xml:space="preserve">CRUCETAS (JUEGO) Y GUARDAPOLVOS</t>
  </si>
  <si>
    <t xml:space="preserve">TRIMOTO MAVILA CARGO 250|PM1 - 1000 KM|10</t>
  </si>
  <si>
    <t xml:space="preserve">LUBRICAR</t>
  </si>
  <si>
    <t xml:space="preserve">CRUCETAS Y ESTRIADO DEL CARDÁN</t>
  </si>
  <si>
    <t xml:space="preserve">TRIMOTO MAVILA CARGO 250|PM1 - 1000 KM|11</t>
  </si>
  <si>
    <t xml:space="preserve">NIVEL DE ACEITE Y FUGAS</t>
  </si>
  <si>
    <t xml:space="preserve">TRIMOTO MAVILA CARGO 250|PM1 - 1000 KM|12</t>
  </si>
  <si>
    <t xml:space="preserve">RUIDOS Y RESPIRADERO</t>
  </si>
  <si>
    <t xml:space="preserve">TRIMOTO MAVILA CARGO 250|PM1 - 1000 KM|13</t>
  </si>
  <si>
    <t xml:space="preserve">EJES / RODAJES</t>
  </si>
  <si>
    <t xml:space="preserve">PALIERES, RODAJES DE RUEDA Y RETENES (JUEGO, RUIDO Y FUGAS)</t>
  </si>
  <si>
    <t xml:space="preserve">TRIMOTO MAVILA CARGO 250|PM1 - 1000 KM|14</t>
  </si>
  <si>
    <t xml:space="preserve">FRENOS</t>
  </si>
  <si>
    <t xml:space="preserve">ZAPATAS, TAMBORES, CABLES Y JUEGO LIBRE DE PALANCA Y PEDAL</t>
  </si>
  <si>
    <t xml:space="preserve">TRIMOTO MAVILA CARGO 250|PM1 - 1000 KM|15</t>
  </si>
  <si>
    <t xml:space="preserve">DIRECCIÓN</t>
  </si>
  <si>
    <t xml:space="preserve">RODAJES DE DIRECCIÓN Y JUEGO DEL TIMÓN</t>
  </si>
  <si>
    <t xml:space="preserve">TRIMOTO MAVILA CARGO 250|PM1 - 1000 KM|16</t>
  </si>
  <si>
    <t xml:space="preserve">RODAJES DE DIRECCIÓN</t>
  </si>
  <si>
    <t xml:space="preserve">TRIMOTO MAVILA CARGO 250|PM1 - 1000 KM|17</t>
  </si>
  <si>
    <t xml:space="preserve">SUSPENSIÓN DELANTERA</t>
  </si>
  <si>
    <t xml:space="preserve">HORQUILLAS: FUGAS DE RETENES Y FUNCIONAMIENTO</t>
  </si>
  <si>
    <t xml:space="preserve">TRIMOTO MAVILA CARGO 250|PM1 - 1000 KM|18</t>
  </si>
  <si>
    <t xml:space="preserve">SUSPENSIÓN TRASERA</t>
  </si>
  <si>
    <t xml:space="preserve">MUELLES (HOJAS ROTAS), ABRAZADERAS, BUJES Y AMORTIGUADOR</t>
  </si>
  <si>
    <t xml:space="preserve">TRIMOTO MAVILA CARGO 250|PM1 - 1000 KM|19</t>
  </si>
  <si>
    <t xml:space="preserve">CONTROLES</t>
  </si>
  <si>
    <t xml:space="preserve">MANIJAS Y CABLES DE FRENO, EMBRAGUE Y ACELERADOR</t>
  </si>
  <si>
    <t xml:space="preserve">TRIMOTO MAVILA CARGO 250|PM1 - 1000 KM|20</t>
  </si>
  <si>
    <t xml:space="preserve">RUEDAS</t>
  </si>
  <si>
    <t xml:space="preserve">PRESIÓN, DESGASTE DE LLANTAS Y AJUSTE DE TUERCAS</t>
  </si>
  <si>
    <t xml:space="preserve">TRIMOTO MAVILA CARGO 250|PM1 - 1000 KM|21</t>
  </si>
  <si>
    <t xml:space="preserve">SISTEMA ELÉCTRICO</t>
  </si>
  <si>
    <t xml:space="preserve">BATERÍA, BORNES, LUCES, CLAXON E INTERRUPTORES</t>
  </si>
  <si>
    <t xml:space="preserve">TRIMOTO MAVILA CARGO 250|PM1 - 1000 KM|22</t>
  </si>
  <si>
    <t xml:space="preserve">CHASIS / TOLVA</t>
  </si>
  <si>
    <t xml:space="preserve">SOLDADURAS, PERNOS DE TOLVA Y BASTIDOR</t>
  </si>
  <si>
    <t xml:space="preserve">TRIMOTO MAVILA CARGO 250|PM1 - 1000 KM|23</t>
  </si>
  <si>
    <t xml:space="preserve">TRIMOTO MAVILA CARGO 250|PM2 - 2000 KM|8</t>
  </si>
  <si>
    <t xml:space="preserve">TRIMOTO MAVILA CARGO 250|PM2 - 2000 KM|9</t>
  </si>
  <si>
    <t xml:space="preserve">TRIMOTO MAVILA CARGO 250|PM2 - 2000 KM|10</t>
  </si>
  <si>
    <t xml:space="preserve">TRIMOTO MAVILA CARGO 250|PM2 - 2000 KM|11</t>
  </si>
  <si>
    <t xml:space="preserve">TRIMOTO MAVILA CARGO 250|PM2 - 2000 KM|12</t>
  </si>
  <si>
    <t xml:space="preserve">TRIMOTO MAVILA CARGO 250|PM2 - 2000 KM|13</t>
  </si>
  <si>
    <t xml:space="preserve">TRIMOTO MAVILA CARGO 250|PM2 - 2000 KM|14</t>
  </si>
  <si>
    <t xml:space="preserve">TRIMOTO MAVILA CARGO 250|PM2 - 2000 KM|15</t>
  </si>
  <si>
    <t xml:space="preserve">TRIMOTO MAVILA CARGO 250|PM2 - 2000 KM|16</t>
  </si>
  <si>
    <t xml:space="preserve">TRIMOTO MAVILA CARGO 250|PM2 - 2000 KM|17</t>
  </si>
  <si>
    <t xml:space="preserve">TRIMOTO MAVILA CARGO 250|PM2 - 2000 KM|18</t>
  </si>
  <si>
    <t xml:space="preserve">TRIMOTO MAVILA CARGO 250|PM2 - 2000 KM|19</t>
  </si>
  <si>
    <t xml:space="preserve">TRIMOTO MAVILA CARGO 250|PM2 - 2000 KM|20</t>
  </si>
  <si>
    <t xml:space="preserve">TRIMOTO MAVILA CARGO 250|PM2 - 2000 KM|21</t>
  </si>
  <si>
    <t xml:space="preserve">TRIMOTO MAVILA CARGO 250|45</t>
  </si>
  <si>
    <t xml:space="preserve">TRIMOTO MAVILA CARGO 250|PM2 - 2000 KM|22</t>
  </si>
  <si>
    <t xml:space="preserve">TRIMOTO MAVILA CARGO 250|46</t>
  </si>
  <si>
    <t xml:space="preserve">TRIMOTO MAVILA CARGO 250|PM2 - 2000 KM|23</t>
  </si>
  <si>
    <t xml:space="preserve">TRIMOTO MAVILA CARGO 250|47</t>
  </si>
  <si>
    <t xml:space="preserve">TRIMOTO MAVILA CARGO 250|48</t>
  </si>
  <si>
    <t xml:space="preserve">TRIMOTO MAVILA CARGO 250|49</t>
  </si>
  <si>
    <t xml:space="preserve">TRIMOTO MAVILA CARGO 250|50</t>
  </si>
  <si>
    <t xml:space="preserve">TRIMOTO MAVILA CARGO 250|51</t>
  </si>
  <si>
    <t xml:space="preserve">TRIMOTO MAVILA CARGO 250|52</t>
  </si>
  <si>
    <t xml:space="preserve">TRIMOTO MAVILA CARGO 250|53</t>
  </si>
  <si>
    <t xml:space="preserve">TRIMOTO MAVILA CARGO 250|PM3 - 3000 KM|7</t>
  </si>
  <si>
    <t xml:space="preserve">TRIMOTO MAVILA CARGO 250|54</t>
  </si>
  <si>
    <t xml:space="preserve">TRIMOTO MAVILA CARGO 250|PM3 - 3000 KM|8</t>
  </si>
  <si>
    <t xml:space="preserve">TRIMOTO MAVILA CARGO 250|55</t>
  </si>
  <si>
    <t xml:space="preserve">TRIMOTO MAVILA CARGO 250|PM3 - 3000 KM|9</t>
  </si>
  <si>
    <t xml:space="preserve">TRIMOTO MAVILA CARGO 250|56</t>
  </si>
  <si>
    <t xml:space="preserve">TRIMOTO MAVILA CARGO 250|PM3 - 3000 KM|10</t>
  </si>
  <si>
    <t xml:space="preserve">TRIMOTO MAVILA CARGO 250|57</t>
  </si>
  <si>
    <t xml:space="preserve">TRIMOTO MAVILA CARGO 250|PM3 - 3000 KM|11</t>
  </si>
  <si>
    <t xml:space="preserve">TRIMOTO MAVILA CARGO 250|58</t>
  </si>
  <si>
    <t xml:space="preserve">TRIMOTO MAVILA CARGO 250|PM3 - 3000 KM|12</t>
  </si>
  <si>
    <t xml:space="preserve">TRIMOTO MAVILA CARGO 250|59</t>
  </si>
  <si>
    <t xml:space="preserve">TRIMOTO MAVILA CARGO 250|PM3 - 3000 KM|13</t>
  </si>
  <si>
    <t xml:space="preserve">TRIMOTO MAVILA CARGO 250|60</t>
  </si>
  <si>
    <t xml:space="preserve">TRIMOTO MAVILA CARGO 250|PM3 - 3000 KM|14</t>
  </si>
  <si>
    <t xml:space="preserve">TRIMOTO MAVILA CARGO 250|61</t>
  </si>
  <si>
    <t xml:space="preserve">TRIMOTO MAVILA CARGO 250|PM3 - 3000 KM|15</t>
  </si>
  <si>
    <t xml:space="preserve">TRIMOTO MAVILA CARGO 250|62</t>
  </si>
  <si>
    <t xml:space="preserve">TRIMOTO MAVILA CARGO 250|PM3 - 3000 KM|16</t>
  </si>
  <si>
    <t xml:space="preserve">TRIMOTO MAVILA CARGO 250|63</t>
  </si>
  <si>
    <t xml:space="preserve">TRIMOTO MAVILA CARGO 250|PM3 - 3000 KM|17</t>
  </si>
  <si>
    <t xml:space="preserve">TRIMOTO MAVILA CARGO 250|64</t>
  </si>
  <si>
    <t xml:space="preserve">TRIMOTO MAVILA CARGO 250|PM3 - 3000 KM|18</t>
  </si>
  <si>
    <t xml:space="preserve">TRIMOTO MAVILA CARGO 250|65</t>
  </si>
  <si>
    <t xml:space="preserve">TRIMOTO MAVILA CARGO 250|PM3 - 3000 KM|19</t>
  </si>
  <si>
    <t xml:space="preserve">TRIMOTO MAVILA CARGO 250|66</t>
  </si>
  <si>
    <t xml:space="preserve">TRIMOTO MAVILA CARGO 250|PM3 - 3000 KM|20</t>
  </si>
  <si>
    <t xml:space="preserve">TRIMOTO MAVILA CARGO 250|67</t>
  </si>
  <si>
    <t xml:space="preserve">TRIMOTO MAVILA CARGO 250|PM3 - 3000 KM|21</t>
  </si>
  <si>
    <t xml:space="preserve">TRIMOTO MAVILA CARGO 250|68</t>
  </si>
  <si>
    <t xml:space="preserve">TRIMOTO MAVILA CARGO 250|PM3 - 3000 KM|22</t>
  </si>
  <si>
    <t xml:space="preserve">TRIMOTO MAVILA CARGO 250|69</t>
  </si>
  <si>
    <t xml:space="preserve">TRIMOTO MAVILA CARGO 250|PM3 - 3000 KM|23</t>
  </si>
  <si>
    <t xml:space="preserve">TRIMOTO MAVILA CARGO 250|70</t>
  </si>
  <si>
    <t xml:space="preserve">TRIMOTO MAVILA CARGO 250|71</t>
  </si>
  <si>
    <t xml:space="preserve">TRIMOTO MAVILA CARGO 250|72</t>
  </si>
  <si>
    <t xml:space="preserve">TRIMOTO MAVILA CARGO 250|73</t>
  </si>
  <si>
    <t xml:space="preserve">TRIMOTO MAVILA CARGO 250|74</t>
  </si>
  <si>
    <t xml:space="preserve">TRIMOTO MAVILA CARGO 250|75</t>
  </si>
  <si>
    <t xml:space="preserve">TRIMOTO MAVILA CARGO 250|76</t>
  </si>
  <si>
    <t xml:space="preserve">TRIMOTO MAVILA CARGO 250|77</t>
  </si>
  <si>
    <t xml:space="preserve">TRIMOTO MAVILA CARGO 250|78</t>
  </si>
  <si>
    <t xml:space="preserve">TRIMOTO MAVILA CARGO 250|79</t>
  </si>
  <si>
    <t xml:space="preserve">TRIMOTO MAVILA CARGO 250|PM4 - 4000 KM|10</t>
  </si>
  <si>
    <t xml:space="preserve">TRIMOTO MAVILA CARGO 250|80</t>
  </si>
  <si>
    <t xml:space="preserve">TRIMOTO MAVILA CARGO 250|PM4 - 4000 KM|11</t>
  </si>
  <si>
    <t xml:space="preserve">TRIMOTO MAVILA CARGO 250|81</t>
  </si>
  <si>
    <t xml:space="preserve">TRIMOTO MAVILA CARGO 250|PM4 - 4000 KM|12</t>
  </si>
  <si>
    <t xml:space="preserve">TRIMOTO MAVILA CARGO 250|82</t>
  </si>
  <si>
    <t xml:space="preserve">TRIMOTO MAVILA CARGO 250|PM4 - 4000 KM|13</t>
  </si>
  <si>
    <t xml:space="preserve">TRIMOTO MAVILA CARGO 250|83</t>
  </si>
  <si>
    <t xml:space="preserve">TRIMOTO MAVILA CARGO 250|PM4 - 4000 KM|14</t>
  </si>
  <si>
    <t xml:space="preserve">TRIMOTO MAVILA CARGO 250|84</t>
  </si>
  <si>
    <t xml:space="preserve">TRIMOTO MAVILA CARGO 250|PM4 - 4000 KM|15</t>
  </si>
  <si>
    <t xml:space="preserve">TRIMOTO MAVILA CARGO 250|85</t>
  </si>
  <si>
    <t xml:space="preserve">TRIMOTO MAVILA CARGO 250|PM4 - 4000 KM|16</t>
  </si>
  <si>
    <t xml:space="preserve">TRIMOTO MAVILA CARGO 250|86</t>
  </si>
  <si>
    <t xml:space="preserve">TRIMOTO MAVILA CARGO 250|PM4 - 4000 KM|17</t>
  </si>
  <si>
    <t xml:space="preserve">TRIMOTO MAVILA CARGO 250|87</t>
  </si>
  <si>
    <t xml:space="preserve">TRIMOTO MAVILA CARGO 250|PM4 - 4000 KM|18</t>
  </si>
  <si>
    <t xml:space="preserve">TRIMOTO MAVILA CARGO 250|88</t>
  </si>
  <si>
    <t xml:space="preserve">TRIMOTO MAVILA CARGO 250|PM4 - 4000 KM|19</t>
  </si>
  <si>
    <t xml:space="preserve">TRIMOTO MAVILA CARGO 250|89</t>
  </si>
  <si>
    <t xml:space="preserve">TRIMOTO MAVILA CARGO 250|PM4 - 4000 KM|20</t>
  </si>
  <si>
    <t xml:space="preserve">TRIMOTO MAVILA CARGO 250|90</t>
  </si>
  <si>
    <t xml:space="preserve">TRIMOTO MAVILA CARGO 250|PM4 - 4000 KM|21</t>
  </si>
  <si>
    <t xml:space="preserve">TRIMOTO MAVILA CARGO 250|91</t>
  </si>
  <si>
    <t xml:space="preserve">TRIMOTO MAVILA CARGO 250|92</t>
  </si>
  <si>
    <t xml:space="preserve">TRIMOTO MAVILA CARGO 250|93</t>
  </si>
  <si>
    <t xml:space="preserve">TRIMOTO MAVILA CARGO 250|94</t>
  </si>
  <si>
    <t xml:space="preserve">TRIMOTO MAVILA CARGO 250|95</t>
  </si>
  <si>
    <t xml:space="preserve">TRIMOTO MAVILA CARGO 250|96</t>
  </si>
  <si>
    <t xml:space="preserve">TRIMOTO MAVILA CARGO 250|97</t>
  </si>
  <si>
    <t xml:space="preserve">TRIMOTO MAVILA CARGO 250|PM5 - 5000 KM|7</t>
  </si>
  <si>
    <t xml:space="preserve">TRIMOTO MAVILA CARGO 250|98</t>
  </si>
  <si>
    <t xml:space="preserve">TRIMOTO MAVILA CARGO 250|PM5 - 5000 KM|8</t>
  </si>
  <si>
    <t xml:space="preserve">TRIMOTO MAVILA CARGO 250|99</t>
  </si>
  <si>
    <t xml:space="preserve">TRIMOTO MAVILA CARGO 250|PM5 - 5000 KM|9</t>
  </si>
  <si>
    <t xml:space="preserve">TRIMOTO MAVILA CARGO 250|100</t>
  </si>
  <si>
    <t xml:space="preserve">TRIMOTO MAVILA CARGO 250|PM5 - 5000 KM|10</t>
  </si>
  <si>
    <t xml:space="preserve">TRIMOTO MAVILA CARGO 250|101</t>
  </si>
  <si>
    <t xml:space="preserve">TRIMOTO MAVILA CARGO 250|PM5 - 5000 KM|11</t>
  </si>
  <si>
    <t xml:space="preserve">TRIMOTO MAVILA CARGO 250|102</t>
  </si>
  <si>
    <t xml:space="preserve">TRIMOTO MAVILA CARGO 250|PM5 - 5000 KM|12</t>
  </si>
  <si>
    <t xml:space="preserve">TRIMOTO MAVILA CARGO 250|103</t>
  </si>
  <si>
    <t xml:space="preserve">TRIMOTO MAVILA CARGO 250|PM5 - 5000 KM|13</t>
  </si>
  <si>
    <t xml:space="preserve">TRIMOTO MAVILA CARGO 250|104</t>
  </si>
  <si>
    <t xml:space="preserve">TRIMOTO MAVILA CARGO 250|PM5 - 5000 KM|14</t>
  </si>
  <si>
    <t xml:space="preserve">TRIMOTO MAVILA CARGO 250|105</t>
  </si>
  <si>
    <t xml:space="preserve">TRIMOTO MAVILA CARGO 250|PM5 - 5000 KM|15</t>
  </si>
  <si>
    <t xml:space="preserve">TRIMOTO MAVILA CARGO 250|106</t>
  </si>
  <si>
    <t xml:space="preserve">TRIMOTO MAVILA CARGO 250|PM5 - 5000 KM|16</t>
  </si>
  <si>
    <t xml:space="preserve">TRIMOTO MAVILA CARGO 250|107</t>
  </si>
  <si>
    <t xml:space="preserve">TRIMOTO MAVILA CARGO 250|PM5 - 5000 KM|17</t>
  </si>
  <si>
    <t xml:space="preserve">TRIMOTO MAVILA CARGO 250|108</t>
  </si>
  <si>
    <t xml:space="preserve">TRIMOTO MAVILA CARGO 250|PM5 - 5000 KM|18</t>
  </si>
  <si>
    <t xml:space="preserve">TRIMOTO MAVILA CARGO 250|109</t>
  </si>
  <si>
    <t xml:space="preserve">TRIMOTO MAVILA CARGO 250|PM5 - 5000 KM|19</t>
  </si>
  <si>
    <t xml:space="preserve">TRIMOTO MAVILA CARGO 250|110</t>
  </si>
  <si>
    <t xml:space="preserve">TRIMOTO MAVILA CARGO 250|PM5 - 5000 KM|20</t>
  </si>
  <si>
    <t xml:space="preserve">TRIMOTO MAVILA CARGO 250|111</t>
  </si>
  <si>
    <t xml:space="preserve">TRIMOTO MAVILA CARGO 250|PM5 - 5000 KM|21</t>
  </si>
  <si>
    <t xml:space="preserve">TRIMOTO MAVILA CARGO 250|112</t>
  </si>
  <si>
    <t xml:space="preserve">TRIMOTO MAVILA CARGO 250|PM5 - 5000 KM|22</t>
  </si>
  <si>
    <t xml:space="preserve">TRIMOTO MAVILA CARGO 250|113</t>
  </si>
  <si>
    <t xml:space="preserve">TRIMOTO MAVILA CARGO 250|PM5 - 5000 KM|23</t>
  </si>
  <si>
    <t xml:space="preserve">TRIMOTO MAVILA CARGO 250|114</t>
  </si>
  <si>
    <t xml:space="preserve">TRIMOTO MAVILA CARGO 250|115</t>
  </si>
  <si>
    <t xml:space="preserve">TRIMOTO MAVILA CARGO 250|116</t>
  </si>
  <si>
    <t xml:space="preserve">TRIMOTO MAVILA CARGO 250|117</t>
  </si>
  <si>
    <t xml:space="preserve">TRIMOTO MAVILA CARGO 250|118</t>
  </si>
  <si>
    <t xml:space="preserve">TRIMOTO MAVILA CARGO 250|119</t>
  </si>
  <si>
    <t xml:space="preserve">TRIMOTO MAVILA CARGO 250|120</t>
  </si>
  <si>
    <t xml:space="preserve">TRIMOTO MAVILA CARGO 250|121</t>
  </si>
  <si>
    <t xml:space="preserve">TRIMOTO MAVILA CARGO 250|122</t>
  </si>
  <si>
    <t xml:space="preserve">TRIMOTO MAVILA CARGO 250|123</t>
  </si>
  <si>
    <t xml:space="preserve">TRIMOTO MAVILA CARGO 250|124</t>
  </si>
  <si>
    <t xml:space="preserve">TRIMOTO MAVILA CARGO 250|PM6 - 6000 KM|11</t>
  </si>
  <si>
    <t xml:space="preserve">TRIMOTO MAVILA CARGO 250|125</t>
  </si>
  <si>
    <t xml:space="preserve">TRIMOTO MAVILA CARGO 250|PM6 - 6000 KM|12</t>
  </si>
  <si>
    <t xml:space="preserve">TRIMOTO MAVILA CARGO 250|126</t>
  </si>
  <si>
    <t xml:space="preserve">TRIMOTO MAVILA CARGO 250|PM6 - 6000 KM|13</t>
  </si>
  <si>
    <t xml:space="preserve">TRIMOTO MAVILA CARGO 250|127</t>
  </si>
  <si>
    <t xml:space="preserve">TRIMOTO MAVILA CARGO 250|PM6 - 6000 KM|14</t>
  </si>
  <si>
    <t xml:space="preserve">TRIMOTO MAVILA CARGO 250|128</t>
  </si>
  <si>
    <t xml:space="preserve">TRIMOTO MAVILA CARGO 250|PM6 - 6000 KM|15</t>
  </si>
  <si>
    <t xml:space="preserve">TRIMOTO MAVILA CARGO 250|129</t>
  </si>
  <si>
    <t xml:space="preserve">TRIMOTO MAVILA CARGO 250|PM6 - 6000 KM|16</t>
  </si>
  <si>
    <t xml:space="preserve">TRIMOTO MAVILA CARGO 250|130</t>
  </si>
  <si>
    <t xml:space="preserve">TRIMOTO MAVILA CARGO 250|PM6 - 6000 KM|17</t>
  </si>
  <si>
    <t xml:space="preserve">TRIMOTO MAVILA CARGO 250|131</t>
  </si>
  <si>
    <t xml:space="preserve">TRIMOTO MAVILA CARGO 250|PM6 - 6000 KM|18</t>
  </si>
  <si>
    <t xml:space="preserve">TRIMOTO MAVILA CARGO 250|132</t>
  </si>
  <si>
    <t xml:space="preserve">TRIMOTO MAVILA CARGO 250|PM6 - 6000 KM|19</t>
  </si>
  <si>
    <t xml:space="preserve">TRIMOTO MAVILA CARGO 250|133</t>
  </si>
  <si>
    <t xml:space="preserve">TRIMOTO MAVILA CARGO 250|PM6 - 6000 KM|20</t>
  </si>
  <si>
    <t xml:space="preserve">FILTRO DE AIRE DE ESPUMA (LAVAR Y ACEITAR)</t>
  </si>
  <si>
    <t xml:space="preserve">TUBO DE DRENAJE DE LA CAJA DEL FILTRO</t>
  </si>
  <si>
    <t xml:space="preserve">HONDA TRX250|PM1 - 1000 KM|7</t>
  </si>
  <si>
    <t xml:space="preserve">HONDA TRX250|PM1 - 1000 KM|8</t>
  </si>
  <si>
    <t xml:space="preserve">NIVEL DE ACEITE DE CAJA FINAL (CORONA)</t>
  </si>
  <si>
    <t xml:space="preserve">HONDA TRX250|PM1 - 1000 KM|9</t>
  </si>
  <si>
    <t xml:space="preserve">EMBRAGUE Y CAMBIOS</t>
  </si>
  <si>
    <t xml:space="preserve">HONDA TRX250|PM1 - 1000 KM|10</t>
  </si>
  <si>
    <t xml:space="preserve">ZAPATAS, TAMBORES, CABLES Y JUEGO LIBRE DE PALANCAS/PEDAL</t>
  </si>
  <si>
    <t xml:space="preserve">HONDA TRX250|PM1 - 1000 KM|11</t>
  </si>
  <si>
    <t xml:space="preserve">TERMINALES, RÓTULAS Y JUEGO DEL TIMÓN</t>
  </si>
  <si>
    <t xml:space="preserve">HONDA TRX250|PM1 - 1000 KM|12</t>
  </si>
  <si>
    <t xml:space="preserve">SUSPENSIÓN</t>
  </si>
  <si>
    <t xml:space="preserve">AMORTIGUADORES Y BUJES</t>
  </si>
  <si>
    <t xml:space="preserve">HONDA TRX250|PM1 - 1000 KM|13</t>
  </si>
  <si>
    <t xml:space="preserve">EJE TRASERO, RODAJES DE RUEDA Y RETENES (JUEGO, RUIDO Y FUGAS)</t>
  </si>
  <si>
    <t xml:space="preserve">HONDA TRX250|PM1 - 1000 KM|14</t>
  </si>
  <si>
    <t xml:space="preserve">HONDA TRX250|PM1 - 1000 KM|15</t>
  </si>
  <si>
    <t xml:space="preserve">BATERÍA, BORNES, LUCES E INTERRUPTORES</t>
  </si>
  <si>
    <t xml:space="preserve">HONDA TRX250|PM1 - 1000 KM|16</t>
  </si>
  <si>
    <t xml:space="preserve">AJUSTE DE PERNOS Y TUERCAS EN GENERAL</t>
  </si>
  <si>
    <t xml:space="preserve">HONDA TRX250|PM1 - 1000 KM|17</t>
  </si>
  <si>
    <t xml:space="preserve">COLADOR (MALLA) DE ACEITE</t>
  </si>
  <si>
    <t xml:space="preserve">FILTRO CENTRÍFUGO DE ACEITE</t>
  </si>
  <si>
    <t xml:space="preserve">HONDA TRX250|PM2 - 2000 KM|9</t>
  </si>
  <si>
    <t xml:space="preserve">HONDA TRX250|PM2 - 2000 KM|10</t>
  </si>
  <si>
    <t xml:space="preserve">HONDA TRX250|PM2 - 2000 KM|11</t>
  </si>
  <si>
    <t xml:space="preserve">HONDA TRX250|PM2 - 2000 KM|12</t>
  </si>
  <si>
    <t xml:space="preserve">HONDA TRX250|PM2 - 2000 KM|13</t>
  </si>
  <si>
    <t xml:space="preserve">HONDA TRX250|PM2 - 2000 KM|14</t>
  </si>
  <si>
    <t xml:space="preserve">HONDA TRX250|PM2 - 2000 KM|15</t>
  </si>
  <si>
    <t xml:space="preserve">HONDA TRX250|PM2 - 2000 KM|16</t>
  </si>
  <si>
    <t xml:space="preserve">HONDA TRX250|PM2 - 2000 KM|17</t>
  </si>
  <si>
    <t xml:space="preserve">HONDA TRX250|PM2 - 2000 KM|18</t>
  </si>
  <si>
    <t xml:space="preserve">ESCAPE</t>
  </si>
  <si>
    <t xml:space="preserve">ARRESTACHISPAS DEL SILENCIADOR</t>
  </si>
  <si>
    <t xml:space="preserve">HONDA TRX250|PM2 - 2000 KM|19</t>
  </si>
  <si>
    <t xml:space="preserve">HONDA TRX250|PM2 - 2000 KM|20</t>
  </si>
  <si>
    <t xml:space="preserve">HONDA TRX250|PM3 - 3000 KM|7</t>
  </si>
  <si>
    <t xml:space="preserve">HONDA TRX250|PM3 - 3000 KM|8</t>
  </si>
  <si>
    <t xml:space="preserve">HONDA TRX250|PM3 - 3000 KM|9</t>
  </si>
  <si>
    <t xml:space="preserve">HONDA TRX250|PM3 - 3000 KM|10</t>
  </si>
  <si>
    <t xml:space="preserve">HONDA TRX250|48</t>
  </si>
  <si>
    <t xml:space="preserve">HONDA TRX250|PM3 - 3000 KM|11</t>
  </si>
  <si>
    <t xml:space="preserve">HONDA TRX250|49</t>
  </si>
  <si>
    <t xml:space="preserve">HONDA TRX250|PM3 - 3000 KM|12</t>
  </si>
  <si>
    <t xml:space="preserve">HONDA TRX250|50</t>
  </si>
  <si>
    <t xml:space="preserve">HONDA TRX250|PM3 - 3000 KM|13</t>
  </si>
  <si>
    <t xml:space="preserve">HONDA TRX250|51</t>
  </si>
  <si>
    <t xml:space="preserve">HONDA TRX250|PM3 - 3000 KM|14</t>
  </si>
  <si>
    <t xml:space="preserve">HONDA TRX250|52</t>
  </si>
  <si>
    <t xml:space="preserve">HONDA TRX250|PM3 - 3000 KM|15</t>
  </si>
  <si>
    <t xml:space="preserve">HONDA TRX250|53</t>
  </si>
  <si>
    <t xml:space="preserve">HONDA TRX250|PM3 - 3000 KM|16</t>
  </si>
  <si>
    <t xml:space="preserve">HONDA TRX250|54</t>
  </si>
  <si>
    <t xml:space="preserve">HONDA TRX250|PM3 - 3000 KM|17</t>
  </si>
  <si>
    <t xml:space="preserve">HONDA TRX250|55</t>
  </si>
  <si>
    <t xml:space="preserve">HONDA TRX250|56</t>
  </si>
  <si>
    <t xml:space="preserve">HONDA TRX250|57</t>
  </si>
  <si>
    <t xml:space="preserve">HONDA TRX250|58</t>
  </si>
  <si>
    <t xml:space="preserve">HONDA TRX250|59</t>
  </si>
  <si>
    <t xml:space="preserve">HONDA TRX250|60</t>
  </si>
  <si>
    <t xml:space="preserve">HONDA TRX250|61</t>
  </si>
  <si>
    <t xml:space="preserve">HONDA TRX250|62</t>
  </si>
  <si>
    <t xml:space="preserve">HONDA TRX250|63</t>
  </si>
  <si>
    <t xml:space="preserve">HONDA TRX250|64</t>
  </si>
  <si>
    <t xml:space="preserve">HONDA TRX250|65</t>
  </si>
  <si>
    <t xml:space="preserve">HONDA TRX250|PM4 - 4000 KM|11</t>
  </si>
  <si>
    <t xml:space="preserve">HONDA TRX250|66</t>
  </si>
  <si>
    <t xml:space="preserve">HONDA TRX250|PM4 - 4000 KM|12</t>
  </si>
  <si>
    <t xml:space="preserve">HONDA TRX250|67</t>
  </si>
  <si>
    <t xml:space="preserve">HONDA TRX250|PM4 - 4000 KM|13</t>
  </si>
  <si>
    <t xml:space="preserve">HONDA TRX250|68</t>
  </si>
  <si>
    <t xml:space="preserve">HONDA TRX250|PM4 - 4000 KM|14</t>
  </si>
  <si>
    <t xml:space="preserve">HONDA TRX250|69</t>
  </si>
  <si>
    <t xml:space="preserve">HONDA TRX250|PM4 - 4000 KM|15</t>
  </si>
  <si>
    <t xml:space="preserve">HONDA TRX250|70</t>
  </si>
  <si>
    <t xml:space="preserve">HONDA TRX250|PM4 - 4000 KM|16</t>
  </si>
  <si>
    <t xml:space="preserve">HONDA TRX250|71</t>
  </si>
  <si>
    <t xml:space="preserve">HONDA TRX250|PM4 - 4000 KM|17</t>
  </si>
  <si>
    <t xml:space="preserve">HONDA TRX250|72</t>
  </si>
  <si>
    <t xml:space="preserve">HONDA TRX250|PM4 - 4000 KM|18</t>
  </si>
  <si>
    <t xml:space="preserve">HONDA TRX250|73</t>
  </si>
  <si>
    <t xml:space="preserve">HONDA TRX250|74</t>
  </si>
  <si>
    <t xml:space="preserve">HONDA TRX250|75</t>
  </si>
  <si>
    <t xml:space="preserve">HONDA TRX250|76</t>
  </si>
  <si>
    <t xml:space="preserve">HONDA TRX250|77</t>
  </si>
  <si>
    <t xml:space="preserve">HONDA TRX250|78</t>
  </si>
  <si>
    <t xml:space="preserve">HONDA TRX250|79</t>
  </si>
  <si>
    <t xml:space="preserve">HONDA TRX250|PM5 - 5000 KM|7</t>
  </si>
  <si>
    <t xml:space="preserve">HONDA TRX250|80</t>
  </si>
  <si>
    <t xml:space="preserve">HONDA TRX250|PM5 - 5000 KM|8</t>
  </si>
  <si>
    <t xml:space="preserve">HONDA TRX250|81</t>
  </si>
  <si>
    <t xml:space="preserve">HONDA TRX250|PM5 - 5000 KM|9</t>
  </si>
  <si>
    <t xml:space="preserve">HONDA TRX250|82</t>
  </si>
  <si>
    <t xml:space="preserve">HONDA TRX250|PM5 - 5000 KM|10</t>
  </si>
  <si>
    <t xml:space="preserve">HONDA TRX250|83</t>
  </si>
  <si>
    <t xml:space="preserve">HONDA TRX250|PM5 - 5000 KM|11</t>
  </si>
  <si>
    <t xml:space="preserve">HONDA TRX250|84</t>
  </si>
  <si>
    <t xml:space="preserve">HONDA TRX250|PM5 - 5000 KM|12</t>
  </si>
  <si>
    <t xml:space="preserve">HONDA TRX250|85</t>
  </si>
  <si>
    <t xml:space="preserve">HONDA TRX250|PM5 - 5000 KM|13</t>
  </si>
  <si>
    <t xml:space="preserve">HONDA TRX250|86</t>
  </si>
  <si>
    <t xml:space="preserve">HONDA TRX250|PM5 - 5000 KM|14</t>
  </si>
  <si>
    <t xml:space="preserve">HONDA TRX250|87</t>
  </si>
  <si>
    <t xml:space="preserve">HONDA TRX250|PM5 - 5000 KM|15</t>
  </si>
  <si>
    <t xml:space="preserve">HONDA TRX250|88</t>
  </si>
  <si>
    <t xml:space="preserve">HONDA TRX250|PM5 - 5000 KM|16</t>
  </si>
  <si>
    <t xml:space="preserve">HONDA TRX250|89</t>
  </si>
  <si>
    <t xml:space="preserve">HONDA TRX250|PM5 - 5000 KM|17</t>
  </si>
  <si>
    <t xml:space="preserve">HONDA TRX250|90</t>
  </si>
  <si>
    <t xml:space="preserve">HONDA TRX250|91</t>
  </si>
  <si>
    <t xml:space="preserve">HONDA TRX250|92</t>
  </si>
  <si>
    <t xml:space="preserve">HONDA TRX250|93</t>
  </si>
  <si>
    <t xml:space="preserve">HONDA TRX250|94</t>
  </si>
  <si>
    <t xml:space="preserve">HONDA TRX250|95</t>
  </si>
  <si>
    <t xml:space="preserve">HONDA TRX250|96</t>
  </si>
  <si>
    <t xml:space="preserve">HONDA TRX250|97</t>
  </si>
  <si>
    <t xml:space="preserve">HONDA TRX250|98</t>
  </si>
  <si>
    <t xml:space="preserve">HONDA TRX250|99</t>
  </si>
  <si>
    <t xml:space="preserve">HONDA TRX250|100</t>
  </si>
  <si>
    <t xml:space="preserve">HONDA TRX250|101</t>
  </si>
  <si>
    <t xml:space="preserve">HONDA TRX250|PM6 - 6000 KM|12</t>
  </si>
  <si>
    <t xml:space="preserve">HONDA TRX250|102</t>
  </si>
  <si>
    <t xml:space="preserve">HONDA TRX250|PM6 - 6000 KM|13</t>
  </si>
  <si>
    <t xml:space="preserve">HONDA TRX250|103</t>
  </si>
  <si>
    <t xml:space="preserve">HONDA TRX250|PM6 - 6000 KM|14</t>
  </si>
  <si>
    <t xml:space="preserve">TRANSMISIÓN CVT</t>
  </si>
  <si>
    <t xml:space="preserve">FAJA: DESGASTE, GRIETAS Y ANCHO</t>
  </si>
  <si>
    <t xml:space="preserve">YAMAHA GRIZZLY 350 4X2|PM1 - 1000 KM|8</t>
  </si>
  <si>
    <t xml:space="preserve">CAJA DE FAJA, TAPÓN DE DRENAJE Y MANGUERA DEL DUCTO</t>
  </si>
  <si>
    <t xml:space="preserve">YAMAHA GRIZZLY 350 4X2|PM1 - 1000 KM|9</t>
  </si>
  <si>
    <t xml:space="preserve">SELECTOR DE MARCHAS (H / L / R)</t>
  </si>
  <si>
    <t xml:space="preserve">YAMAHA GRIZZLY 350 4X2|PM1 - 1000 KM|10</t>
  </si>
  <si>
    <t xml:space="preserve">NIVEL DE ACEITE DE CORONA</t>
  </si>
  <si>
    <t xml:space="preserve">YAMAHA GRIZZLY 350 4X2|PM1 - 1000 KM|11</t>
  </si>
  <si>
    <t xml:space="preserve">CRUCETA DEL EJE CARDÁN</t>
  </si>
  <si>
    <t xml:space="preserve">YAMAHA GRIZZLY 350 4X2|PM1 - 1000 KM|12</t>
  </si>
  <si>
    <t xml:space="preserve">FRENO DELANTERO</t>
  </si>
  <si>
    <t xml:space="preserve">PASTILLAS, DISCOS, NIVEL DE LÍQUIDO Y MANGUERAS</t>
  </si>
  <si>
    <t xml:space="preserve">YAMAHA GRIZZLY 350 4X2|PM1 - 1000 KM|13</t>
  </si>
  <si>
    <t xml:space="preserve">FRENO TRASERO</t>
  </si>
  <si>
    <t xml:space="preserve">ZAPATAS Y JUEGO LIBRE DE PALANCA Y PEDAL</t>
  </si>
  <si>
    <t xml:space="preserve">YAMAHA GRIZZLY 350 4X2|PM1 - 1000 KM|14</t>
  </si>
  <si>
    <t xml:space="preserve">YAMAHA GRIZZLY 350 4X2|PM1 - 1000 KM|15</t>
  </si>
  <si>
    <t xml:space="preserve">YAMAHA GRIZZLY 350 4X2|PM1 - 1000 KM|16</t>
  </si>
  <si>
    <t xml:space="preserve">YAMAHA GRIZZLY 350 4X2|PM1 - 1000 KM|17</t>
  </si>
  <si>
    <t xml:space="preserve">YAMAHA GRIZZLY 350 4X2|PM1 - 1000 KM|18</t>
  </si>
  <si>
    <t xml:space="preserve">YAMAHA GRIZZLY 350 4X2|PM1 - 1000 KM|19</t>
  </si>
  <si>
    <t xml:space="preserve">YAMAHA GRIZZLY 350 4X2|PM1 - 1000 KM|20</t>
  </si>
  <si>
    <t xml:space="preserve">YAMAHA GRIZZLY 350 4X2|PM2 - 2000 KM|9</t>
  </si>
  <si>
    <t xml:space="preserve">YAMAHA GRIZZLY 350 4X2|PM2 - 2000 KM|10</t>
  </si>
  <si>
    <t xml:space="preserve">YAMAHA GRIZZLY 350 4X2|PM2 - 2000 KM|11</t>
  </si>
  <si>
    <t xml:space="preserve">YAMAHA GRIZZLY 350 4X2|PM2 - 2000 KM|12</t>
  </si>
  <si>
    <t xml:space="preserve">YAMAHA GRIZZLY 350 4X2|PM2 - 2000 KM|13</t>
  </si>
  <si>
    <t xml:space="preserve">YAMAHA GRIZZLY 350 4X2|PM2 - 2000 KM|14</t>
  </si>
  <si>
    <t xml:space="preserve">YAMAHA GRIZZLY 350 4X2|PM2 - 2000 KM|15</t>
  </si>
  <si>
    <t xml:space="preserve">YAMAHA GRIZZLY 350 4X2|PM2 - 2000 KM|16</t>
  </si>
  <si>
    <t xml:space="preserve">YAMAHA GRIZZLY 350 4X2|PM2 - 2000 KM|17</t>
  </si>
  <si>
    <t xml:space="preserve">YAMAHA GRIZZLY 350 4X2|PM2 - 2000 KM|18</t>
  </si>
  <si>
    <t xml:space="preserve">YAMAHA GRIZZLY 350 4X2|PM2 - 2000 KM|19</t>
  </si>
  <si>
    <t xml:space="preserve">YAMAHA GRIZZLY 350 4X2|PM2 - 2000 KM|20</t>
  </si>
  <si>
    <t xml:space="preserve">YAMAHA GRIZZLY 350 4X2|PM2 - 2000 KM|21</t>
  </si>
  <si>
    <t xml:space="preserve">YAMAHA GRIZZLY 350 4X2|PM3 - 3000 KM|8</t>
  </si>
  <si>
    <t xml:space="preserve">YAMAHA GRIZZLY 350 4X2|PM3 - 3000 KM|9</t>
  </si>
  <si>
    <t xml:space="preserve">YAMAHA GRIZZLY 350 4X2|51</t>
  </si>
  <si>
    <t xml:space="preserve">YAMAHA GRIZZLY 350 4X2|PM3 - 3000 KM|10</t>
  </si>
  <si>
    <t xml:space="preserve">YAMAHA GRIZZLY 350 4X2|52</t>
  </si>
  <si>
    <t xml:space="preserve">YAMAHA GRIZZLY 350 4X2|PM3 - 3000 KM|11</t>
  </si>
  <si>
    <t xml:space="preserve">YAMAHA GRIZZLY 350 4X2|53</t>
  </si>
  <si>
    <t xml:space="preserve">YAMAHA GRIZZLY 350 4X2|PM3 - 3000 KM|12</t>
  </si>
  <si>
    <t xml:space="preserve">YAMAHA GRIZZLY 350 4X2|54</t>
  </si>
  <si>
    <t xml:space="preserve">YAMAHA GRIZZLY 350 4X2|PM3 - 3000 KM|13</t>
  </si>
  <si>
    <t xml:space="preserve">YAMAHA GRIZZLY 350 4X2|55</t>
  </si>
  <si>
    <t xml:space="preserve">YAMAHA GRIZZLY 350 4X2|PM3 - 3000 KM|14</t>
  </si>
  <si>
    <t xml:space="preserve">YAMAHA GRIZZLY 350 4X2|56</t>
  </si>
  <si>
    <t xml:space="preserve">YAMAHA GRIZZLY 350 4X2|PM3 - 3000 KM|15</t>
  </si>
  <si>
    <t xml:space="preserve">YAMAHA GRIZZLY 350 4X2|57</t>
  </si>
  <si>
    <t xml:space="preserve">YAMAHA GRIZZLY 350 4X2|PM3 - 3000 KM|16</t>
  </si>
  <si>
    <t xml:space="preserve">YAMAHA GRIZZLY 350 4X2|58</t>
  </si>
  <si>
    <t xml:space="preserve">YAMAHA GRIZZLY 350 4X2|PM3 - 3000 KM|17</t>
  </si>
  <si>
    <t xml:space="preserve">YAMAHA GRIZZLY 350 4X2|59</t>
  </si>
  <si>
    <t xml:space="preserve">YAMAHA GRIZZLY 350 4X2|PM3 - 3000 KM|18</t>
  </si>
  <si>
    <t xml:space="preserve">YAMAHA GRIZZLY 350 4X2|60</t>
  </si>
  <si>
    <t xml:space="preserve">YAMAHA GRIZZLY 350 4X2|PM3 - 3000 KM|19</t>
  </si>
  <si>
    <t xml:space="preserve">YAMAHA GRIZZLY 350 4X2|61</t>
  </si>
  <si>
    <t xml:space="preserve">YAMAHA GRIZZLY 350 4X2|PM3 - 3000 KM|20</t>
  </si>
  <si>
    <t xml:space="preserve">YAMAHA GRIZZLY 350 4X2|62</t>
  </si>
  <si>
    <t xml:space="preserve">YAMAHA GRIZZLY 350 4X2|63</t>
  </si>
  <si>
    <t xml:space="preserve">YAMAHA GRIZZLY 350 4X2|64</t>
  </si>
  <si>
    <t xml:space="preserve">YAMAHA GRIZZLY 350 4X2|65</t>
  </si>
  <si>
    <t xml:space="preserve">YAMAHA GRIZZLY 350 4X2|66</t>
  </si>
  <si>
    <t xml:space="preserve">YAMAHA GRIZZLY 350 4X2|67</t>
  </si>
  <si>
    <t xml:space="preserve">YAMAHA GRIZZLY 350 4X2|68</t>
  </si>
  <si>
    <t xml:space="preserve">YAMAHA GRIZZLY 350 4X2|69</t>
  </si>
  <si>
    <t xml:space="preserve">YAMAHA GRIZZLY 350 4X2|70</t>
  </si>
  <si>
    <t xml:space="preserve">YAMAHA GRIZZLY 350 4X2|71</t>
  </si>
  <si>
    <t xml:space="preserve">YAMAHA GRIZZLY 350 4X2|72</t>
  </si>
  <si>
    <t xml:space="preserve">YAMAHA GRIZZLY 350 4X2|PM4 - 4000 KM|11</t>
  </si>
  <si>
    <t xml:space="preserve">YAMAHA GRIZZLY 350 4X2|73</t>
  </si>
  <si>
    <t xml:space="preserve">YAMAHA GRIZZLY 350 4X2|PM4 - 4000 KM|12</t>
  </si>
  <si>
    <t xml:space="preserve">YAMAHA GRIZZLY 350 4X2|74</t>
  </si>
  <si>
    <t xml:space="preserve">YAMAHA GRIZZLY 350 4X2|PM4 - 4000 KM|13</t>
  </si>
  <si>
    <t xml:space="preserve">YAMAHA GRIZZLY 350 4X2|75</t>
  </si>
  <si>
    <t xml:space="preserve">YAMAHA GRIZZLY 350 4X2|PM4 - 4000 KM|14</t>
  </si>
  <si>
    <t xml:space="preserve">YAMAHA GRIZZLY 350 4X2|76</t>
  </si>
  <si>
    <t xml:space="preserve">YAMAHA GRIZZLY 350 4X2|PM4 - 4000 KM|15</t>
  </si>
  <si>
    <t xml:space="preserve">YAMAHA GRIZZLY 350 4X2|77</t>
  </si>
  <si>
    <t xml:space="preserve">YAMAHA GRIZZLY 350 4X2|PM4 - 4000 KM|16</t>
  </si>
  <si>
    <t xml:space="preserve">YAMAHA GRIZZLY 350 4X2|78</t>
  </si>
  <si>
    <t xml:space="preserve">YAMAHA GRIZZLY 350 4X2|PM4 - 4000 KM|17</t>
  </si>
  <si>
    <t xml:space="preserve">YAMAHA GRIZZLY 350 4X2|79</t>
  </si>
  <si>
    <t xml:space="preserve">YAMAHA GRIZZLY 350 4X2|PM4 - 4000 KM|18</t>
  </si>
  <si>
    <t xml:space="preserve">YAMAHA GRIZZLY 350 4X2|80</t>
  </si>
  <si>
    <t xml:space="preserve">YAMAHA GRIZZLY 350 4X2|PM4 - 4000 KM|19</t>
  </si>
  <si>
    <t xml:space="preserve">YAMAHA GRIZZLY 350 4X2|81</t>
  </si>
  <si>
    <t xml:space="preserve">YAMAHA GRIZZLY 350 4X2|82</t>
  </si>
  <si>
    <t xml:space="preserve">YAMAHA GRIZZLY 350 4X2|83</t>
  </si>
  <si>
    <t xml:space="preserve">YAMAHA GRIZZLY 350 4X2|84</t>
  </si>
  <si>
    <t xml:space="preserve">YAMAHA GRIZZLY 350 4X2|85</t>
  </si>
  <si>
    <t xml:space="preserve">YAMAHA GRIZZLY 350 4X2|86</t>
  </si>
  <si>
    <t xml:space="preserve">YAMAHA GRIZZLY 350 4X2|87</t>
  </si>
  <si>
    <t xml:space="preserve">YAMAHA GRIZZLY 350 4X2|88</t>
  </si>
  <si>
    <t xml:space="preserve">YAMAHA GRIZZLY 350 4X2|PM5 - 5000 KM|8</t>
  </si>
  <si>
    <t xml:space="preserve">YAMAHA GRIZZLY 350 4X2|89</t>
  </si>
  <si>
    <t xml:space="preserve">YAMAHA GRIZZLY 350 4X2|PM5 - 5000 KM|9</t>
  </si>
  <si>
    <t xml:space="preserve">YAMAHA GRIZZLY 350 4X2|90</t>
  </si>
  <si>
    <t xml:space="preserve">YAMAHA GRIZZLY 350 4X2|PM5 - 5000 KM|10</t>
  </si>
  <si>
    <t xml:space="preserve">YAMAHA GRIZZLY 350 4X2|91</t>
  </si>
  <si>
    <t xml:space="preserve">YAMAHA GRIZZLY 350 4X2|PM5 - 5000 KM|11</t>
  </si>
  <si>
    <t xml:space="preserve">YAMAHA GRIZZLY 350 4X2|92</t>
  </si>
  <si>
    <t xml:space="preserve">YAMAHA GRIZZLY 350 4X2|PM5 - 5000 KM|12</t>
  </si>
  <si>
    <t xml:space="preserve">YAMAHA GRIZZLY 350 4X2|93</t>
  </si>
  <si>
    <t xml:space="preserve">YAMAHA GRIZZLY 350 4X2|PM5 - 5000 KM|13</t>
  </si>
  <si>
    <t xml:space="preserve">YAMAHA GRIZZLY 350 4X2|94</t>
  </si>
  <si>
    <t xml:space="preserve">YAMAHA GRIZZLY 350 4X2|PM5 - 5000 KM|14</t>
  </si>
  <si>
    <t xml:space="preserve">YAMAHA GRIZZLY 350 4X2|95</t>
  </si>
  <si>
    <t xml:space="preserve">YAMAHA GRIZZLY 350 4X2|PM5 - 5000 KM|15</t>
  </si>
  <si>
    <t xml:space="preserve">YAMAHA GRIZZLY 350 4X2|96</t>
  </si>
  <si>
    <t xml:space="preserve">YAMAHA GRIZZLY 350 4X2|PM5 - 5000 KM|16</t>
  </si>
  <si>
    <t xml:space="preserve">YAMAHA GRIZZLY 350 4X2|97</t>
  </si>
  <si>
    <t xml:space="preserve">YAMAHA GRIZZLY 350 4X2|PM5 - 5000 KM|17</t>
  </si>
  <si>
    <t xml:space="preserve">YAMAHA GRIZZLY 350 4X2|98</t>
  </si>
  <si>
    <t xml:space="preserve">YAMAHA GRIZZLY 350 4X2|PM5 - 5000 KM|18</t>
  </si>
  <si>
    <t xml:space="preserve">YAMAHA GRIZZLY 350 4X2|99</t>
  </si>
  <si>
    <t xml:space="preserve">YAMAHA GRIZZLY 350 4X2|PM5 - 5000 KM|19</t>
  </si>
  <si>
    <t xml:space="preserve">YAMAHA GRIZZLY 350 4X2|100</t>
  </si>
  <si>
    <t xml:space="preserve">YAMAHA GRIZZLY 350 4X2|PM5 - 5000 KM|20</t>
  </si>
  <si>
    <t xml:space="preserve">YAMAHA GRIZZLY 350 4X2|101</t>
  </si>
  <si>
    <t xml:space="preserve">YAMAHA GRIZZLY 350 4X2|102</t>
  </si>
  <si>
    <t xml:space="preserve">YAMAHA GRIZZLY 350 4X2|103</t>
  </si>
  <si>
    <t xml:space="preserve">YAMAHA GRIZZLY 350 4X2|104</t>
  </si>
  <si>
    <t xml:space="preserve">YAMAHA GRIZZLY 350 4X2|105</t>
  </si>
  <si>
    <t xml:space="preserve">YAMAHA GRIZZLY 350 4X2|106</t>
  </si>
  <si>
    <t xml:space="preserve">YAMAHA GRIZZLY 350 4X2|107</t>
  </si>
  <si>
    <t xml:space="preserve">YAMAHA GRIZZLY 350 4X2|108</t>
  </si>
  <si>
    <t xml:space="preserve">YAMAHA GRIZZLY 350 4X2|109</t>
  </si>
  <si>
    <t xml:space="preserve">YAMAHA GRIZZLY 350 4X2|110</t>
  </si>
  <si>
    <t xml:space="preserve">YAMAHA GRIZZLY 350 4X2|111</t>
  </si>
  <si>
    <t xml:space="preserve">YAMAHA GRIZZLY 350 4X2|112</t>
  </si>
  <si>
    <t xml:space="preserve">YAMAHA GRIZZLY 350 4X2|PM6 - 6000 KM|12</t>
  </si>
  <si>
    <t xml:space="preserve">YAMAHA GRIZZLY 350 4X2|113</t>
  </si>
  <si>
    <t xml:space="preserve">YAMAHA GRIZZLY 350 4X2|PM6 - 6000 KM|13</t>
  </si>
  <si>
    <t xml:space="preserve">YAMAHA GRIZZLY 350 4X2|114</t>
  </si>
  <si>
    <t xml:space="preserve">YAMAHA GRIZZLY 350 4X2|PM6 - 6000 KM|14</t>
  </si>
  <si>
    <t xml:space="preserve">YAMAHA GRIZZLY 350 4X2|115</t>
  </si>
  <si>
    <t xml:space="preserve">YAMAHA GRIZZLY 350 4X2|PM6 - 6000 KM|15</t>
  </si>
  <si>
    <t xml:space="preserve">YAMAHA GRIZZLY 350 4X2|116</t>
  </si>
  <si>
    <t xml:space="preserve">YAMAHA GRIZZLY 350 4X2|PM6 - 6000 KM|16</t>
  </si>
  <si>
    <t xml:space="preserve">YAMAHA GRIZZLY 350 4X2|117</t>
  </si>
  <si>
    <t xml:space="preserve">YAMAHA GRIZZLY 350 4X2|PM6 - 6000 KM|17</t>
  </si>
  <si>
    <t xml:space="preserve">NIVEL DE ACEITE, FUGAS Y RUIDOS ANORMALES</t>
  </si>
  <si>
    <t xml:space="preserve">FAJA DEL ALTERNADOR / VENTILADOR: TENSIÓN Y DESGASTE</t>
  </si>
  <si>
    <t xml:space="preserve">COLOR DE HUMO DE ESCAPE Y SOPORTES DE MOTOR</t>
  </si>
  <si>
    <t xml:space="preserve">NIVEL DE REFRIGERANTE Y TAPA DEL RADIADOR</t>
  </si>
  <si>
    <t xml:space="preserve">PANAL DEL RADIADOR Y ENFRIADOR DE ACEITE</t>
  </si>
  <si>
    <t xml:space="preserve">MANGUERAS Y ABRAZADERAS</t>
  </si>
  <si>
    <t xml:space="preserve">DRENAR</t>
  </si>
  <si>
    <t xml:space="preserve">AGUA DEL SEPARADOR / FILTRO DE COMBUSTIBLE</t>
  </si>
  <si>
    <t xml:space="preserve">FUGAS EN LÍNEAS, BOMBA E INYECTORES</t>
  </si>
  <si>
    <t xml:space="preserve">NEW HOLLAND TD90D|PM1 - 250 HR|8</t>
  </si>
  <si>
    <t xml:space="preserve">FILTRO DE AIRE PRIMARIO (SOPLAR DE ADENTRO HACIA AFUERA)</t>
  </si>
  <si>
    <t xml:space="preserve">NEW HOLLAND TD90D|PM1 - 250 HR|9</t>
  </si>
  <si>
    <t xml:space="preserve">DUCTOS, ABRAZADERAS E INDICADOR DE RESTRICCIÓN</t>
  </si>
  <si>
    <t xml:space="preserve">NEW HOLLAND TD90D|PM1 - 250 HR|10</t>
  </si>
  <si>
    <t xml:space="preserve">NEW HOLLAND TD90D|PM1 - 250 HR|11</t>
  </si>
  <si>
    <t xml:space="preserve">EMBRAGUE: JUEGO LIBRE DEL PEDAL Y FUNCIONAMIENTO</t>
  </si>
  <si>
    <t xml:space="preserve">NEW HOLLAND TD90D|PM1 - 250 HR|12</t>
  </si>
  <si>
    <t xml:space="preserve">PALANCAS DE CAMBIOS, REVERSA Y TDF</t>
  </si>
  <si>
    <t xml:space="preserve">NEW HOLLAND TD90D|PM1 - 250 HR|13</t>
  </si>
  <si>
    <t xml:space="preserve">NIVEL DE ACEITE DEL EJE DELANTERO Y REDUCTORES FINALES</t>
  </si>
  <si>
    <t xml:space="preserve">NEW HOLLAND TD90D|PM1 - 250 HR|14</t>
  </si>
  <si>
    <t xml:space="preserve">FUGAS EN RETENES, CARDÁN DELANTERO Y GUARDAPOLVOS</t>
  </si>
  <si>
    <t xml:space="preserve">NEW HOLLAND TD90D|PM1 - 250 HR|15</t>
  </si>
  <si>
    <t xml:space="preserve">MANGUERAS, CILINDRO, RÓTULAS Y JUEGO DEL TIMÓN</t>
  </si>
  <si>
    <t xml:space="preserve">NEW HOLLAND TD90D|PM1 - 250 HR|16</t>
  </si>
  <si>
    <t xml:space="preserve">JUEGO LIBRE E IGUALACIÓN DE PEDALES</t>
  </si>
  <si>
    <t xml:space="preserve">NEW HOLLAND TD90D|PM1 - 250 HR|17</t>
  </si>
  <si>
    <t xml:space="preserve">FRENO DE ESTACIONAMIENTO</t>
  </si>
  <si>
    <t xml:space="preserve">NEW HOLLAND TD90D|PM1 - 250 HR|18</t>
  </si>
  <si>
    <t xml:space="preserve">ENGANCHE 3 PUNTOS</t>
  </si>
  <si>
    <t xml:space="preserve">BRAZOS, TENSORES, PASADORES Y CONTROL DE LEVANTE</t>
  </si>
  <si>
    <t xml:space="preserve">NEW HOLLAND TD90D|PM1 - 250 HR|19</t>
  </si>
  <si>
    <t xml:space="preserve">ACOPLES RÁPIDOS Y MANGUERAS DEL HIDRÁULICO REMOTO</t>
  </si>
  <si>
    <t xml:space="preserve">NEW HOLLAND TD90D|PM1 - 250 HR|20</t>
  </si>
  <si>
    <t xml:space="preserve">PUNTOS DE ENGRASE (EJE DELANTERO, DIRECCIÓN, ENGANCHE Y PEDALES)</t>
  </si>
  <si>
    <t xml:space="preserve">NEW HOLLAND TD90D|PM1 - 250 HR|21</t>
  </si>
  <si>
    <t xml:space="preserve">NEUMÁTICOS</t>
  </si>
  <si>
    <t xml:space="preserve">PRESIÓN, DESGASTE Y AJUSTE DE TUERCAS DE RUEDA</t>
  </si>
  <si>
    <t xml:space="preserve">NEW HOLLAND TD90D|PM1 - 250 HR|22</t>
  </si>
  <si>
    <t xml:space="preserve">BATERÍA: BORNES, NIVEL Y CARGA</t>
  </si>
  <si>
    <t xml:space="preserve">NEW HOLLAND TD90D|PM1 - 250 HR|23</t>
  </si>
  <si>
    <t xml:space="preserve">ALTERNADOR, ARRANQUE, LUCES, ALARMAS E INSTRUMENTOS</t>
  </si>
  <si>
    <t xml:space="preserve">NEW HOLLAND TD90D|PM1 - 250 HR|24</t>
  </si>
  <si>
    <t xml:space="preserve">ESTRUCTURA / SEGURIDAD</t>
  </si>
  <si>
    <t xml:space="preserve">ROPS, CINTURÓN DE SEGURIDAD, ASIENTO Y PELDAÑOS</t>
  </si>
  <si>
    <t xml:space="preserve">NEW HOLLAND TD90D|PM1 - 250 HR|25</t>
  </si>
  <si>
    <t xml:space="preserve">GUARDA DE TDF Y AJUSTE GENERAL DE PERNOS</t>
  </si>
  <si>
    <t xml:space="preserve">NEW HOLLAND TD90D|PM1 - 250 HR|26</t>
  </si>
  <si>
    <t xml:space="preserve">NEW HOLLAND TD90D|PM2 - 500 HR|11</t>
  </si>
  <si>
    <t xml:space="preserve">NEW HOLLAND TD90D|PM2 - 500 HR|12</t>
  </si>
  <si>
    <t xml:space="preserve">NEW HOLLAND TD90D|39</t>
  </si>
  <si>
    <t xml:space="preserve">NEW HOLLAND TD90D|PM2 - 500 HR|13</t>
  </si>
  <si>
    <t xml:space="preserve">NEW HOLLAND TD90D|40</t>
  </si>
  <si>
    <t xml:space="preserve">NEW HOLLAND TD90D|PM2 - 500 HR|14</t>
  </si>
  <si>
    <t xml:space="preserve">NEW HOLLAND TD90D|41</t>
  </si>
  <si>
    <t xml:space="preserve">NEW HOLLAND TD90D|PM2 - 500 HR|15</t>
  </si>
  <si>
    <t xml:space="preserve">NEW HOLLAND TD90D|42</t>
  </si>
  <si>
    <t xml:space="preserve">NEW HOLLAND TD90D|PM2 - 500 HR|16</t>
  </si>
  <si>
    <t xml:space="preserve">NEW HOLLAND TD90D|43</t>
  </si>
  <si>
    <t xml:space="preserve">NEW HOLLAND TD90D|PM2 - 500 HR|17</t>
  </si>
  <si>
    <t xml:space="preserve">NEW HOLLAND TD90D|44</t>
  </si>
  <si>
    <t xml:space="preserve">NEW HOLLAND TD90D|PM2 - 500 HR|18</t>
  </si>
  <si>
    <t xml:space="preserve">NEW HOLLAND TD90D|45</t>
  </si>
  <si>
    <t xml:space="preserve">NEW HOLLAND TD90D|PM2 - 500 HR|19</t>
  </si>
  <si>
    <t xml:space="preserve">NEW HOLLAND TD90D|46</t>
  </si>
  <si>
    <t xml:space="preserve">NEW HOLLAND TD90D|PM2 - 500 HR|20</t>
  </si>
  <si>
    <t xml:space="preserve">NEW HOLLAND TD90D|47</t>
  </si>
  <si>
    <t xml:space="preserve">NEW HOLLAND TD90D|PM2 - 500 HR|21</t>
  </si>
  <si>
    <t xml:space="preserve">NEW HOLLAND TD90D|48</t>
  </si>
  <si>
    <t xml:space="preserve">NEW HOLLAND TD90D|PM2 - 500 HR|22</t>
  </si>
  <si>
    <t xml:space="preserve">NEW HOLLAND TD90D|49</t>
  </si>
  <si>
    <t xml:space="preserve">NEW HOLLAND TD90D|PM2 - 500 HR|23</t>
  </si>
  <si>
    <t xml:space="preserve">NEW HOLLAND TD90D|50</t>
  </si>
  <si>
    <t xml:space="preserve">NEW HOLLAND TD90D|PM2 - 500 HR|24</t>
  </si>
  <si>
    <t xml:space="preserve">NEW HOLLAND TD90D|51</t>
  </si>
  <si>
    <t xml:space="preserve">NEW HOLLAND TD90D|52</t>
  </si>
  <si>
    <t xml:space="preserve">NEW HOLLAND TD90D|53</t>
  </si>
  <si>
    <t xml:space="preserve">NEW HOLLAND TD90D|54</t>
  </si>
  <si>
    <t xml:space="preserve">NEW HOLLAND TD90D|55</t>
  </si>
  <si>
    <t xml:space="preserve">NEW HOLLAND TD90D|56</t>
  </si>
  <si>
    <t xml:space="preserve">NEW HOLLAND TD90D|57</t>
  </si>
  <si>
    <t xml:space="preserve">NEW HOLLAND TD90D|58</t>
  </si>
  <si>
    <t xml:space="preserve">NEW HOLLAND TD90D|PM3 - 750 HR|8</t>
  </si>
  <si>
    <t xml:space="preserve">NEW HOLLAND TD90D|59</t>
  </si>
  <si>
    <t xml:space="preserve">NEW HOLLAND TD90D|PM3 - 750 HR|9</t>
  </si>
  <si>
    <t xml:space="preserve">NEW HOLLAND TD90D|60</t>
  </si>
  <si>
    <t xml:space="preserve">NEW HOLLAND TD90D|PM3 - 750 HR|10</t>
  </si>
  <si>
    <t xml:space="preserve">NEW HOLLAND TD90D|61</t>
  </si>
  <si>
    <t xml:space="preserve">NEW HOLLAND TD90D|PM3 - 750 HR|11</t>
  </si>
  <si>
    <t xml:space="preserve">NEW HOLLAND TD90D|62</t>
  </si>
  <si>
    <t xml:space="preserve">NEW HOLLAND TD90D|PM3 - 750 HR|12</t>
  </si>
  <si>
    <t xml:space="preserve">NEW HOLLAND TD90D|63</t>
  </si>
  <si>
    <t xml:space="preserve">NEW HOLLAND TD90D|PM3 - 750 HR|13</t>
  </si>
  <si>
    <t xml:space="preserve">NEW HOLLAND TD90D|64</t>
  </si>
  <si>
    <t xml:space="preserve">NEW HOLLAND TD90D|PM3 - 750 HR|14</t>
  </si>
  <si>
    <t xml:space="preserve">NEW HOLLAND TD90D|65</t>
  </si>
  <si>
    <t xml:space="preserve">NEW HOLLAND TD90D|PM3 - 750 HR|15</t>
  </si>
  <si>
    <t xml:space="preserve">NEW HOLLAND TD90D|66</t>
  </si>
  <si>
    <t xml:space="preserve">NEW HOLLAND TD90D|PM3 - 750 HR|16</t>
  </si>
  <si>
    <t xml:space="preserve">NEW HOLLAND TD90D|67</t>
  </si>
  <si>
    <t xml:space="preserve">NEW HOLLAND TD90D|PM3 - 750 HR|17</t>
  </si>
  <si>
    <t xml:space="preserve">NEW HOLLAND TD90D|68</t>
  </si>
  <si>
    <t xml:space="preserve">NEW HOLLAND TD90D|PM3 - 750 HR|18</t>
  </si>
  <si>
    <t xml:space="preserve">NEW HOLLAND TD90D|69</t>
  </si>
  <si>
    <t xml:space="preserve">NEW HOLLAND TD90D|PM3 - 750 HR|19</t>
  </si>
  <si>
    <t xml:space="preserve">NEW HOLLAND TD90D|70</t>
  </si>
  <si>
    <t xml:space="preserve">NEW HOLLAND TD90D|PM3 - 750 HR|20</t>
  </si>
  <si>
    <t xml:space="preserve">NEW HOLLAND TD90D|71</t>
  </si>
  <si>
    <t xml:space="preserve">NEW HOLLAND TD90D|PM3 - 750 HR|21</t>
  </si>
  <si>
    <t xml:space="preserve">NEW HOLLAND TD90D|72</t>
  </si>
  <si>
    <t xml:space="preserve">NEW HOLLAND TD90D|PM3 - 750 HR|22</t>
  </si>
  <si>
    <t xml:space="preserve">NEW HOLLAND TD90D|73</t>
  </si>
  <si>
    <t xml:space="preserve">NEW HOLLAND TD90D|PM3 - 750 HR|23</t>
  </si>
  <si>
    <t xml:space="preserve">NEW HOLLAND TD90D|74</t>
  </si>
  <si>
    <t xml:space="preserve">NEW HOLLAND TD90D|PM3 - 750 HR|24</t>
  </si>
  <si>
    <t xml:space="preserve">NEW HOLLAND TD90D|75</t>
  </si>
  <si>
    <t xml:space="preserve">NEW HOLLAND TD90D|PM3 - 750 HR|25</t>
  </si>
  <si>
    <t xml:space="preserve">NEW HOLLAND TD90D|76</t>
  </si>
  <si>
    <t xml:space="preserve">NEW HOLLAND TD90D|PM3 - 750 HR|26</t>
  </si>
  <si>
    <t xml:space="preserve">NEW HOLLAND TD90D|77</t>
  </si>
  <si>
    <t xml:space="preserve">NEW HOLLAND TD90D|78</t>
  </si>
  <si>
    <t xml:space="preserve">NEW HOLLAND TD90D|79</t>
  </si>
  <si>
    <t xml:space="preserve">AJUSTAR</t>
  </si>
  <si>
    <t xml:space="preserve">LUZ DE VÁLVULAS</t>
  </si>
  <si>
    <t xml:space="preserve">NEW HOLLAND TD90D|80</t>
  </si>
  <si>
    <t xml:space="preserve">RESPIRADERO DEL CÁRTER</t>
  </si>
  <si>
    <t xml:space="preserve">NEW HOLLAND TD90D|81</t>
  </si>
  <si>
    <t xml:space="preserve">CONVERGENCIA DE RUEDAS DELANTERAS</t>
  </si>
  <si>
    <t xml:space="preserve">NEW HOLLAND TD90D|82</t>
  </si>
  <si>
    <t xml:space="preserve">NEW HOLLAND TD90D|83</t>
  </si>
  <si>
    <t xml:space="preserve">NEW HOLLAND TD90D|84</t>
  </si>
  <si>
    <t xml:space="preserve">NEW HOLLAND TD90D|85</t>
  </si>
  <si>
    <t xml:space="preserve">NEW HOLLAND TD90D|86</t>
  </si>
  <si>
    <t xml:space="preserve">NEW HOLLAND TD90D|87</t>
  </si>
  <si>
    <t xml:space="preserve">NEW HOLLAND TD90D|88</t>
  </si>
  <si>
    <t xml:space="preserve">NEW HOLLAND TD90D|89</t>
  </si>
  <si>
    <t xml:space="preserve">NEW HOLLAND TD90D|90</t>
  </si>
  <si>
    <t xml:space="preserve">NEW HOLLAND TD90D|91</t>
  </si>
  <si>
    <t xml:space="preserve">NEW HOLLAND TD90D|PM4 - 1000 HR|15</t>
  </si>
  <si>
    <t xml:space="preserve">NEW HOLLAND TD90D|92</t>
  </si>
  <si>
    <t xml:space="preserve">NEW HOLLAND TD90D|PM4 - 1000 HR|16</t>
  </si>
  <si>
    <t xml:space="preserve">NEW HOLLAND TD90D|93</t>
  </si>
  <si>
    <t xml:space="preserve">NEW HOLLAND TD90D|PM4 - 1000 HR|17</t>
  </si>
  <si>
    <t xml:space="preserve">NEW HOLLAND TD90D|94</t>
  </si>
  <si>
    <t xml:space="preserve">NEW HOLLAND TD90D|PM4 - 1000 HR|18</t>
  </si>
  <si>
    <t xml:space="preserve">NEW HOLLAND TD90D|95</t>
  </si>
  <si>
    <t xml:space="preserve">NEW HOLLAND TD90D|PM4 - 1000 HR|19</t>
  </si>
  <si>
    <t xml:space="preserve">NEW HOLLAND TD90D|96</t>
  </si>
  <si>
    <t xml:space="preserve">NEW HOLLAND TD90D|PM4 - 1000 HR|20</t>
  </si>
  <si>
    <t xml:space="preserve">NEW HOLLAND TD90D|97</t>
  </si>
  <si>
    <t xml:space="preserve">NEW HOLLAND TD90D|PM4 - 1000 HR|21</t>
  </si>
  <si>
    <t xml:space="preserve">NEW HOLLAND TD90D|98</t>
  </si>
  <si>
    <t xml:space="preserve">NEW HOLLAND TD90D|PM4 - 1000 HR|22</t>
  </si>
  <si>
    <t xml:space="preserve">NEW HOLLAND TD90D|99</t>
  </si>
  <si>
    <t xml:space="preserve">NEW HOLLAND TD90D|PM4 - 1000 HR|23</t>
  </si>
  <si>
    <t xml:space="preserve">NEW HOLLAND TD90D|100</t>
  </si>
  <si>
    <t xml:space="preserve">NEW HOLLAND TD90D|PM4 - 1000 HR|24</t>
  </si>
  <si>
    <t xml:space="preserve">NEW HOLLAND TD90D|101</t>
  </si>
  <si>
    <t xml:space="preserve">NEW HOLLAND TD90D|PM4 - 1000 HR|25</t>
  </si>
  <si>
    <t xml:space="preserve">FILTRO DE AIRE (ELEMENTO DE PAPEL Y ESPUMA)</t>
  </si>
  <si>
    <t xml:space="preserve">MANGUERAS Y FUGAS DE COMBUSTIBLE</t>
  </si>
  <si>
    <t xml:space="preserve">VASO SEDIMENTADOR</t>
  </si>
  <si>
    <t xml:space="preserve">BUJÍA: LIMPIAR Y CALIBRAR (0.7 - 0.8 MM)</t>
  </si>
  <si>
    <t xml:space="preserve">GENERADOR HONDA EG6500CXS|PM1 - 100 HR|5</t>
  </si>
  <si>
    <t xml:space="preserve">GENERADOR HONDA EG6500CXS|PM1 - 100 HR|6</t>
  </si>
  <si>
    <t xml:space="preserve">ESTRUCTURA</t>
  </si>
  <si>
    <t xml:space="preserve">BASES ANTIVIBRATORIAS, PERNOS Y BASTIDOR</t>
  </si>
  <si>
    <t xml:space="preserve">GENERADOR HONDA EG6500CXS|PM1 - 100 HR|7</t>
  </si>
  <si>
    <t xml:space="preserve">VOLTAJE EN VACÍO Y CON CARGA (220 V)</t>
  </si>
  <si>
    <t xml:space="preserve">GENERADOR HONDA EG6500CXS|PM1 - 100 HR|8</t>
  </si>
  <si>
    <t xml:space="preserve">FRECUENCIA DE SALIDA (60 HZ)</t>
  </si>
  <si>
    <t xml:space="preserve">GENERADOR HONDA EG6500CXS|PM1 - 100 HR|9</t>
  </si>
  <si>
    <t xml:space="preserve">REJILLAS DE VENTILACIÓN DEL ALTERNADOR</t>
  </si>
  <si>
    <t xml:space="preserve">GENERADOR HONDA EG6500CXS|PM1 - 100 HR|10</t>
  </si>
  <si>
    <t xml:space="preserve">RODAMIENTO: RUIDO Y TEMPERATURA</t>
  </si>
  <si>
    <t xml:space="preserve">GENERADOR HONDA EG6500CXS|PM1 - 100 HR|11</t>
  </si>
  <si>
    <t xml:space="preserve">PANEL DE CONTROL</t>
  </si>
  <si>
    <t xml:space="preserve">TOMACORRIENTES, BREAKER, VOLTÍMETRO E INTERRUPTORES</t>
  </si>
  <si>
    <t xml:space="preserve">GENERADOR HONDA EG6500CXS|PM1 - 100 HR|12</t>
  </si>
  <si>
    <t xml:space="preserve">BORNE Y CONEXIÓN A TIERRA</t>
  </si>
  <si>
    <t xml:space="preserve">GENERADOR HONDA EG6500CXS|PM1 - 100 HR|13</t>
  </si>
  <si>
    <t xml:space="preserve">SISTEMA DE ARRANQUE</t>
  </si>
  <si>
    <t xml:space="preserve">BATERÍA (VOLTAJE Y BORNES), MOTOR DE ARRANQUE Y CARGA DE BATERÍA</t>
  </si>
  <si>
    <t xml:space="preserve">GENERADOR HONDA EG6500CXS|PM1 - 100 HR|14</t>
  </si>
  <si>
    <t xml:space="preserve">GENERADOR HONDA EG6500CXS|16</t>
  </si>
  <si>
    <t xml:space="preserve">GENERADOR HONDA EG6500CXS|17</t>
  </si>
  <si>
    <t xml:space="preserve">GENERADOR HONDA EG6500CXS|18</t>
  </si>
  <si>
    <t xml:space="preserve">GENERADOR HONDA EG6500CXS|19</t>
  </si>
  <si>
    <t xml:space="preserve">GENERADOR HONDA EG6500CXS|PM2 - 200 HR|5</t>
  </si>
  <si>
    <t xml:space="preserve">GENERADOR HONDA EG6500CXS|20</t>
  </si>
  <si>
    <t xml:space="preserve">GENERADOR HONDA EG6500CXS|PM2 - 200 HR|6</t>
  </si>
  <si>
    <t xml:space="preserve">GENERADOR HONDA EG6500CXS|21</t>
  </si>
  <si>
    <t xml:space="preserve">GENERADOR HONDA EG6500CXS|PM2 - 200 HR|7</t>
  </si>
  <si>
    <t xml:space="preserve">GENERADOR HONDA EG6500CXS|22</t>
  </si>
  <si>
    <t xml:space="preserve">GENERADOR HONDA EG6500CXS|PM2 - 200 HR|8</t>
  </si>
  <si>
    <t xml:space="preserve">GENERADOR HONDA EG6500CXS|23</t>
  </si>
  <si>
    <t xml:space="preserve">GENERADOR HONDA EG6500CXS|PM2 - 200 HR|9</t>
  </si>
  <si>
    <t xml:space="preserve">GENERADOR HONDA EG6500CXS|24</t>
  </si>
  <si>
    <t xml:space="preserve">GENERADOR HONDA EG6500CXS|PM2 - 200 HR|10</t>
  </si>
  <si>
    <t xml:space="preserve">GENERADOR HONDA EG6500CXS|25</t>
  </si>
  <si>
    <t xml:space="preserve">GENERADOR HONDA EG6500CXS|PM2 - 200 HR|11</t>
  </si>
  <si>
    <t xml:space="preserve">GENERADOR HONDA EG6500CXS|26</t>
  </si>
  <si>
    <t xml:space="preserve">GENERADOR HONDA EG6500CXS|PM2 - 200 HR|12</t>
  </si>
  <si>
    <t xml:space="preserve">GENERADOR HONDA EG6500CXS|27</t>
  </si>
  <si>
    <t xml:space="preserve">GENERADOR HONDA EG6500CXS|PM2 - 200 HR|13</t>
  </si>
  <si>
    <t xml:space="preserve">GENERADOR HONDA EG6500CXS|28</t>
  </si>
  <si>
    <t xml:space="preserve">GENERADOR HONDA EG6500CXS|PM2 - 200 HR|14</t>
  </si>
  <si>
    <t xml:space="preserve">GENERADOR HONDA EG6500CXS|29</t>
  </si>
  <si>
    <t xml:space="preserve">LUZ DE VÁLVULAS (ADM 0.15 MM / ESC 0.20 MM)</t>
  </si>
  <si>
    <t xml:space="preserve">GENERADOR HONDA EG6500CXS|30</t>
  </si>
  <si>
    <t xml:space="preserve">GENERADOR HONDA EG6500CXS|31</t>
  </si>
  <si>
    <t xml:space="preserve">CÁMARA DE COMBUSTIÓN (CARBONILLA)</t>
  </si>
  <si>
    <t xml:space="preserve">GENERADOR HONDA EG6500CXS|32</t>
  </si>
  <si>
    <t xml:space="preserve">GENERADOR HONDA EG6500CXS|33</t>
  </si>
  <si>
    <t xml:space="preserve">GENERADOR HONDA EG6500CXS|34</t>
  </si>
  <si>
    <t xml:space="preserve">TANQUE Y FILTRO DE COMBUSTIBLE</t>
  </si>
  <si>
    <t xml:space="preserve">GENERADOR HONDA EG6500CXS|35</t>
  </si>
  <si>
    <t xml:space="preserve">GENERADOR HONDA EG6500CXS|36</t>
  </si>
  <si>
    <t xml:space="preserve">GENERADOR HONDA EG6500CXS|PM3 - 300 HR|8</t>
  </si>
  <si>
    <t xml:space="preserve">GENERADOR HONDA EG6500CXS|37</t>
  </si>
  <si>
    <t xml:space="preserve">GENERADOR HONDA EG6500CXS|PM3 - 300 HR|9</t>
  </si>
  <si>
    <t xml:space="preserve">GENERADOR HONDA EG6500CXS|38</t>
  </si>
  <si>
    <t xml:space="preserve">GENERADOR HONDA EG6500CXS|PM3 - 300 HR|10</t>
  </si>
  <si>
    <t xml:space="preserve">GENERADOR HONDA EG6500CXS|39</t>
  </si>
  <si>
    <t xml:space="preserve">GENERADOR HONDA EG6500CXS|PM3 - 300 HR|11</t>
  </si>
  <si>
    <t xml:space="preserve">GENERADOR HONDA EG6500CXS|40</t>
  </si>
  <si>
    <t xml:space="preserve">GENERADOR HONDA EG6500CXS|PM3 - 300 HR|12</t>
  </si>
  <si>
    <t xml:space="preserve">GENERADOR HONDA EG6500CXS|41</t>
  </si>
  <si>
    <t xml:space="preserve">GENERADOR HONDA EG6500CXS|PM3 - 300 HR|13</t>
  </si>
  <si>
    <t xml:space="preserve">ESCOBILLAS (CARBONES) Y ANILLOS ROZANTES: DESGASTE</t>
  </si>
  <si>
    <t xml:space="preserve">GENERADOR HONDA EG6500CXS|42</t>
  </si>
  <si>
    <t xml:space="preserve">GENERADOR HONDA EG6500CXS|PM3 - 300 HR|14</t>
  </si>
  <si>
    <t xml:space="preserve">BORNES Y CONEXIONES DEL AVR (REGULADOR DE VOLTAJE)</t>
  </si>
  <si>
    <t xml:space="preserve">GENERADOR HONDA EG6500CXS|43</t>
  </si>
  <si>
    <t xml:space="preserve">GENERADOR HONDA EG6500CXS|PM3 - 300 HR|15</t>
  </si>
  <si>
    <t xml:space="preserve">RESISTENCIA DE AISLAMIENTO DE BOBINADOS (MEGADO)</t>
  </si>
  <si>
    <t xml:space="preserve">GENERADOR HONDA EG6500CXS|44</t>
  </si>
  <si>
    <t xml:space="preserve">GENERADOR HONDA EG6500CXS|PM3 - 300 HR|16</t>
  </si>
  <si>
    <t xml:space="preserve">GENERADOR HONDA EG6500CXS|45</t>
  </si>
  <si>
    <t xml:space="preserve">GENERADOR HONDA EG6500CXS|PM3 - 300 HR|17</t>
  </si>
  <si>
    <t xml:space="preserve">GENERADOR HONDA EG6500CXS|46</t>
  </si>
  <si>
    <t xml:space="preserve">GENERADOR HONDA EG6500CXS|PM3 - 300 HR|18</t>
  </si>
  <si>
    <t xml:space="preserve">GENERADOR HONDA EG6500CXS|47</t>
  </si>
  <si>
    <t xml:space="preserve">GENERADOR HONDA EG6500CXS|PM3 - 300 HR|19</t>
  </si>
  <si>
    <t xml:space="preserve">MOTOR HONDA GX390|PM1 - 100 HR|5</t>
  </si>
  <si>
    <t xml:space="preserve">MOTOR HONDA GX390|PM1 - 100 HR|6</t>
  </si>
  <si>
    <t xml:space="preserve">ARRANQUE</t>
  </si>
  <si>
    <t xml:space="preserve">CUERDA Y ARRANCADOR RETRÁCTIL</t>
  </si>
  <si>
    <t xml:space="preserve">MOTOR HONDA GX390|PM1 - 100 HR|7</t>
  </si>
  <si>
    <t xml:space="preserve">PERNOS DE BASE, SOPORTES Y GUARDAS</t>
  </si>
  <si>
    <t xml:space="preserve">MOTOR HONDA GX390|PM1 - 100 HR|8</t>
  </si>
  <si>
    <t xml:space="preserve">MOTOR HONDA GX390|PM2 - 200 HR|5</t>
  </si>
  <si>
    <t xml:space="preserve">MOTOR HONDA GX390|PM2 - 200 HR|6</t>
  </si>
  <si>
    <t xml:space="preserve">MOTOR HONDA GX390|15</t>
  </si>
  <si>
    <t xml:space="preserve">MOTOR HONDA GX390|PM2 - 200 HR|7</t>
  </si>
  <si>
    <t xml:space="preserve">MOTOR HONDA GX390|16</t>
  </si>
  <si>
    <t xml:space="preserve">MOTOR HONDA GX390|PM2 - 200 HR|8</t>
  </si>
  <si>
    <t xml:space="preserve">MOTOR HONDA GX390|17</t>
  </si>
  <si>
    <t xml:space="preserve">MOTOR HONDA GX390|18</t>
  </si>
  <si>
    <t xml:space="preserve">MOTOR HONDA GX390|19</t>
  </si>
  <si>
    <t xml:space="preserve">MOTOR HONDA GX390|20</t>
  </si>
  <si>
    <t xml:space="preserve">MOTOR HONDA GX390|21</t>
  </si>
  <si>
    <t xml:space="preserve">MOTOR HONDA GX390|22</t>
  </si>
  <si>
    <t xml:space="preserve">MOTOR HONDA GX390|23</t>
  </si>
  <si>
    <t xml:space="preserve">MOTOR HONDA GX390|PM3 - 300 HR|7</t>
  </si>
  <si>
    <t xml:space="preserve">MOTOR HONDA GX390|24</t>
  </si>
  <si>
    <t xml:space="preserve">MOTOR HONDA GX390|PM3 - 300 HR|8</t>
  </si>
  <si>
    <t xml:space="preserve">MOTOR HONDA GX390|25</t>
  </si>
  <si>
    <t xml:space="preserve">MOTOR HONDA GX390|PM3 - 300 HR|9</t>
  </si>
  <si>
    <t xml:space="preserve">MOTOR HONDA GX390|26</t>
  </si>
  <si>
    <t xml:space="preserve">MOTOR HONDA GX390|PM3 - 300 HR|10</t>
  </si>
  <si>
    <t xml:space="preserve">MOTOR HONDA GX160|PM1 - 100 HR|5</t>
  </si>
  <si>
    <t xml:space="preserve">MOTOR HONDA GX160|PM1 - 100 HR|6</t>
  </si>
  <si>
    <t xml:space="preserve">MOTOR HONDA GX160|PM1 - 100 HR|7</t>
  </si>
  <si>
    <t xml:space="preserve">MOTOR HONDA GX160|PM1 - 100 HR|8</t>
  </si>
  <si>
    <t xml:space="preserve">MOTOR HONDA GX160|PM2 - 200 HR|5</t>
  </si>
  <si>
    <t xml:space="preserve">MOTOR HONDA GX160|PM2 - 200 HR|6</t>
  </si>
  <si>
    <t xml:space="preserve">MOTOR HONDA GX160|15</t>
  </si>
  <si>
    <t xml:space="preserve">MOTOR HONDA GX160|PM2 - 200 HR|7</t>
  </si>
  <si>
    <t xml:space="preserve">MOTOR HONDA GX160|16</t>
  </si>
  <si>
    <t xml:space="preserve">MOTOR HONDA GX160|PM2 - 200 HR|8</t>
  </si>
  <si>
    <t xml:space="preserve">MOTOR HONDA GX160|17</t>
  </si>
  <si>
    <t xml:space="preserve">MOTOR HONDA GX160|18</t>
  </si>
  <si>
    <t xml:space="preserve">MOTOR HONDA GX160|19</t>
  </si>
  <si>
    <t xml:space="preserve">MOTOR HONDA GX160|20</t>
  </si>
  <si>
    <t xml:space="preserve">MOTOR HONDA GX160|21</t>
  </si>
  <si>
    <t xml:space="preserve">MOTOR HONDA GX160|22</t>
  </si>
  <si>
    <t xml:space="preserve">MOTOR HONDA GX160|23</t>
  </si>
  <si>
    <t xml:space="preserve">MOTOR HONDA GX160|PM3 - 300 HR|7</t>
  </si>
  <si>
    <t xml:space="preserve">MOTOR HONDA GX160|24</t>
  </si>
  <si>
    <t xml:space="preserve">MOTOR HONDA GX160|PM3 - 300 HR|8</t>
  </si>
  <si>
    <t xml:space="preserve">MOTOR HONDA GX160|25</t>
  </si>
  <si>
    <t xml:space="preserve">MOTOR HONDA GX160|PM3 - 300 HR|9</t>
  </si>
  <si>
    <t xml:space="preserve">MOTOR HONDA GX160|26</t>
  </si>
  <si>
    <t xml:space="preserve">MOTOR HONDA GX160|PM3 - 300 HR|10</t>
  </si>
  <si>
    <t xml:space="preserve">MEZCLADORA CON MOTOR RATO R390|PM1 - 100 HR|6</t>
  </si>
  <si>
    <t xml:space="preserve">MEZCLADORA CON MOTOR RATO R390|PM1 - 100 HR|7</t>
  </si>
  <si>
    <t xml:space="preserve">MEZCLADORA CON MOTOR RATO R390|PM1 - 100 HR|8</t>
  </si>
  <si>
    <t xml:space="preserve">CORONA, PIÑÓN Y RODAMIENTOS DEL TAMBOR</t>
  </si>
  <si>
    <t xml:space="preserve">MEZCLADORA CON MOTOR RATO R390|PM1 - 100 HR|9</t>
  </si>
  <si>
    <t xml:space="preserve">FAJA / ACOPLE MOTOR - TAMBOR Y GUARDAS</t>
  </si>
  <si>
    <t xml:space="preserve">MEZCLADORA CON MOTOR RATO R390|PM1 - 100 HR|10</t>
  </si>
  <si>
    <t xml:space="preserve">MEZCLADORA CON MOTOR RATO R390|PM2 - 200 HR|6</t>
  </si>
  <si>
    <t xml:space="preserve">MEZCLADORA CON MOTOR RATO R390|PM2 - 200 HR|7</t>
  </si>
  <si>
    <t xml:space="preserve">MEZCLADORA CON MOTOR RATO R390|18</t>
  </si>
  <si>
    <t xml:space="preserve">MEZCLADORA CON MOTOR RATO R390|PM2 - 200 HR|8</t>
  </si>
  <si>
    <t xml:space="preserve">MEZCLADORA CON MOTOR RATO R390|19</t>
  </si>
  <si>
    <t xml:space="preserve">MEZCLADORA CON MOTOR RATO R390|PM2 - 200 HR|9</t>
  </si>
  <si>
    <t xml:space="preserve">MEZCLADORA CON MOTOR RATO R390|20</t>
  </si>
  <si>
    <t xml:space="preserve">MEZCLADORA CON MOTOR RATO R390|PM2 - 200 HR|10</t>
  </si>
  <si>
    <t xml:space="preserve">MEZCLADORA CON MOTOR RATO R390|21</t>
  </si>
  <si>
    <t xml:space="preserve">MEZCLADORA CON MOTOR RATO R390|22</t>
  </si>
  <si>
    <t xml:space="preserve">MEZCLADORA CON MOTOR RATO R390|23</t>
  </si>
  <si>
    <t xml:space="preserve">MEZCLADORA CON MOTOR RATO R390|24</t>
  </si>
  <si>
    <t xml:space="preserve">MEZCLADORA CON MOTOR RATO R390|25</t>
  </si>
  <si>
    <t xml:space="preserve">MEZCLADORA CON MOTOR RATO R390|26</t>
  </si>
  <si>
    <t xml:space="preserve">MEZCLADORA CON MOTOR RATO R390|27</t>
  </si>
  <si>
    <t xml:space="preserve">MEZCLADORA CON MOTOR RATO R390|28</t>
  </si>
  <si>
    <t xml:space="preserve">MEZCLADORA CON MOTOR RATO R390|PM3 - 300 HR|8</t>
  </si>
  <si>
    <t xml:space="preserve">MEZCLADORA CON MOTOR RATO R390|29</t>
  </si>
  <si>
    <t xml:space="preserve">MEZCLADORA CON MOTOR RATO R390|PM3 - 300 HR|9</t>
  </si>
  <si>
    <t xml:space="preserve">MEZCLADORA CON MOTOR RATO R390|30</t>
  </si>
  <si>
    <t xml:space="preserve">MEZCLADORA CON MOTOR RATO R390|PM3 - 300 HR|10</t>
  </si>
  <si>
    <t xml:space="preserve">MEZCLADORA CON MOTOR RATO R390|31</t>
  </si>
  <si>
    <t xml:space="preserve">MEZCLADORA CON MOTOR RATO R390|PM3 - 300 HR|11</t>
  </si>
  <si>
    <t xml:space="preserve">MEZCLADORA CON MOTOR RATO R390|32</t>
  </si>
  <si>
    <t xml:space="preserve">MEZCLADORA CON MOTOR RATO R390|PM3 - 300 HR|12</t>
  </si>
  <si>
    <t xml:space="preserve">FILTRO DE AIRE (SACUDIR, SIN LAVAR)</t>
  </si>
  <si>
    <t xml:space="preserve">BUJÍA (ELECTRODOS) Y CABLE DE ENCENDIDO</t>
  </si>
  <si>
    <t xml:space="preserve">TAPA DEL TANQUE (SELLADO Y RESPIRADERO) Y MANGUERAS</t>
  </si>
  <si>
    <t xml:space="preserve">CARBURADOR</t>
  </si>
  <si>
    <t xml:space="preserve">RALENTÍ Y CABLE DEL ACELERADOR</t>
  </si>
  <si>
    <t xml:space="preserve">ATOMIZADORA MASTER 452|PM1 - 50 HR|4</t>
  </si>
  <si>
    <t xml:space="preserve">ATOMIZADORA MASTER 452|PM1 - 50 HR|5</t>
  </si>
  <si>
    <t xml:space="preserve">REFRIGERACIÓN</t>
  </si>
  <si>
    <t xml:space="preserve">ALETAS DEL CILINDRO Y TOMA DE AIRE DEL VENTILADOR</t>
  </si>
  <si>
    <t xml:space="preserve">ATOMIZADORA MASTER 452|PM1 - 50 HR|6</t>
  </si>
  <si>
    <t xml:space="preserve">SILENCIADOR Y REJILLA ARRESTACHISPAS</t>
  </si>
  <si>
    <t xml:space="preserve">ATOMIZADORA MASTER 452|PM1 - 50 HR|7</t>
  </si>
  <si>
    <t xml:space="preserve">SISTEMA DE APLICACIÓN</t>
  </si>
  <si>
    <t xml:space="preserve">TANQUE Y TAPA DE CALDO (FISURAS Y EMPAQUES)</t>
  </si>
  <si>
    <t xml:space="preserve">ATOMIZADORA MASTER 452|PM1 - 50 HR|8</t>
  </si>
  <si>
    <t xml:space="preserve">COLADOR DEL TANQUE DE CALDO</t>
  </si>
  <si>
    <t xml:space="preserve">ATOMIZADORA MASTER 452|PM1 - 50 HR|9</t>
  </si>
  <si>
    <t xml:space="preserve">MANGUERAS DE CALDO Y LLAVE DE PASO</t>
  </si>
  <si>
    <t xml:space="preserve">ATOMIZADORA MASTER 452|PM1 - 50 HR|10</t>
  </si>
  <si>
    <t xml:space="preserve">DOSIFICADOR Y BOQUILLA</t>
  </si>
  <si>
    <t xml:space="preserve">ATOMIZADORA MASTER 452|PM1 - 50 HR|11</t>
  </si>
  <si>
    <t xml:space="preserve">ARNÉS, CORREAS, AMORTIGUADORES DE VIBRACIÓN Y PERNOS</t>
  </si>
  <si>
    <t xml:space="preserve">ATOMIZADORA MASTER 452|PM1 - 50 HR|12</t>
  </si>
  <si>
    <t xml:space="preserve">CABLE DE ENCENDIDO Y CAPUCHÓN</t>
  </si>
  <si>
    <t xml:space="preserve">TANQUE DE COMBUSTIBLE</t>
  </si>
  <si>
    <t xml:space="preserve">ATOMIZADORA MASTER 452|18</t>
  </si>
  <si>
    <t xml:space="preserve">ATOMIZADORA MASTER 452|PM2 - 100 HR|6</t>
  </si>
  <si>
    <t xml:space="preserve">ATOMIZADORA MASTER 452|19</t>
  </si>
  <si>
    <t xml:space="preserve">ATOMIZADORA MASTER 452|PM2 - 100 HR|7</t>
  </si>
  <si>
    <t xml:space="preserve">ATOMIZADORA MASTER 452|20</t>
  </si>
  <si>
    <t xml:space="preserve">ATOMIZADORA MASTER 452|PM2 - 100 HR|8</t>
  </si>
  <si>
    <t xml:space="preserve">CARBONILLA DEL ARRESTACHISPAS</t>
  </si>
  <si>
    <t xml:space="preserve">ATOMIZADORA MASTER 452|21</t>
  </si>
  <si>
    <t xml:space="preserve">ATOMIZADORA MASTER 452|PM2 - 100 HR|9</t>
  </si>
  <si>
    <t xml:space="preserve">ATOMIZADORA MASTER 452|22</t>
  </si>
  <si>
    <t xml:space="preserve">ATOMIZADORA MASTER 452|PM2 - 100 HR|10</t>
  </si>
  <si>
    <t xml:space="preserve">ATOMIZADORA MASTER 452|23</t>
  </si>
  <si>
    <t xml:space="preserve">ATOMIZADORA MASTER 452|PM2 - 100 HR|11</t>
  </si>
  <si>
    <t xml:space="preserve">ATOMIZADORA MASTER 452|24</t>
  </si>
  <si>
    <t xml:space="preserve">ATOMIZADORA MASTER 452|PM2 - 100 HR|12</t>
  </si>
  <si>
    <t xml:space="preserve">ATOMIZADORA MASTER 452|25</t>
  </si>
  <si>
    <t xml:space="preserve">ATOMIZADORA MASTER 452|PM2 - 100 HR|13</t>
  </si>
  <si>
    <t xml:space="preserve">ATOMIZADORA MASTER 452|26</t>
  </si>
  <si>
    <t xml:space="preserve">ATOMIZADORA MASTER 452|PM2 - 100 HR|14</t>
  </si>
  <si>
    <t xml:space="preserve">ATOMIZADORA MASTER 452|27</t>
  </si>
  <si>
    <t xml:space="preserve">ATOMIZADORA MASTER 452|28</t>
  </si>
  <si>
    <t xml:space="preserve">ATOMIZADORA MASTER 452|29</t>
  </si>
  <si>
    <t xml:space="preserve">ATOMIZADORA MASTER 452|30</t>
  </si>
  <si>
    <t xml:space="preserve">ATOMIZADORA MASTER 452|PM3 - 150 HR|4</t>
  </si>
  <si>
    <t xml:space="preserve">ATOMIZADORA MASTER 452|31</t>
  </si>
  <si>
    <t xml:space="preserve">ATOMIZADORA MASTER 452|PM3 - 150 HR|5</t>
  </si>
  <si>
    <t xml:space="preserve">ATOMIZADORA MASTER 452|32</t>
  </si>
  <si>
    <t xml:space="preserve">ATOMIZADORA MASTER 452|PM3 - 150 HR|6</t>
  </si>
  <si>
    <t xml:space="preserve">ATOMIZADORA MASTER 452|33</t>
  </si>
  <si>
    <t xml:space="preserve">ATOMIZADORA MASTER 452|PM3 - 150 HR|7</t>
  </si>
  <si>
    <t xml:space="preserve">ATOMIZADORA MASTER 452|34</t>
  </si>
  <si>
    <t xml:space="preserve">ATOMIZADORA MASTER 452|PM3 - 150 HR|8</t>
  </si>
  <si>
    <t xml:space="preserve">ATOMIZADORA MASTER 452|35</t>
  </si>
  <si>
    <t xml:space="preserve">ATOMIZADORA MASTER 452|PM3 - 150 HR|9</t>
  </si>
  <si>
    <t xml:space="preserve">ATOMIZADORA MASTER 452|36</t>
  </si>
  <si>
    <t xml:space="preserve">ATOMIZADORA MASTER 452|PM3 - 150 HR|10</t>
  </si>
  <si>
    <t xml:space="preserve">ATOMIZADORA MASTER 452|37</t>
  </si>
  <si>
    <t xml:space="preserve">ATOMIZADORA MASTER 452|PM3 - 150 HR|11</t>
  </si>
  <si>
    <t xml:space="preserve">ATOMIZADORA MASTER 452|38</t>
  </si>
  <si>
    <t xml:space="preserve">ATOMIZADORA MASTER 452|PM3 - 150 HR|12</t>
  </si>
  <si>
    <t xml:space="preserve">ATOMIZADORA MASTER 452|39</t>
  </si>
  <si>
    <t xml:space="preserve">ATOMIZADORA MASTER 452|40</t>
  </si>
  <si>
    <t xml:space="preserve">ATOMIZADORA MASTER 452|41</t>
  </si>
  <si>
    <t xml:space="preserve">ATOMIZADORA MASTER 452|42</t>
  </si>
  <si>
    <t xml:space="preserve">ATOMIZADORA MASTER 452|43</t>
  </si>
  <si>
    <t xml:space="preserve">ATOMIZADORA MASTER 452|44</t>
  </si>
  <si>
    <t xml:space="preserve">ATOMIZADORA MASTER 452|45</t>
  </si>
  <si>
    <t xml:space="preserve">ATOMIZADORA MASTER 452|PM4 - 200 HR|7</t>
  </si>
  <si>
    <t xml:space="preserve">ATOMIZADORA MASTER 452|46</t>
  </si>
  <si>
    <t xml:space="preserve">ATOMIZADORA MASTER 452|PM4 - 200 HR|8</t>
  </si>
  <si>
    <t xml:space="preserve">ATOMIZADORA MASTER 452|47</t>
  </si>
  <si>
    <t xml:space="preserve">ATOMIZADORA MASTER 452|PM4 - 200 HR|9</t>
  </si>
  <si>
    <t xml:space="preserve">ATOMIZADORA MASTER 452|48</t>
  </si>
  <si>
    <t xml:space="preserve">ATOMIZADORA MASTER 452|PM4 - 200 HR|10</t>
  </si>
  <si>
    <t xml:space="preserve">ATOMIZADORA MASTER 452|49</t>
  </si>
  <si>
    <t xml:space="preserve">ATOMIZADORA MASTER 452|PM4 - 200 HR|11</t>
  </si>
  <si>
    <t xml:space="preserve">ATOMIZADORA MASTER 452|50</t>
  </si>
  <si>
    <t xml:space="preserve">ATOMIZADORA MASTER 452|PM4 - 200 HR|12</t>
  </si>
  <si>
    <t xml:space="preserve">ATOMIZADORA MASTER 452|51</t>
  </si>
  <si>
    <t xml:space="preserve">ATOMIZADORA MASTER 452|PM4 - 200 HR|13</t>
  </si>
  <si>
    <t xml:space="preserve">ATOMIZADORA MASTER 452|52</t>
  </si>
  <si>
    <t xml:space="preserve">ATOMIZADORA MASTER 452|PM4 - 200 HR|14</t>
  </si>
  <si>
    <t xml:space="preserve">ATOMIZADORA CIFARELLI M1200|PM1 - 50 HR|4</t>
  </si>
  <si>
    <t xml:space="preserve">ATOMIZADORA CIFARELLI M1200|PM1 - 50 HR|5</t>
  </si>
  <si>
    <t xml:space="preserve">ATOMIZADORA CIFARELLI M1200|PM1 - 50 HR|6</t>
  </si>
  <si>
    <t xml:space="preserve">ATOMIZADORA CIFARELLI M1200|PM1 - 50 HR|7</t>
  </si>
  <si>
    <t xml:space="preserve">ATOMIZADORA CIFARELLI M1200|PM1 - 50 HR|8</t>
  </si>
  <si>
    <t xml:space="preserve">ATOMIZADORA CIFARELLI M1200|PM1 - 50 HR|9</t>
  </si>
  <si>
    <t xml:space="preserve">ATOMIZADORA CIFARELLI M1200|PM1 - 50 HR|10</t>
  </si>
  <si>
    <t xml:space="preserve">ATOMIZADORA CIFARELLI M1200|PM1 - 50 HR|11</t>
  </si>
  <si>
    <t xml:space="preserve">ATOMIZADORA CIFARELLI M1200|PM1 - 50 HR|12</t>
  </si>
  <si>
    <t xml:space="preserve">ATOMIZADORA CIFARELLI M1200|18</t>
  </si>
  <si>
    <t xml:space="preserve">ATOMIZADORA CIFARELLI M1200|PM2 - 100 HR|6</t>
  </si>
  <si>
    <t xml:space="preserve">ATOMIZADORA CIFARELLI M1200|19</t>
  </si>
  <si>
    <t xml:space="preserve">ATOMIZADORA CIFARELLI M1200|PM2 - 100 HR|7</t>
  </si>
  <si>
    <t xml:space="preserve">ATOMIZADORA CIFARELLI M1200|20</t>
  </si>
  <si>
    <t xml:space="preserve">ATOMIZADORA CIFARELLI M1200|PM2 - 100 HR|8</t>
  </si>
  <si>
    <t xml:space="preserve">ATOMIZADORA CIFARELLI M1200|21</t>
  </si>
  <si>
    <t xml:space="preserve">ATOMIZADORA CIFARELLI M1200|PM2 - 100 HR|9</t>
  </si>
  <si>
    <t xml:space="preserve">ATOMIZADORA CIFARELLI M1200|22</t>
  </si>
  <si>
    <t xml:space="preserve">ATOMIZADORA CIFARELLI M1200|PM2 - 100 HR|10</t>
  </si>
  <si>
    <t xml:space="preserve">ATOMIZADORA CIFARELLI M1200|23</t>
  </si>
  <si>
    <t xml:space="preserve">ATOMIZADORA CIFARELLI M1200|PM2 - 100 HR|11</t>
  </si>
  <si>
    <t xml:space="preserve">ATOMIZADORA CIFARELLI M1200|24</t>
  </si>
  <si>
    <t xml:space="preserve">ATOMIZADORA CIFARELLI M1200|PM2 - 100 HR|12</t>
  </si>
  <si>
    <t xml:space="preserve">ATOMIZADORA CIFARELLI M1200|25</t>
  </si>
  <si>
    <t xml:space="preserve">ATOMIZADORA CIFARELLI M1200|PM2 - 100 HR|13</t>
  </si>
  <si>
    <t xml:space="preserve">ATOMIZADORA CIFARELLI M1200|26</t>
  </si>
  <si>
    <t xml:space="preserve">ATOMIZADORA CIFARELLI M1200|PM2 - 100 HR|14</t>
  </si>
  <si>
    <t xml:space="preserve">ATOMIZADORA CIFARELLI M1200|27</t>
  </si>
  <si>
    <t xml:space="preserve">ATOMIZADORA CIFARELLI M1200|28</t>
  </si>
  <si>
    <t xml:space="preserve">ATOMIZADORA CIFARELLI M1200|29</t>
  </si>
  <si>
    <t xml:space="preserve">ATOMIZADORA CIFARELLI M1200|30</t>
  </si>
  <si>
    <t xml:space="preserve">ATOMIZADORA CIFARELLI M1200|PM3 - 150 HR|4</t>
  </si>
  <si>
    <t xml:space="preserve">ATOMIZADORA CIFARELLI M1200|31</t>
  </si>
  <si>
    <t xml:space="preserve">ATOMIZADORA CIFARELLI M1200|PM3 - 150 HR|5</t>
  </si>
  <si>
    <t xml:space="preserve">ATOMIZADORA CIFARELLI M1200|32</t>
  </si>
  <si>
    <t xml:space="preserve">ATOMIZADORA CIFARELLI M1200|PM3 - 150 HR|6</t>
  </si>
  <si>
    <t xml:space="preserve">ATOMIZADORA CIFARELLI M1200|33</t>
  </si>
  <si>
    <t xml:space="preserve">ATOMIZADORA CIFARELLI M1200|PM3 - 150 HR|7</t>
  </si>
  <si>
    <t xml:space="preserve">ATOMIZADORA CIFARELLI M1200|34</t>
  </si>
  <si>
    <t xml:space="preserve">ATOMIZADORA CIFARELLI M1200|PM3 - 150 HR|8</t>
  </si>
  <si>
    <t xml:space="preserve">ATOMIZADORA CIFARELLI M1200|35</t>
  </si>
  <si>
    <t xml:space="preserve">ATOMIZADORA CIFARELLI M1200|PM3 - 150 HR|9</t>
  </si>
  <si>
    <t xml:space="preserve">ATOMIZADORA CIFARELLI M1200|36</t>
  </si>
  <si>
    <t xml:space="preserve">ATOMIZADORA CIFARELLI M1200|PM3 - 150 HR|10</t>
  </si>
  <si>
    <t xml:space="preserve">ATOMIZADORA CIFARELLI M1200|37</t>
  </si>
  <si>
    <t xml:space="preserve">ATOMIZADORA CIFARELLI M1200|PM3 - 150 HR|11</t>
  </si>
  <si>
    <t xml:space="preserve">ATOMIZADORA CIFARELLI M1200|38</t>
  </si>
  <si>
    <t xml:space="preserve">ATOMIZADORA CIFARELLI M1200|PM3 - 150 HR|12</t>
  </si>
  <si>
    <t xml:space="preserve">ATOMIZADORA CIFARELLI M1200|39</t>
  </si>
  <si>
    <t xml:space="preserve">ATOMIZADORA CIFARELLI M1200|40</t>
  </si>
  <si>
    <t xml:space="preserve">ATOMIZADORA CIFARELLI M1200|41</t>
  </si>
  <si>
    <t xml:space="preserve">ATOMIZADORA CIFARELLI M1200|42</t>
  </si>
  <si>
    <t xml:space="preserve">ATOMIZADORA CIFARELLI M1200|43</t>
  </si>
  <si>
    <t xml:space="preserve">ATOMIZADORA CIFARELLI M1200|44</t>
  </si>
  <si>
    <t xml:space="preserve">ATOMIZADORA CIFARELLI M1200|45</t>
  </si>
  <si>
    <t xml:space="preserve">ATOMIZADORA CIFARELLI M1200|PM4 - 200 HR|7</t>
  </si>
  <si>
    <t xml:space="preserve">ATOMIZADORA CIFARELLI M1200|46</t>
  </si>
  <si>
    <t xml:space="preserve">ATOMIZADORA CIFARELLI M1200|PM4 - 200 HR|8</t>
  </si>
  <si>
    <t xml:space="preserve">ATOMIZADORA CIFARELLI M1200|47</t>
  </si>
  <si>
    <t xml:space="preserve">ATOMIZADORA CIFARELLI M1200|PM4 - 200 HR|9</t>
  </si>
  <si>
    <t xml:space="preserve">ATOMIZADORA CIFARELLI M1200|48</t>
  </si>
  <si>
    <t xml:space="preserve">ATOMIZADORA CIFARELLI M1200|PM4 - 200 HR|10</t>
  </si>
  <si>
    <t xml:space="preserve">ATOMIZADORA CIFARELLI M1200|49</t>
  </si>
  <si>
    <t xml:space="preserve">ATOMIZADORA CIFARELLI M1200|PM4 - 200 HR|11</t>
  </si>
  <si>
    <t xml:space="preserve">ATOMIZADORA CIFARELLI M1200|50</t>
  </si>
  <si>
    <t xml:space="preserve">ATOMIZADORA CIFARELLI M1200|PM4 - 200 HR|12</t>
  </si>
  <si>
    <t xml:space="preserve">ATOMIZADORA CIFARELLI M1200|51</t>
  </si>
  <si>
    <t xml:space="preserve">ATOMIZADORA CIFARELLI M1200|PM4 - 200 HR|13</t>
  </si>
  <si>
    <t xml:space="preserve">ATOMIZADORA CIFARELLI M1200|52</t>
  </si>
  <si>
    <t xml:space="preserve">ATOMIZADORA CIFARELLI M1200|PM4 - 200 HR|14</t>
  </si>
  <si>
    <t xml:space="preserve">DESBROZADORA MULTIFUNCIONAL RONIX 4805|PM1 - 50 HR|5</t>
  </si>
  <si>
    <t xml:space="preserve">ALETAS DEL CILINDRO Y TOMA DE AIRE</t>
  </si>
  <si>
    <t xml:space="preserve">DESBROZADORA MULTIFUNCIONAL RONIX 4805|PM1 - 50 HR|6</t>
  </si>
  <si>
    <t xml:space="preserve">DESBROZADORA MULTIFUNCIONAL RONIX 4805|PM1 - 50 HR|7</t>
  </si>
  <si>
    <t xml:space="preserve">EMBRAGUE</t>
  </si>
  <si>
    <t xml:space="preserve">EMBRAGUE CENTRÍFUGO Y CAMPANA (CABEZAL NO DEBE GIRAR EN RALENTÍ)</t>
  </si>
  <si>
    <t xml:space="preserve">DESBROZADORA MULTIFUNCIONAL RONIX 4805|PM1 - 50 HR|8</t>
  </si>
  <si>
    <t xml:space="preserve">EJE DE TRANSMISIÓN, ESTRÍAS Y ACOPLES DE LA BARRA</t>
  </si>
  <si>
    <t xml:space="preserve">DESBROZADORA MULTIFUNCIONAL RONIX 4805|PM1 - 50 HR|9</t>
  </si>
  <si>
    <t xml:space="preserve">CAJA ANGULAR DEL CABEZAL</t>
  </si>
  <si>
    <t xml:space="preserve">DESBROZADORA MULTIFUNCIONAL RONIX 4805|PM1 - 50 HR|10</t>
  </si>
  <si>
    <t xml:space="preserve">HERRAMIENTA DE CORTE</t>
  </si>
  <si>
    <t xml:space="preserve">CABEZAL DE HILO Y NIVEL DE HILO</t>
  </si>
  <si>
    <t xml:space="preserve">DESBROZADORA MULTIFUNCIONAL RONIX 4805|PM1 - 50 HR|11</t>
  </si>
  <si>
    <t xml:space="preserve">CUCHILLA: FILO, FISURAS Y TUERCA DE FIJACIÓN</t>
  </si>
  <si>
    <t xml:space="preserve">DESBROZADORA MULTIFUNCIONAL RONIX 4805|PM1 - 50 HR|12</t>
  </si>
  <si>
    <t xml:space="preserve">GUARDA DE PROTECCIÓN</t>
  </si>
  <si>
    <t xml:space="preserve">DESBROZADORA MULTIFUNCIONAL RONIX 4805|PM1 - 50 HR|13</t>
  </si>
  <si>
    <t xml:space="preserve">ACCESORIOS</t>
  </si>
  <si>
    <t xml:space="preserve">CORTASETOS: CUCHILLAS Y LUBRICACIÓN</t>
  </si>
  <si>
    <t xml:space="preserve">DESBROZADORA MULTIFUNCIONAL RONIX 4805|PM1 - 50 HR|14</t>
  </si>
  <si>
    <t xml:space="preserve">SIERRA DE ALTURA: CADENA, ESPADA Y ACEITE DE CADENA</t>
  </si>
  <si>
    <t xml:space="preserve">DESBROZADORA MULTIFUNCIONAL RONIX 4805|PM1 - 50 HR|15</t>
  </si>
  <si>
    <t xml:space="preserve">ARNÉS, MANILLAR Y AMORTIGUADORES DE VIBRACIÓN</t>
  </si>
  <si>
    <t xml:space="preserve">DESBROZADORA MULTIFUNCIONAL RONIX 4805|PM1 - 50 HR|16</t>
  </si>
  <si>
    <t xml:space="preserve">DESBROZADORA MULTIFUNCIONAL RONIX 4805|22</t>
  </si>
  <si>
    <t xml:space="preserve">DESBROZADORA MULTIFUNCIONAL RONIX 4805|23</t>
  </si>
  <si>
    <t xml:space="preserve">DESBROZADORA MULTIFUNCIONAL RONIX 4805|PM2 - 100 HR|7</t>
  </si>
  <si>
    <t xml:space="preserve">DESBROZADORA MULTIFUNCIONAL RONIX 4805|24</t>
  </si>
  <si>
    <t xml:space="preserve">DESBROZADORA MULTIFUNCIONAL RONIX 4805|PM2 - 100 HR|8</t>
  </si>
  <si>
    <t xml:space="preserve">DESBROZADORA MULTIFUNCIONAL RONIX 4805|25</t>
  </si>
  <si>
    <t xml:space="preserve">DESBROZADORA MULTIFUNCIONAL RONIX 4805|PM2 - 100 HR|9</t>
  </si>
  <si>
    <t xml:space="preserve">DESBROZADORA MULTIFUNCIONAL RONIX 4805|26</t>
  </si>
  <si>
    <t xml:space="preserve">DESBROZADORA MULTIFUNCIONAL RONIX 4805|PM2 - 100 HR|10</t>
  </si>
  <si>
    <t xml:space="preserve">DESBROZADORA MULTIFUNCIONAL RONIX 4805|27</t>
  </si>
  <si>
    <t xml:space="preserve">DESBROZADORA MULTIFUNCIONAL RONIX 4805|PM2 - 100 HR|11</t>
  </si>
  <si>
    <t xml:space="preserve">DESBROZADORA MULTIFUNCIONAL RONIX 4805|28</t>
  </si>
  <si>
    <t xml:space="preserve">DESBROZADORA MULTIFUNCIONAL RONIX 4805|PM2 - 100 HR|12</t>
  </si>
  <si>
    <t xml:space="preserve">DESBROZADORA MULTIFUNCIONAL RONIX 4805|29</t>
  </si>
  <si>
    <t xml:space="preserve">DESBROZADORA MULTIFUNCIONAL RONIX 4805|PM2 - 100 HR|13</t>
  </si>
  <si>
    <t xml:space="preserve">DESBROZADORA MULTIFUNCIONAL RONIX 4805|30</t>
  </si>
  <si>
    <t xml:space="preserve">DESBROZADORA MULTIFUNCIONAL RONIX 4805|PM2 - 100 HR|14</t>
  </si>
  <si>
    <t xml:space="preserve">DESBROZADORA MULTIFUNCIONAL RONIX 4805|31</t>
  </si>
  <si>
    <t xml:space="preserve">DESBROZADORA MULTIFUNCIONAL RONIX 4805|PM2 - 100 HR|15</t>
  </si>
  <si>
    <t xml:space="preserve">DESBROZADORA MULTIFUNCIONAL RONIX 4805|32</t>
  </si>
  <si>
    <t xml:space="preserve">DESBROZADORA MULTIFUNCIONAL RONIX 4805|PM2 - 100 HR|16</t>
  </si>
  <si>
    <t xml:space="preserve">DESBROZADORA MULTIFUNCIONAL RONIX 4805|33</t>
  </si>
  <si>
    <t xml:space="preserve">DESBROZADORA MULTIFUNCIONAL RONIX 4805|PM2 - 100 HR|17</t>
  </si>
  <si>
    <t xml:space="preserve">DESBROZADORA MULTIFUNCIONAL RONIX 4805|34</t>
  </si>
  <si>
    <t xml:space="preserve">DESBROZADORA MULTIFUNCIONAL RONIX 4805|PM2 - 100 HR|18</t>
  </si>
  <si>
    <t xml:space="preserve">DESBROZADORA MULTIFUNCIONAL RONIX 4805|35</t>
  </si>
  <si>
    <t xml:space="preserve">DESBROZADORA MULTIFUNCIONAL RONIX 4805|36</t>
  </si>
  <si>
    <t xml:space="preserve">DESBROZADORA MULTIFUNCIONAL RONIX 4805|37</t>
  </si>
  <si>
    <t xml:space="preserve">DESBROZADORA MULTIFUNCIONAL RONIX 4805|38</t>
  </si>
  <si>
    <t xml:space="preserve">DESBROZADORA MULTIFUNCIONAL RONIX 4805|39</t>
  </si>
  <si>
    <t xml:space="preserve">DESBROZADORA MULTIFUNCIONAL RONIX 4805|PM3 - 150 HR|5</t>
  </si>
  <si>
    <t xml:space="preserve">DESBROZADORA MULTIFUNCIONAL RONIX 4805|40</t>
  </si>
  <si>
    <t xml:space="preserve">DESBROZADORA MULTIFUNCIONAL RONIX 4805|PM3 - 150 HR|6</t>
  </si>
  <si>
    <t xml:space="preserve">DESBROZADORA MULTIFUNCIONAL RONIX 4805|41</t>
  </si>
  <si>
    <t xml:space="preserve">DESBROZADORA MULTIFUNCIONAL RONIX 4805|PM3 - 150 HR|7</t>
  </si>
  <si>
    <t xml:space="preserve">DESBROZADORA MULTIFUNCIONAL RONIX 4805|42</t>
  </si>
  <si>
    <t xml:space="preserve">DESBROZADORA MULTIFUNCIONAL RONIX 4805|PM3 - 150 HR|8</t>
  </si>
  <si>
    <t xml:space="preserve">DESBROZADORA MULTIFUNCIONAL RONIX 4805|43</t>
  </si>
  <si>
    <t xml:space="preserve">DESBROZADORA MULTIFUNCIONAL RONIX 4805|PM3 - 150 HR|9</t>
  </si>
  <si>
    <t xml:space="preserve">DESBROZADORA MULTIFUNCIONAL RONIX 4805|44</t>
  </si>
  <si>
    <t xml:space="preserve">DESBROZADORA MULTIFUNCIONAL RONIX 4805|PM3 - 150 HR|10</t>
  </si>
  <si>
    <t xml:space="preserve">DESBROZADORA MULTIFUNCIONAL RONIX 4805|45</t>
  </si>
  <si>
    <t xml:space="preserve">DESBROZADORA MULTIFUNCIONAL RONIX 4805|PM3 - 150 HR|11</t>
  </si>
  <si>
    <t xml:space="preserve">DESBROZADORA MULTIFUNCIONAL RONIX 4805|46</t>
  </si>
  <si>
    <t xml:space="preserve">DESBROZADORA MULTIFUNCIONAL RONIX 4805|PM3 - 150 HR|12</t>
  </si>
  <si>
    <t xml:space="preserve">DESBROZADORA MULTIFUNCIONAL RONIX 4805|47</t>
  </si>
  <si>
    <t xml:space="preserve">DESBROZADORA MULTIFUNCIONAL RONIX 4805|PM3 - 150 HR|13</t>
  </si>
  <si>
    <t xml:space="preserve">DESBROZADORA MULTIFUNCIONAL RONIX 4805|48</t>
  </si>
  <si>
    <t xml:space="preserve">DESBROZADORA MULTIFUNCIONAL RONIX 4805|PM3 - 150 HR|14</t>
  </si>
  <si>
    <t xml:space="preserve">DESBROZADORA MULTIFUNCIONAL RONIX 4805|49</t>
  </si>
  <si>
    <t xml:space="preserve">DESBROZADORA MULTIFUNCIONAL RONIX 4805|PM3 - 150 HR|15</t>
  </si>
  <si>
    <t xml:space="preserve">DESBROZADORA MULTIFUNCIONAL RONIX 4805|50</t>
  </si>
  <si>
    <t xml:space="preserve">DESBROZADORA MULTIFUNCIONAL RONIX 4805|PM3 - 150 HR|16</t>
  </si>
  <si>
    <t xml:space="preserve">DESBROZADORA MULTIFUNCIONAL RONIX 4805|51</t>
  </si>
  <si>
    <t xml:space="preserve">DESBROZADORA MULTIFUNCIONAL RONIX 4805|52</t>
  </si>
  <si>
    <t xml:space="preserve">DESBROZADORA MULTIFUNCIONAL RONIX 4805|53</t>
  </si>
  <si>
    <t xml:space="preserve">DESBROZADORA MULTIFUNCIONAL RONIX 4805|54</t>
  </si>
  <si>
    <t xml:space="preserve">DESBROZADORA MULTIFUNCIONAL RONIX 4805|55</t>
  </si>
  <si>
    <t xml:space="preserve">DESBROZADORA MULTIFUNCIONAL RONIX 4805|56</t>
  </si>
  <si>
    <t xml:space="preserve">DESBROZADORA MULTIFUNCIONAL RONIX 4805|57</t>
  </si>
  <si>
    <t xml:space="preserve">DESBROZADORA MULTIFUNCIONAL RONIX 4805|58</t>
  </si>
  <si>
    <t xml:space="preserve">DESBROZADORA MULTIFUNCIONAL RONIX 4805|PM4 - 200 HR|8</t>
  </si>
  <si>
    <t xml:space="preserve">DESBROZADORA MULTIFUNCIONAL RONIX 4805|59</t>
  </si>
  <si>
    <t xml:space="preserve">DESBROZADORA MULTIFUNCIONAL RONIX 4805|PM4 - 200 HR|9</t>
  </si>
  <si>
    <t xml:space="preserve">DESBROZADORA MULTIFUNCIONAL RONIX 4805|60</t>
  </si>
  <si>
    <t xml:space="preserve">DESBROZADORA MULTIFUNCIONAL RONIX 4805|PM4 - 200 HR|10</t>
  </si>
  <si>
    <t xml:space="preserve">DESBROZADORA MULTIFUNCIONAL RONIX 4805|61</t>
  </si>
  <si>
    <t xml:space="preserve">DESBROZADORA MULTIFUNCIONAL RONIX 4805|PM4 - 200 HR|11</t>
  </si>
  <si>
    <t xml:space="preserve">DESBROZADORA MULTIFUNCIONAL RONIX 4805|62</t>
  </si>
  <si>
    <t xml:space="preserve">DESBROZADORA MULTIFUNCIONAL RONIX 4805|PM4 - 200 HR|12</t>
  </si>
  <si>
    <t xml:space="preserve">DESBROZADORA MULTIFUNCIONAL RONIX 4805|63</t>
  </si>
  <si>
    <t xml:space="preserve">DESBROZADORA MULTIFUNCIONAL RONIX 4805|PM4 - 200 HR|13</t>
  </si>
  <si>
    <t xml:space="preserve">DESBROZADORA MULTIFUNCIONAL RONIX 4805|64</t>
  </si>
  <si>
    <t xml:space="preserve">DESBROZADORA MULTIFUNCIONAL RONIX 4805|PM4 - 200 HR|14</t>
  </si>
  <si>
    <t xml:space="preserve">DESBROZADORA MULTIFUNCIONAL RONIX 4805|65</t>
  </si>
  <si>
    <t xml:space="preserve">DESBROZADORA MULTIFUNCIONAL RONIX 4805|PM4 - 200 HR|15</t>
  </si>
  <si>
    <t xml:space="preserve">DESBROZADORA MULTIFUNCIONAL RONIX 4805|66</t>
  </si>
  <si>
    <t xml:space="preserve">DESBROZADORA MULTIFUNCIONAL RONIX 4805|PM4 - 200 HR|16</t>
  </si>
  <si>
    <t xml:space="preserve">DESBROZADORA MULTIFUNCIONAL RONIX 4805|67</t>
  </si>
  <si>
    <t xml:space="preserve">DESBROZADORA MULTIFUNCIONAL RONIX 4805|PM4 - 200 HR|17</t>
  </si>
  <si>
    <t xml:space="preserve">DESBROZADORA MULTIFUNCIONAL RONIX 4805|68</t>
  </si>
  <si>
    <t xml:space="preserve">DESBROZADORA MULTIFUNCIONAL RONIX 4805|PM4 - 200 HR|18</t>
  </si>
  <si>
    <t xml:space="preserve">TANQUE</t>
  </si>
  <si>
    <t xml:space="preserve">PURGAR</t>
  </si>
  <si>
    <t xml:space="preserve">AGUA CONDENSADA DEL TANQUE</t>
  </si>
  <si>
    <t xml:space="preserve">CORROSIÓN, FISURAS Y SOPORTES DEL TANQUE</t>
  </si>
  <si>
    <t xml:space="preserve">SEGURIDAD</t>
  </si>
  <si>
    <t xml:space="preserve">VÁLVULA DE SEGURIDAD (ACCIONAMIENTO MANUAL)</t>
  </si>
  <si>
    <t xml:space="preserve">COMPRESORA 50 LT|PM1 - 3 MESES|3</t>
  </si>
  <si>
    <t xml:space="preserve">PRESOSTATO: PRESIÓN DE ARRANQUE Y CORTE</t>
  </si>
  <si>
    <t xml:space="preserve">COMPRESORA 50 LT|PM1 - 3 MESES|4</t>
  </si>
  <si>
    <t xml:space="preserve">MANÓMETROS Y REGULADOR DE PRESIÓN</t>
  </si>
  <si>
    <t xml:space="preserve">COMPRESORA 50 LT|PM1 - 3 MESES|5</t>
  </si>
  <si>
    <t xml:space="preserve">COMPRESORA 50 LT|6</t>
  </si>
  <si>
    <t xml:space="preserve">COMPRESORA 50 LT|PM1 - 3 MESES|6</t>
  </si>
  <si>
    <t xml:space="preserve">ALETAS DEL CILINDRO</t>
  </si>
  <si>
    <t xml:space="preserve">COMPRESORA 50 LT|7</t>
  </si>
  <si>
    <t xml:space="preserve">COMPRESORA 50 LT|PM1 - 3 MESES|7</t>
  </si>
  <si>
    <t xml:space="preserve">FILTRO DE AIRE DE SUCCIÓN</t>
  </si>
  <si>
    <t xml:space="preserve">COMPRESORA 50 LT|8</t>
  </si>
  <si>
    <t xml:space="preserve">COMPRESORA 50 LT|PM1 - 3 MESES|8</t>
  </si>
  <si>
    <t xml:space="preserve">LÍNEA DE AIRE</t>
  </si>
  <si>
    <t xml:space="preserve">FUGAS EN MANGUERAS, ACOPLES RÁPIDOS Y LLAVE DE SALIDA</t>
  </si>
  <si>
    <t xml:space="preserve">COMPRESORA 50 LT|9</t>
  </si>
  <si>
    <t xml:space="preserve">COMPRESORA 50 LT|PM1 - 3 MESES|9</t>
  </si>
  <si>
    <t xml:space="preserve">MOTOR ELÉCTRICO</t>
  </si>
  <si>
    <t xml:space="preserve">RUIDO, TEMPERATURA Y VENTILADOR</t>
  </si>
  <si>
    <t xml:space="preserve">COMPRESORA 50 LT|10</t>
  </si>
  <si>
    <t xml:space="preserve">COMPRESORA 50 LT|PM1 - 3 MESES|10</t>
  </si>
  <si>
    <t xml:space="preserve">CABLE, ENCHUFE E INTERRUPTOR</t>
  </si>
  <si>
    <t xml:space="preserve">COMPRESORA 50 LT|11</t>
  </si>
  <si>
    <t xml:space="preserve">COMPRESORA 50 LT|PM1 - 3 MESES|11</t>
  </si>
  <si>
    <t xml:space="preserve">RUEDAS, PERNOS Y TACOS ANTIVIBRATORIOS</t>
  </si>
  <si>
    <t xml:space="preserve">COMPRESORA 50 LT|12</t>
  </si>
  <si>
    <t xml:space="preserve">COMPRESORA 50 LT|PM1 - 3 MESES|12</t>
  </si>
  <si>
    <t xml:space="preserve">COMPRESORA 50 LT|13</t>
  </si>
  <si>
    <t xml:space="preserve">COMPRESORA 50 LT|14</t>
  </si>
  <si>
    <t xml:space="preserve">COMPRESORA 50 LT|15</t>
  </si>
  <si>
    <t xml:space="preserve">COMPRESORA 50 LT|16</t>
  </si>
  <si>
    <t xml:space="preserve">COMPRESORA 50 LT|PM2 - 6 MESES|4</t>
  </si>
  <si>
    <t xml:space="preserve">COMPRESORA 50 LT|17</t>
  </si>
  <si>
    <t xml:space="preserve">COMPRESORA 50 LT|PM2 - 6 MESES|5</t>
  </si>
  <si>
    <t xml:space="preserve">COMPRESORA 50 LT|18</t>
  </si>
  <si>
    <t xml:space="preserve">COMPRESORA 50 LT|PM2 - 6 MESES|6</t>
  </si>
  <si>
    <t xml:space="preserve">COMPRESORA 50 LT|19</t>
  </si>
  <si>
    <t xml:space="preserve">COMPRESORA 50 LT|PM2 - 6 MESES|7</t>
  </si>
  <si>
    <t xml:space="preserve">COMPRESORA 50 LT|20</t>
  </si>
  <si>
    <t xml:space="preserve">COMPRESORA 50 LT|PM2 - 6 MESES|8</t>
  </si>
  <si>
    <t xml:space="preserve">COMPRESORA 50 LT|21</t>
  </si>
  <si>
    <t xml:space="preserve">COMPRESORA 50 LT|PM2 - 6 MESES|9</t>
  </si>
  <si>
    <t xml:space="preserve">COMPRESORA 50 LT|22</t>
  </si>
  <si>
    <t xml:space="preserve">COMPRESORA 50 LT|PM2 - 6 MESES|10</t>
  </si>
  <si>
    <t xml:space="preserve">COMPRESORA 50 LT|23</t>
  </si>
  <si>
    <t xml:space="preserve">COMPRESORA 50 LT|PM2 - 6 MESES|11</t>
  </si>
  <si>
    <t xml:space="preserve">COMPRESORA 227 LT|PM1 - 3 MESES|3</t>
  </si>
  <si>
    <t xml:space="preserve">COMPRESORA 227 LT|PM1 - 3 MESES|4</t>
  </si>
  <si>
    <t xml:space="preserve">COMPRESORA 227 LT|PM1 - 3 MESES|5</t>
  </si>
  <si>
    <t xml:space="preserve">VÁLVULA CHECK Y VÁLVULA DE ALIVIO DEL PRESOSTATO</t>
  </si>
  <si>
    <t xml:space="preserve">COMPRESORA 227 LT|PM1 - 3 MESES|6</t>
  </si>
  <si>
    <t xml:space="preserve">NIVEL DE ACEITE (MIRILLA) Y FUGAS</t>
  </si>
  <si>
    <t xml:space="preserve">COMPRESORA 227 LT|PM1 - 3 MESES|7</t>
  </si>
  <si>
    <t xml:space="preserve">ALETAS DEL CABEZAL E INTERENFRIADOR</t>
  </si>
  <si>
    <t xml:space="preserve">COMPRESORA 227 LT|PM1 - 3 MESES|8</t>
  </si>
  <si>
    <t xml:space="preserve">PERNOS DE CULATA Y BASE DEL CABEZAL</t>
  </si>
  <si>
    <t xml:space="preserve">COMPRESORA 227 LT|PM1 - 3 MESES|9</t>
  </si>
  <si>
    <t xml:space="preserve">FILTROS DE AIRE DE SUCCIÓN</t>
  </si>
  <si>
    <t xml:space="preserve">COMPRESORA 227 LT|PM1 - 3 MESES|10</t>
  </si>
  <si>
    <t xml:space="preserve">FAJA: TENSIÓN, GRIETAS Y DESGASTE</t>
  </si>
  <si>
    <t xml:space="preserve">COMPRESORA 227 LT|PM1 - 3 MESES|11</t>
  </si>
  <si>
    <t xml:space="preserve">ALINEACIÓN DE POLEAS Y PRISIONEROS</t>
  </si>
  <si>
    <t xml:space="preserve">COMPRESORA 227 LT|12</t>
  </si>
  <si>
    <t xml:space="preserve">COMPRESORA 227 LT|PM1 - 3 MESES|12</t>
  </si>
  <si>
    <t xml:space="preserve">GUARDA DE FAJA</t>
  </si>
  <si>
    <t xml:space="preserve">COMPRESORA 227 LT|13</t>
  </si>
  <si>
    <t xml:space="preserve">COMPRESORA 227 LT|PM1 - 3 MESES|13</t>
  </si>
  <si>
    <t xml:space="preserve">FUGAS EN TUBERÍA DE DESCARGA, MANGUERAS Y ACOPLES</t>
  </si>
  <si>
    <t xml:space="preserve">COMPRESORA 227 LT|14</t>
  </si>
  <si>
    <t xml:space="preserve">COMPRESORA 227 LT|PM1 - 3 MESES|14</t>
  </si>
  <si>
    <t xml:space="preserve">RUIDO, TEMPERATURA Y RODAMIENTOS</t>
  </si>
  <si>
    <t xml:space="preserve">COMPRESORA 227 LT|15</t>
  </si>
  <si>
    <t xml:space="preserve">COMPRESORA 227 LT|PM1 - 3 MESES|15</t>
  </si>
  <si>
    <t xml:space="preserve">CONSUMO DE CORRIENTE (AMPERAJE)</t>
  </si>
  <si>
    <t xml:space="preserve">COMPRESORA 227 LT|16</t>
  </si>
  <si>
    <t xml:space="preserve">COMPRESORA 227 LT|PM1 - 3 MESES|16</t>
  </si>
  <si>
    <t xml:space="preserve">CABLEADO, BORNES, ARRANCADOR Y PUESTA A TIERRA</t>
  </si>
  <si>
    <t xml:space="preserve">COMPRESORA 227 LT|17</t>
  </si>
  <si>
    <t xml:space="preserve">COMPRESORA 227 LT|PM1 - 3 MESES|17</t>
  </si>
  <si>
    <t xml:space="preserve">PERNOS DE ANCLAJE Y TACOS ANTIVIBRATORIOS</t>
  </si>
  <si>
    <t xml:space="preserve">COMPRESORA 227 LT|18</t>
  </si>
  <si>
    <t xml:space="preserve">COMPRESORA 227 LT|PM1 - 3 MESES|18</t>
  </si>
  <si>
    <t xml:space="preserve">COMPRESORA 227 LT|19</t>
  </si>
  <si>
    <t xml:space="preserve">COMPRESORA 227 LT|20</t>
  </si>
  <si>
    <t xml:space="preserve">COMPRESORA 227 LT|21</t>
  </si>
  <si>
    <t xml:space="preserve">COMPRESORA 227 LT|22</t>
  </si>
  <si>
    <t xml:space="preserve">COMPRESORA 227 LT|PM2 - 6 MESES|4</t>
  </si>
  <si>
    <t xml:space="preserve">COMPRESORA 227 LT|23</t>
  </si>
  <si>
    <t xml:space="preserve">COMPRESORA 227 LT|PM2 - 6 MESES|5</t>
  </si>
  <si>
    <t xml:space="preserve">COMPRESORA 227 LT|24</t>
  </si>
  <si>
    <t xml:space="preserve">COMPRESORA 227 LT|PM2 - 6 MESES|6</t>
  </si>
  <si>
    <t xml:space="preserve">COMPRESORA 227 LT|25</t>
  </si>
  <si>
    <t xml:space="preserve">COMPRESORA 227 LT|PM2 - 6 MESES|7</t>
  </si>
  <si>
    <t xml:space="preserve">COMPRESORA 227 LT|26</t>
  </si>
  <si>
    <t xml:space="preserve">COMPRESORA 227 LT|PM2 - 6 MESES|8</t>
  </si>
  <si>
    <t xml:space="preserve">COMPRESORA 227 LT|27</t>
  </si>
  <si>
    <t xml:space="preserve">COMPRESORA 227 LT|PM2 - 6 MESES|9</t>
  </si>
  <si>
    <t xml:space="preserve">COMPRESORA 227 LT|28</t>
  </si>
  <si>
    <t xml:space="preserve">COMPRESORA 227 LT|PM2 - 6 MESES|10</t>
  </si>
  <si>
    <t xml:space="preserve">COMPRESORA 227 LT|29</t>
  </si>
  <si>
    <t xml:space="preserve">COMPRESORA 227 LT|PM2 - 6 MESES|11</t>
  </si>
  <si>
    <t xml:space="preserve">COMPRESORA 227 LT|30</t>
  </si>
  <si>
    <t xml:space="preserve">COMPRESORA 227 LT|PM2 - 6 MESES|12</t>
  </si>
  <si>
    <t xml:space="preserve">COMPRESORA 227 LT|31</t>
  </si>
  <si>
    <t xml:space="preserve">COMPRESORA 227 LT|PM2 - 6 MESES|13</t>
  </si>
  <si>
    <t xml:space="preserve">COMPRESORA 227 LT|32</t>
  </si>
  <si>
    <t xml:space="preserve">COMPRESORA 227 LT|PM2 - 6 MESES|14</t>
  </si>
  <si>
    <t xml:space="preserve">COMPRESORA 227 LT|33</t>
  </si>
  <si>
    <t xml:space="preserve">COMPRESORA 227 LT|PM2 - 6 MESES|15</t>
  </si>
  <si>
    <t xml:space="preserve">COMPRESORA 227 LT|34</t>
  </si>
  <si>
    <t xml:space="preserve">COMPRESORA 227 LT|PM2 - 6 MESES|16</t>
  </si>
  <si>
    <t xml:space="preserve">COMPRESORA 227 LT|35</t>
  </si>
  <si>
    <t xml:space="preserve">COMPRESORA 227 LT|PM2 - 6 MESES|17</t>
  </si>
  <si>
    <t xml:space="preserve">COMPRESORA 227 LT|36</t>
  </si>
  <si>
    <t xml:space="preserve">COMPRESORA 227 LT|37</t>
  </si>
  <si>
    <t xml:space="preserve">COMPRESORA 227 LT|38</t>
  </si>
  <si>
    <t xml:space="preserve">COMPRESORA 227 LT|PM3 - 9 MESES|3</t>
  </si>
  <si>
    <t xml:space="preserve">COMPRESORA 227 LT|39</t>
  </si>
  <si>
    <t xml:space="preserve">COMPRESORA 227 LT|PM3 - 9 MESES|4</t>
  </si>
  <si>
    <t xml:space="preserve">COMPRESORA 227 LT|40</t>
  </si>
  <si>
    <t xml:space="preserve">COMPRESORA 227 LT|PM3 - 9 MESES|5</t>
  </si>
  <si>
    <t xml:space="preserve">COMPRESORA 227 LT|41</t>
  </si>
  <si>
    <t xml:space="preserve">COMPRESORA 227 LT|PM3 - 9 MESES|6</t>
  </si>
  <si>
    <t xml:space="preserve">COMPRESORA 227 LT|42</t>
  </si>
  <si>
    <t xml:space="preserve">COMPRESORA 227 LT|PM3 - 9 MESES|7</t>
  </si>
  <si>
    <t xml:space="preserve">COMPRESORA 227 LT|43</t>
  </si>
  <si>
    <t xml:space="preserve">COMPRESORA 227 LT|PM3 - 9 MESES|8</t>
  </si>
  <si>
    <t xml:space="preserve">COMPRESORA 227 LT|44</t>
  </si>
  <si>
    <t xml:space="preserve">COMPRESORA 227 LT|PM3 - 9 MESES|9</t>
  </si>
  <si>
    <t xml:space="preserve">COMPRESORA 227 LT|45</t>
  </si>
  <si>
    <t xml:space="preserve">COMPRESORA 227 LT|PM3 - 9 MESES|10</t>
  </si>
  <si>
    <t xml:space="preserve">COMPRESORA 227 LT|46</t>
  </si>
  <si>
    <t xml:space="preserve">COMPRESORA 227 LT|PM3 - 9 MESES|11</t>
  </si>
  <si>
    <t xml:space="preserve">COMPRESORA 227 LT|47</t>
  </si>
  <si>
    <t xml:space="preserve">COMPRESORA 227 LT|PM3 - 9 MESES|12</t>
  </si>
  <si>
    <t xml:space="preserve">COMPRESORA 227 LT|48</t>
  </si>
  <si>
    <t xml:space="preserve">COMPRESORA 227 LT|PM3 - 9 MESES|13</t>
  </si>
  <si>
    <t xml:space="preserve">COMPRESORA 227 LT|49</t>
  </si>
  <si>
    <t xml:space="preserve">COMPRESORA 227 LT|PM3 - 9 MESES|14</t>
  </si>
  <si>
    <t xml:space="preserve">COMPRESORA 227 LT|50</t>
  </si>
  <si>
    <t xml:space="preserve">COMPRESORA 227 LT|PM3 - 9 MESES|15</t>
  </si>
  <si>
    <t xml:space="preserve">COMPRESORA 227 LT|51</t>
  </si>
  <si>
    <t xml:space="preserve">COMPRESORA 227 LT|PM3 - 9 MESES|16</t>
  </si>
  <si>
    <t xml:space="preserve">COMPRESORA 227 LT|52</t>
  </si>
  <si>
    <t xml:space="preserve">COMPRESORA 227 LT|PM3 - 9 MESES|17</t>
  </si>
  <si>
    <t xml:space="preserve">COMPRESORA 227 LT|53</t>
  </si>
  <si>
    <t xml:space="preserve">COMPRESORA 227 LT|PM3 - 9 MESES|18</t>
  </si>
  <si>
    <t xml:space="preserve">COMPRESORA 227 LT|54</t>
  </si>
  <si>
    <t xml:space="preserve">COMPRESORA 227 LT|55</t>
  </si>
  <si>
    <t xml:space="preserve">COMPRESORA 227 LT|56</t>
  </si>
  <si>
    <t xml:space="preserve">COMPRESORA 227 LT|57</t>
  </si>
  <si>
    <t xml:space="preserve">COMPRESORA 227 LT|58</t>
  </si>
  <si>
    <t xml:space="preserve">COMPRESORA 227 LT|PM4 - 12 MESES|5</t>
  </si>
  <si>
    <t xml:space="preserve">COMPRESORA 227 LT|59</t>
  </si>
  <si>
    <t xml:space="preserve">COMPRESORA 227 LT|PM4 - 12 MESES|6</t>
  </si>
  <si>
    <t xml:space="preserve">COMPRESORA 227 LT|60</t>
  </si>
  <si>
    <t xml:space="preserve">COMPRESORA 227 LT|PM4 - 12 MESES|7</t>
  </si>
  <si>
    <t xml:space="preserve">COMPRESORA 227 LT|61</t>
  </si>
  <si>
    <t xml:space="preserve">COMPRESORA 227 LT|PM4 - 12 MESES|8</t>
  </si>
  <si>
    <t xml:space="preserve">COMPRESORA 227 LT|62</t>
  </si>
  <si>
    <t xml:space="preserve">COMPRESORA 227 LT|PM4 - 12 MESES|9</t>
  </si>
  <si>
    <t xml:space="preserve">COMPRESORA 227 LT|63</t>
  </si>
  <si>
    <t xml:space="preserve">COMPRESORA 227 LT|PM4 - 12 MESES|10</t>
  </si>
  <si>
    <t xml:space="preserve">COMPRESORA 227 LT|64</t>
  </si>
  <si>
    <t xml:space="preserve">COMPRESORA 227 LT|PM4 - 12 MESES|11</t>
  </si>
  <si>
    <t xml:space="preserve">COMPRESORA 227 LT|65</t>
  </si>
  <si>
    <t xml:space="preserve">COMPRESORA 227 LT|PM4 - 12 MESES|12</t>
  </si>
  <si>
    <t xml:space="preserve">COMPRESORA 227 LT|66</t>
  </si>
  <si>
    <t xml:space="preserve">COMPRESORA 227 LT|PM4 - 12 MESES|13</t>
  </si>
  <si>
    <t xml:space="preserve">COMPRESORA 227 LT|67</t>
  </si>
  <si>
    <t xml:space="preserve">COMPRESORA 227 LT|PM4 - 12 MESES|14</t>
  </si>
  <si>
    <t xml:space="preserve">COMPRESORA 227 LT|68</t>
  </si>
  <si>
    <t xml:space="preserve">COMPRESORA 227 LT|PM4 - 12 MESES|15</t>
  </si>
  <si>
    <t xml:space="preserve">COMPRESORA 227 LT|69</t>
  </si>
  <si>
    <t xml:space="preserve">COMPRESORA 227 LT|PM4 - 12 MESES|16</t>
  </si>
  <si>
    <t xml:space="preserve">PASO</t>
  </si>
  <si>
    <t xml:space="preserve">LECTURA EN CICLO</t>
  </si>
  <si>
    <t xml:space="preserve">CLAVE PASO</t>
  </si>
  <si>
    <t xml:space="preserve">CLAVE ORDEN</t>
  </si>
  <si>
    <t xml:space="preserve">TRIMOTO MAVILA CARGO 250|PM1 - 1000 KM</t>
  </si>
  <si>
    <t xml:space="preserve">TRIMOTO MAVILA CARGO 250|PM2 - 2000 KM</t>
  </si>
  <si>
    <t xml:space="preserve">TRIMOTO MAVILA CARGO 250|PM3 - 3000 KM</t>
  </si>
  <si>
    <t xml:space="preserve">TRIMOTO MAVILA CARGO 250|PM4 - 4000 KM</t>
  </si>
  <si>
    <t xml:space="preserve">TRIMOTO MAVILA CARGO 250|PM5 - 5000 KM</t>
  </si>
  <si>
    <t xml:space="preserve">TRIMOTO MAVILA CARGO 250|PM6 - 6000 KM</t>
  </si>
  <si>
    <t xml:space="preserve">HONDA TRX250|PM1 - 1000 KM</t>
  </si>
  <si>
    <t xml:space="preserve">HONDA TRX250|PM2 - 2000 KM</t>
  </si>
  <si>
    <t xml:space="preserve">HONDA TRX250|PM3 - 3000 KM</t>
  </si>
  <si>
    <t xml:space="preserve">HONDA TRX250|PM4 - 4000 KM</t>
  </si>
  <si>
    <t xml:space="preserve">HONDA TRX250|PM5 - 5000 KM</t>
  </si>
  <si>
    <t xml:space="preserve">HONDA TRX250|PM6 - 6000 KM</t>
  </si>
  <si>
    <t xml:space="preserve">YAMAHA GRIZZLY 350 4X2|PM1 - 1000 KM</t>
  </si>
  <si>
    <t xml:space="preserve">YAMAHA GRIZZLY 350 4X2|PM2 - 2000 KM</t>
  </si>
  <si>
    <t xml:space="preserve">YAMAHA GRIZZLY 350 4X2|PM3 - 3000 KM</t>
  </si>
  <si>
    <t xml:space="preserve">YAMAHA GRIZZLY 350 4X2|PM4 - 4000 KM</t>
  </si>
  <si>
    <t xml:space="preserve">YAMAHA GRIZZLY 350 4X2|PM5 - 5000 KM</t>
  </si>
  <si>
    <t xml:space="preserve">YAMAHA GRIZZLY 350 4X2|PM6 - 6000 KM</t>
  </si>
  <si>
    <t xml:space="preserve">NEW HOLLAND TD90D|PM1 - 250 HR</t>
  </si>
  <si>
    <t xml:space="preserve">NEW HOLLAND TD90D|PM2 - 500 HR</t>
  </si>
  <si>
    <t xml:space="preserve">NEW HOLLAND TD90D|PM3 - 750 HR</t>
  </si>
  <si>
    <t xml:space="preserve">NEW HOLLAND TD90D|PM4 - 1000 HR</t>
  </si>
  <si>
    <t xml:space="preserve">GENERADOR HONDA EG6500CXS|PM1 - 100 HR</t>
  </si>
  <si>
    <t xml:space="preserve">GENERADOR HONDA EG6500CXS|PM2 - 200 HR</t>
  </si>
  <si>
    <t xml:space="preserve">GENERADOR HONDA EG6500CXS|PM3 - 300 HR</t>
  </si>
  <si>
    <t xml:space="preserve">MOTOR HONDA GX390|PM1 - 100 HR</t>
  </si>
  <si>
    <t xml:space="preserve">MOTOR HONDA GX390|PM2 - 200 HR</t>
  </si>
  <si>
    <t xml:space="preserve">MOTOR HONDA GX390|PM3 - 300 HR</t>
  </si>
  <si>
    <t xml:space="preserve">MOTOR HONDA GX160|PM1 - 100 HR</t>
  </si>
  <si>
    <t xml:space="preserve">MOTOR HONDA GX160|PM2 - 200 HR</t>
  </si>
  <si>
    <t xml:space="preserve">MOTOR HONDA GX160|PM3 - 300 HR</t>
  </si>
  <si>
    <t xml:space="preserve">MEZCLADORA CON MOTOR RATO R390|PM1 - 100 HR</t>
  </si>
  <si>
    <t xml:space="preserve">MEZCLADORA CON MOTOR RATO R390|PM2 - 200 HR</t>
  </si>
  <si>
    <t xml:space="preserve">MEZCLADORA CON MOTOR RATO R390|PM3 - 300 HR</t>
  </si>
  <si>
    <t xml:space="preserve">ATOMIZADORA MASTER 452|PM1 - 50 HR</t>
  </si>
  <si>
    <t xml:space="preserve">ATOMIZADORA MASTER 452|PM2 - 100 HR</t>
  </si>
  <si>
    <t xml:space="preserve">ATOMIZADORA MASTER 452|PM3 - 150 HR</t>
  </si>
  <si>
    <t xml:space="preserve">ATOMIZADORA MASTER 452|PM4 - 200 HR</t>
  </si>
  <si>
    <t xml:space="preserve">ATOMIZADORA CIFARELLI M1200|PM1 - 50 HR</t>
  </si>
  <si>
    <t xml:space="preserve">ATOMIZADORA CIFARELLI M1200|PM2 - 100 HR</t>
  </si>
  <si>
    <t xml:space="preserve">ATOMIZADORA CIFARELLI M1200|PM3 - 150 HR</t>
  </si>
  <si>
    <t xml:space="preserve">ATOMIZADORA CIFARELLI M1200|PM4 - 200 HR</t>
  </si>
  <si>
    <t xml:space="preserve">DESBROZADORA MULTIFUNCIONAL RONIX 4805|PM1 - 50 HR</t>
  </si>
  <si>
    <t xml:space="preserve">DESBROZADORA MULTIFUNCIONAL RONIX 4805|PM2 - 100 HR</t>
  </si>
  <si>
    <t xml:space="preserve">DESBROZADORA MULTIFUNCIONAL RONIX 4805|PM3 - 150 HR</t>
  </si>
  <si>
    <t xml:space="preserve">DESBROZADORA MULTIFUNCIONAL RONIX 4805|PM4 - 200 HR</t>
  </si>
  <si>
    <t xml:space="preserve">COMPRESORA 50 LT|PM1 - 3 MESES</t>
  </si>
  <si>
    <t xml:space="preserve">COMPRESORA 50 LT|PM2 - 6 MESES</t>
  </si>
  <si>
    <t xml:space="preserve">COMPRESORA 227 LT|PM1 - 3 MESES</t>
  </si>
  <si>
    <t xml:space="preserve">COMPRESORA 227 LT|PM2 - 6 MESES</t>
  </si>
  <si>
    <t xml:space="preserve">COMPRESORA 227 LT|PM3 - 9 MESES</t>
  </si>
  <si>
    <t xml:space="preserve">COMPRESORA 227 LT|PM4 - 12 MESES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</si>
</sst>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;;;"/>
    <numFmt numFmtId="166" formatCode="dd/mm/yyyy"/>
    <numFmt numFmtId="167" formatCode="#,##0"/>
    <numFmt numFmtId="168" formatCode="General"/>
    <numFmt numFmtId="169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b val="true"/>
      <sz val="10"/>
      <name val="Arial"/>
      <family val="0"/>
      <charset val="1"/>
    </font>
    <font>
      <sz val="9"/>
      <name val="Arial"/>
      <family val="2"/>
      <charset val="1"/>
    </font>
    <font>
      <b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4577A"/>
        <bgColor rgb="FF315D91"/>
      </patternFill>
    </fill>
    <fill>
      <patternFill patternType="solid">
        <fgColor rgb="FF315D91"/>
        <bgColor rgb="FF24577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>
          <bgColor rgb="FFF8D7DA"/>
        </patternFill>
      </fill>
    </dxf>
    <dxf>
      <fill>
        <patternFill>
          <bgColor rgb="FFFFF3CD"/>
        </patternFill>
      </fill>
    </dxf>
    <dxf>
      <fill>
        <patternFill>
          <bgColor rgb="FFD4EDDA"/>
        </patternFill>
      </fill>
    </dxf>
    <dxf>
      <border diagonalUp="false" diagonalDown="false">
        <left style="thin"/>
        <right style="thin"/>
        <top/>
        <bottom style="thin"/>
        <diagonal/>
      </border>
    </dxf>
    <dxf>
      <border diagonalUp="false" diagonalDown="false">
        <left style="thin"/>
        <right style="thin"/>
        <top/>
        <bottom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fill>
        <patternFill patternType="solid">
          <fgColor rgb="FF315D9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name val="Arial"/>
        <charset val="1"/>
        <family val="0"/>
        <sz val="9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315D91"/>
      <rgbColor rgb="FF969696"/>
      <rgbColor rgb="FF003366"/>
      <rgbColor rgb="FF339966"/>
      <rgbColor rgb="FF003300"/>
      <rgbColor rgb="FF333300"/>
      <rgbColor rgb="FF993300"/>
      <rgbColor rgb="FF993366"/>
      <rgbColor rgb="FF24577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8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true" outlineLevel="0" max="1" min="1" style="0" width="3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8"/>
    <col collapsed="false" customWidth="true" hidden="false" outlineLevel="0" max="6" min="6" style="0" width="40"/>
    <col collapsed="false" customWidth="true" hidden="false" outlineLevel="0" max="7" min="7" style="0" width="9"/>
    <col collapsed="false" customWidth="true" hidden="false" outlineLevel="0" max="8" min="8" style="0" width="8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12"/>
    <col collapsed="false" customWidth="true" hidden="false" outlineLevel="0" max="12" min="12" style="0" width="3"/>
    <col collapsed="false" customWidth="true" hidden="false" outlineLevel="0" max="13" min="13" style="0" width="20"/>
    <col collapsed="false" customWidth="true" hidden="false" outlineLevel="0" max="14" min="14" style="0" width="18"/>
    <col collapsed="false" customWidth="true" hidden="false" outlineLevel="0" max="15" min="15" style="0" width="13"/>
    <col collapsed="false" customWidth="true" hidden="false" outlineLevel="0" max="16" min="16" style="0" width="60"/>
    <col collapsed="false" customWidth="true" hidden="true" outlineLevel="0" max="19" min="17" style="0" width="3"/>
    <col collapsed="false" customWidth="true" hidden="true" outlineLevel="0" max="21" min="20" style="0" width="13"/>
  </cols>
  <sheetData>
    <row r="1" customFormat="false" ht="15" hidden="false" customHeight="false" outlineLevel="0" collapsed="false">
      <c r="A1" s="1"/>
      <c r="Q1" s="1"/>
      <c r="R1" s="1"/>
      <c r="S1" s="1"/>
      <c r="T1" s="1"/>
      <c r="U1" s="1"/>
    </row>
    <row r="2" customFormat="false" ht="17.35" hidden="false" customHeight="fals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1"/>
      <c r="R2" s="1"/>
      <c r="S2" s="1"/>
      <c r="T2" s="1"/>
      <c r="U2" s="1"/>
    </row>
    <row r="3" customFormat="false" ht="15" hidden="false" customHeight="false" outlineLevel="0" collapsed="false">
      <c r="A3" s="1"/>
      <c r="Q3" s="1"/>
      <c r="R3" s="1"/>
      <c r="S3" s="1"/>
      <c r="T3" s="1"/>
      <c r="U3" s="1"/>
    </row>
    <row r="4" customFormat="false" ht="15" hidden="false" customHeight="true" outlineLevel="0" collapsed="false">
      <c r="A4" s="1"/>
      <c r="B4" s="3" t="s">
        <v>1</v>
      </c>
      <c r="C4" s="4" t="s">
        <v>2</v>
      </c>
      <c r="D4" s="4"/>
      <c r="E4" s="4"/>
      <c r="F4" s="4"/>
      <c r="G4" s="4"/>
      <c r="H4" s="4"/>
      <c r="I4" s="4"/>
      <c r="J4" s="4"/>
      <c r="Q4" s="1"/>
      <c r="R4" s="1"/>
      <c r="S4" s="1" t="n">
        <f aca="false">MATCH(LEFT(C4,5),EQUIPOS!$B$3:$B$18,0)+2</f>
        <v>3</v>
      </c>
      <c r="T4" s="1"/>
      <c r="U4" s="1"/>
    </row>
    <row r="5" customFormat="false" ht="15" hidden="false" customHeight="false" outlineLevel="0" collapsed="false">
      <c r="A5" s="1"/>
      <c r="Q5" s="1"/>
      <c r="R5" s="1"/>
      <c r="S5" s="1"/>
      <c r="T5" s="1"/>
      <c r="U5" s="1"/>
    </row>
    <row r="6" customFormat="false" ht="15" hidden="false" customHeight="true" outlineLevel="0" collapsed="false">
      <c r="A6" s="1"/>
      <c r="B6" s="3" t="s">
        <v>3</v>
      </c>
      <c r="C6" s="5" t="str">
        <f aca="false">IF(INDEX(EQUIPOS!B:B,$S$4)="","",INDEX(EQUIPOS!B:B,$S$4))</f>
        <v>04101</v>
      </c>
      <c r="D6" s="5"/>
      <c r="E6" s="3" t="s">
        <v>4</v>
      </c>
      <c r="F6" s="5" t="str">
        <f aca="false">IF(INDEX(EQUIPOS!G:G,$S$4)="","",INDEX(EQUIPOS!G:G,$S$4))</f>
        <v>KM</v>
      </c>
      <c r="G6" s="3" t="s">
        <v>5</v>
      </c>
      <c r="H6" s="3"/>
      <c r="I6" s="6" t="str">
        <f aca="false">IF(INDEX(EQUIPOS!K:K,$S$4)="","",INDEX(EQUIPOS!K:K,$S$4))</f>
        <v>SIN REGISTRO</v>
      </c>
      <c r="J6" s="6"/>
      <c r="M6" s="3" t="s">
        <v>6</v>
      </c>
      <c r="N6" s="6" t="str">
        <f aca="false">IF(INDEX(EQUIPOS!N:N,$S$4)="","",INDEX(EQUIPOS!N:N,$S$4))</f>
        <v>PM1 - 1000 KM</v>
      </c>
      <c r="O6" s="6"/>
      <c r="Q6" s="1"/>
      <c r="R6" s="1"/>
      <c r="S6" s="1"/>
      <c r="T6" s="1"/>
      <c r="U6" s="1"/>
    </row>
    <row r="7" customFormat="false" ht="15" hidden="false" customHeight="true" outlineLevel="0" collapsed="false">
      <c r="A7" s="1"/>
      <c r="B7" s="3" t="s">
        <v>7</v>
      </c>
      <c r="C7" s="5" t="str">
        <f aca="false">IF(INDEX(EQUIPOS!D:D,$S$4)="","",INDEX(EQUIPOS!D:D,$S$4))</f>
        <v>RIEGO</v>
      </c>
      <c r="D7" s="5"/>
      <c r="E7" s="3" t="s">
        <v>8</v>
      </c>
      <c r="F7" s="5" t="n">
        <f aca="false">IF(INDEX(EQUIPOS!H:H,$S$4)="","",INDEX(EQUIPOS!H:H,$S$4))</f>
        <v>1000</v>
      </c>
      <c r="G7" s="3" t="s">
        <v>9</v>
      </c>
      <c r="H7" s="3"/>
      <c r="I7" s="7" t="str">
        <f aca="false">IF(INDEX(EQUIPOS!L:L,$S$4)="","",INDEX(EQUIPOS!L:L,$S$4))</f>
        <v/>
      </c>
      <c r="J7" s="7"/>
      <c r="M7" s="3" t="s">
        <v>10</v>
      </c>
      <c r="N7" s="5" t="str">
        <f aca="false">IF(INDEX(EQUIPOS!O:O,$S$4)="","",IF($F$6="MESES",INDEX(EQUIPOS!O:O,$S$4),TEXT(INDEX(EQUIPOS!O:O,$S$4),"#,##0")&amp;" "&amp;$F$6))</f>
        <v/>
      </c>
      <c r="O7" s="5"/>
      <c r="Q7" s="1"/>
      <c r="R7" s="1"/>
      <c r="S7" s="1"/>
      <c r="T7" s="1"/>
      <c r="U7" s="1"/>
    </row>
    <row r="8" customFormat="false" ht="15" hidden="false" customHeight="true" outlineLevel="0" collapsed="false">
      <c r="A8" s="1"/>
      <c r="B8" s="3" t="s">
        <v>11</v>
      </c>
      <c r="C8" s="5" t="str">
        <f aca="false">IF(INDEX(EQUIPOS!E:E,$S$4)="","",INDEX(EQUIPOS!E:E,$S$4))</f>
        <v>BAJO</v>
      </c>
      <c r="D8" s="5"/>
      <c r="E8" s="3" t="s">
        <v>12</v>
      </c>
      <c r="F8" s="8" t="str">
        <f aca="false">IF(INDEX(EQUIPOS!I:I,$S$4)="","",INDEX(EQUIPOS!I:I,$S$4))</f>
        <v/>
      </c>
      <c r="G8" s="3" t="s">
        <v>13</v>
      </c>
      <c r="H8" s="3"/>
      <c r="I8" s="8" t="str">
        <f aca="false">IF(INDEX(EQUIPOS!M:M,$S$4)="","",INDEX(EQUIPOS!M:M,$S$4))</f>
        <v/>
      </c>
      <c r="J8" s="8"/>
      <c r="M8" s="3" t="s">
        <v>14</v>
      </c>
      <c r="N8" s="5" t="str">
        <f aca="false">IF(INDEX(EQUIPOS!P:P,$S$4)="","",TEXT(INDEX(EQUIPOS!P:P,$S$4),"#,##0")&amp;IF($F$6="MESES"," DÍAS"," "&amp;$F$6))</f>
        <v/>
      </c>
      <c r="O8" s="5"/>
      <c r="Q8" s="1"/>
      <c r="R8" s="1"/>
      <c r="S8" s="1"/>
      <c r="T8" s="1"/>
      <c r="U8" s="1"/>
    </row>
    <row r="9" customFormat="false" ht="15" hidden="false" customHeight="false" outlineLevel="0" collapsed="false">
      <c r="A9" s="1"/>
      <c r="B9" s="3" t="s">
        <v>15</v>
      </c>
      <c r="C9" s="6" t="str">
        <f aca="false">IF(INDEX(EQUIPOS!F:F,$S$4)="","",INDEX(EQUIPOS!F:F,$S$4))</f>
        <v>TRIMOTO MAVILA CARGO 250</v>
      </c>
      <c r="D9" s="6"/>
      <c r="E9" s="3" t="s">
        <v>16</v>
      </c>
      <c r="F9" s="7" t="str">
        <f aca="false">IF(INDEX(EQUIPOS!J:J,$S$4)="","",INDEX(EQUIPOS!J:J,$S$4))</f>
        <v/>
      </c>
      <c r="M9" s="3" t="s">
        <v>17</v>
      </c>
      <c r="N9" s="6" t="str">
        <f aca="false">IF(INDEX(EQUIPOS!Q:Q,$S$4)="","",INDEX(EQUIPOS!Q:Q,$S$4))</f>
        <v>SIN REGISTRO</v>
      </c>
      <c r="O9" s="6"/>
      <c r="Q9" s="1"/>
      <c r="R9" s="1"/>
      <c r="S9" s="1"/>
      <c r="T9" s="1"/>
      <c r="U9" s="1"/>
    </row>
    <row r="10" customFormat="false" ht="15" hidden="false" customHeight="false" outlineLevel="0" collapsed="false">
      <c r="A10" s="1"/>
      <c r="Q10" s="1"/>
      <c r="R10" s="1"/>
      <c r="S10" s="1"/>
      <c r="T10" s="1"/>
      <c r="U10" s="1"/>
    </row>
    <row r="11" customFormat="false" ht="17.35" hidden="false" customHeight="false" outlineLevel="0" collapsed="false">
      <c r="A11" s="1"/>
      <c r="B11" s="2" t="s">
        <v>18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1"/>
      <c r="R11" s="1"/>
      <c r="S11" s="1"/>
      <c r="T11" s="1"/>
      <c r="U11" s="1"/>
    </row>
    <row r="12" customFormat="false" ht="15" hidden="false" customHeight="true" outlineLevel="0" collapsed="false">
      <c r="A12" s="1"/>
      <c r="B12" s="3" t="s">
        <v>19</v>
      </c>
      <c r="C12" s="3" t="s">
        <v>20</v>
      </c>
      <c r="D12" s="3"/>
      <c r="E12" s="3" t="s">
        <v>21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1"/>
      <c r="R12" s="1"/>
      <c r="S12" s="1"/>
      <c r="T12" s="1"/>
      <c r="U12" s="1"/>
    </row>
    <row r="13" customFormat="false" ht="15" hidden="false" customHeight="false" outlineLevel="0" collapsed="false">
      <c r="A13" s="1"/>
      <c r="B13" s="7" t="str">
        <f aca="false">IF($S13=0,"",INDEX(REGISTRO!B:B,$S13))</f>
        <v/>
      </c>
      <c r="C13" s="5" t="str">
        <f aca="false">IF($S13=0,"",INDEX(REGISTRO!H:H,$S13))</f>
        <v/>
      </c>
      <c r="D13" s="5"/>
      <c r="E13" s="9" t="str">
        <f aca="false">IF($S13=0,"",INDEX(REGISTRO!M:M,$S13))</f>
        <v/>
      </c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1"/>
      <c r="R13" s="1"/>
      <c r="S13" s="1" t="n">
        <f aca="false">IFERROR(MATCH($C$6&amp;"|"&amp;(COUNTIFS(REGISTRO!$C$3:$C$2002,$C$6,REGISTRO!$M$3:$M$2002,"&lt;&gt;")-0),REGISTRO!$O:$O,0),0)</f>
        <v>0</v>
      </c>
      <c r="T13" s="1"/>
      <c r="U13" s="1"/>
    </row>
    <row r="14" customFormat="false" ht="15" hidden="false" customHeight="false" outlineLevel="0" collapsed="false">
      <c r="A14" s="1"/>
      <c r="B14" s="7" t="str">
        <f aca="false">IF($S14=0,"",INDEX(REGISTRO!B:B,$S14))</f>
        <v/>
      </c>
      <c r="C14" s="5" t="str">
        <f aca="false">IF($S14=0,"",INDEX(REGISTRO!H:H,$S14))</f>
        <v/>
      </c>
      <c r="D14" s="5"/>
      <c r="E14" s="9" t="str">
        <f aca="false">IF($S14=0,"",INDEX(REGISTRO!M:M,$S14))</f>
        <v/>
      </c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1"/>
      <c r="R14" s="1"/>
      <c r="S14" s="1" t="n">
        <f aca="false">IFERROR(MATCH($C$6&amp;"|"&amp;(COUNTIFS(REGISTRO!$C$3:$C$2002,$C$6,REGISTRO!$M$3:$M$2002,"&lt;&gt;")-1),REGISTRO!$O:$O,0),0)</f>
        <v>0</v>
      </c>
      <c r="T14" s="1"/>
      <c r="U14" s="1"/>
    </row>
    <row r="15" customFormat="false" ht="15" hidden="false" customHeight="false" outlineLevel="0" collapsed="false">
      <c r="A15" s="1"/>
      <c r="B15" s="7" t="str">
        <f aca="false">IF($S15=0,"",INDEX(REGISTRO!B:B,$S15))</f>
        <v/>
      </c>
      <c r="C15" s="5" t="str">
        <f aca="false">IF($S15=0,"",INDEX(REGISTRO!H:H,$S15))</f>
        <v/>
      </c>
      <c r="D15" s="5"/>
      <c r="E15" s="9" t="str">
        <f aca="false">IF($S15=0,"",INDEX(REGISTRO!M:M,$S15))</f>
        <v/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1"/>
      <c r="R15" s="1"/>
      <c r="S15" s="1" t="n">
        <f aca="false">IFERROR(MATCH($C$6&amp;"|"&amp;(COUNTIFS(REGISTRO!$C$3:$C$2002,$C$6,REGISTRO!$M$3:$M$2002,"&lt;&gt;")-2),REGISTRO!$O:$O,0),0)</f>
        <v>0</v>
      </c>
      <c r="T15" s="1"/>
      <c r="U15" s="1"/>
    </row>
    <row r="16" customFormat="false" ht="15" hidden="false" customHeight="false" outlineLevel="0" collapsed="false">
      <c r="A16" s="1"/>
      <c r="Q16" s="1"/>
      <c r="R16" s="1"/>
      <c r="S16" s="1"/>
      <c r="T16" s="1"/>
      <c r="U16" s="1"/>
    </row>
    <row r="17" customFormat="false" ht="17.35" hidden="false" customHeight="false" outlineLevel="0" collapsed="false">
      <c r="A17" s="1"/>
      <c r="B17" s="2" t="s">
        <v>22</v>
      </c>
      <c r="C17" s="2"/>
      <c r="D17" s="2"/>
      <c r="E17" s="2"/>
      <c r="F17" s="2"/>
      <c r="G17" s="2"/>
      <c r="H17" s="2"/>
      <c r="I17" s="2"/>
      <c r="J17" s="2"/>
      <c r="K17" s="2"/>
      <c r="M17" s="2" t="s">
        <v>23</v>
      </c>
      <c r="N17" s="2"/>
      <c r="O17" s="2"/>
      <c r="P17" s="2"/>
      <c r="Q17" s="1"/>
      <c r="R17" s="1"/>
      <c r="S17" s="1"/>
      <c r="T17" s="1"/>
      <c r="U17" s="1"/>
    </row>
    <row r="18" customFormat="false" ht="30" hidden="false" customHeight="true" outlineLevel="0" collapsed="false">
      <c r="A18" s="1"/>
      <c r="B18" s="3" t="s">
        <v>20</v>
      </c>
      <c r="C18" s="3" t="s">
        <v>24</v>
      </c>
      <c r="D18" s="3" t="s">
        <v>25</v>
      </c>
      <c r="E18" s="3" t="s">
        <v>26</v>
      </c>
      <c r="F18" s="3" t="s">
        <v>27</v>
      </c>
      <c r="G18" s="3" t="s">
        <v>28</v>
      </c>
      <c r="H18" s="3" t="s">
        <v>29</v>
      </c>
      <c r="I18" s="3" t="s">
        <v>30</v>
      </c>
      <c r="J18" s="3" t="s">
        <v>31</v>
      </c>
      <c r="K18" s="3" t="s">
        <v>32</v>
      </c>
      <c r="M18" s="3" t="s">
        <v>20</v>
      </c>
      <c r="N18" s="3" t="s">
        <v>26</v>
      </c>
      <c r="O18" s="3" t="s">
        <v>33</v>
      </c>
      <c r="P18" s="3" t="s">
        <v>34</v>
      </c>
      <c r="Q18" s="1"/>
      <c r="R18" s="1"/>
      <c r="S18" s="1"/>
      <c r="T18" s="1"/>
      <c r="U18" s="1"/>
    </row>
    <row r="19" customFormat="false" ht="22.35" hidden="false" customHeight="false" outlineLevel="0" collapsed="false">
      <c r="A19" s="1" t="n">
        <f aca="false">IFERROR(MATCH($C$9&amp;"|1",BD_PLAN!$J:$J,0),0)</f>
        <v>3</v>
      </c>
      <c r="B19" s="10" t="str">
        <f aca="false">IF($A19=0,"",IF(TRUE(),LEFT($R19,FIND(" ",$R19)-1),""))</f>
        <v>PM1</v>
      </c>
      <c r="C19" s="10" t="str">
        <f aca="false">IF($A19=0,"",IF(TRUE(),INDEX(BD_CICLO!$E:$E,MATCH($C$9&amp;"|"&amp;$R19,BD_CICLO!$G:$G,0))&amp;" "&amp;$F$6,""))</f>
        <v>1000 KM</v>
      </c>
      <c r="D19" s="11" t="str">
        <f aca="false">IF($A19=0,"",IF(TRUE(),IFERROR(1/(1/SUMPRODUCT(MAX((REGISTRO!$C$3:$C$2002=$C$6)*(REGISTRO!$H$3:$H$2002=$R19)*REGISTRO!$B$3:$B$2002))),""),""))</f>
        <v/>
      </c>
      <c r="E19" s="12" t="str">
        <f aca="false">IF($A19=0,"",IF(TRUE(),$S19,""))</f>
        <v>MOTOR</v>
      </c>
      <c r="F19" s="13" t="str">
        <f aca="false">IF($A19=0,"",INDEX(BD_PLAN!E:E,$A19))</f>
        <v>ACEITE MOTOR 20W50 4T MINERAL</v>
      </c>
      <c r="G19" s="14" t="n">
        <f aca="false">IF($A19=0,"",INDEX(BD_PLAN!F:F,$A19))</f>
        <v>1.5</v>
      </c>
      <c r="H19" s="12" t="str">
        <f aca="false">IF($A19=0,"",INDEX(BD_PLAN!G:G,$A19))</f>
        <v>L</v>
      </c>
      <c r="I19" s="15" t="n">
        <f aca="false">IF($A19=0,"",INDEX(BD_PLAN!H:H,$A19))</f>
        <v>20</v>
      </c>
      <c r="J19" s="15" t="n">
        <f aca="false">IF($A19=0,"",INDEX(BD_PLAN!I:I,$A19))</f>
        <v>30</v>
      </c>
      <c r="K19" s="16" t="n">
        <f aca="false">IF($A19=0,"",IF(TRUE(),SUMIFS(BD_PLAN!$I$3:$I$312,BD_PLAN!$B$3:$B$312,$C$9,BD_PLAN!$C$3:$C$312,$R19),""))</f>
        <v>55.25</v>
      </c>
      <c r="M19" s="10" t="str">
        <f aca="false">IF($Q19=0,"",IF(TRUE(),$T19,""))</f>
        <v>PM1 - 1000 KM</v>
      </c>
      <c r="N19" s="12" t="str">
        <f aca="false">IF($Q19=0,"",IF(TRUE(),$U19,""))</f>
        <v>MOTOR</v>
      </c>
      <c r="O19" s="12" t="str">
        <f aca="false">IF($Q19=0,"",INDEX(BD_INSPECCION!E:E,$Q19))</f>
        <v>INSPECCIONAR</v>
      </c>
      <c r="P19" s="13" t="str">
        <f aca="false">IF($Q19=0,"",INDEX(BD_INSPECCION!F:F,$Q19))</f>
        <v>LUZ DE VÁLVULAS (REGULAR SI ES NECESARIO)</v>
      </c>
      <c r="Q19" s="1" t="n">
        <f aca="false">IFERROR(MATCH($C$9&amp;"|1",BD_INSPECCION!$G:$G,0),0)</f>
        <v>3</v>
      </c>
      <c r="R19" s="1" t="str">
        <f aca="false">IF($A19=0,"",INDEX(BD_PLAN!C:C,$A19))</f>
        <v>PM1 - 1000 KM</v>
      </c>
      <c r="S19" s="1" t="str">
        <f aca="false">IF($A19=0,"",INDEX(BD_PLAN!D:D,$A19))</f>
        <v>MOTOR</v>
      </c>
      <c r="T19" s="1" t="str">
        <f aca="false">IF($Q19=0,"",INDEX(BD_INSPECCION!C:C,$Q19))</f>
        <v>PM1 - 1000 KM</v>
      </c>
      <c r="U19" s="1" t="str">
        <f aca="false">IF($Q19=0,"",INDEX(BD_INSPECCION!D:D,$Q19))</f>
        <v>MOTOR</v>
      </c>
    </row>
    <row r="20" customFormat="false" ht="22.35" hidden="false" customHeight="false" outlineLevel="0" collapsed="false">
      <c r="A20" s="1" t="n">
        <f aca="false">IFERROR(MATCH($C$9&amp;"|2",BD_PLAN!$J:$J,0),0)</f>
        <v>4</v>
      </c>
      <c r="B20" s="10" t="str">
        <f aca="false">IF($A20=0,"",IF($R20&lt;&gt;$R19,LEFT($R20,FIND(" ",$R20)-1),""))</f>
        <v/>
      </c>
      <c r="C20" s="10" t="str">
        <f aca="false">IF($A20=0,"",IF($R20&lt;&gt;$R19,INDEX(BD_CICLO!$E:$E,MATCH($C$9&amp;"|"&amp;$R20,BD_CICLO!$G:$G,0))&amp;" "&amp;$F$6,""))</f>
        <v/>
      </c>
      <c r="D20" s="11" t="str">
        <f aca="false">IF($A20=0,"",IF($R20&lt;&gt;$R19,IFERROR(1/(1/SUMPRODUCT(MAX((REGISTRO!$C$3:$C$2002=$C$6)*(REGISTRO!$H$3:$H$2002=$R20)*REGISTRO!$B$3:$B$2002))),""),""))</f>
        <v/>
      </c>
      <c r="E20" s="12" t="str">
        <f aca="false">IF($A20=0,"",IF(OR($R20&lt;&gt;$R19,$S20&lt;&gt;$S19),$S20,""))</f>
        <v/>
      </c>
      <c r="F20" s="13" t="str">
        <f aca="false">IF($A20=0,"",INDEX(BD_PLAN!E:E,$A20))</f>
        <v>ARANDELA TAPÓN DE DRENAJE</v>
      </c>
      <c r="G20" s="14" t="n">
        <f aca="false">IF($A20=0,"",INDEX(BD_PLAN!F:F,$A20))</f>
        <v>1</v>
      </c>
      <c r="H20" s="12" t="str">
        <f aca="false">IF($A20=0,"",INDEX(BD_PLAN!G:G,$A20))</f>
        <v>UND.</v>
      </c>
      <c r="I20" s="15" t="n">
        <f aca="false">IF($A20=0,"",INDEX(BD_PLAN!H:H,$A20))</f>
        <v>2</v>
      </c>
      <c r="J20" s="15" t="n">
        <f aca="false">IF($A20=0,"",INDEX(BD_PLAN!I:I,$A20))</f>
        <v>2</v>
      </c>
      <c r="K20" s="16" t="str">
        <f aca="false">IF($A20=0,"",IF($R20&lt;&gt;$R19,SUMIFS(BD_PLAN!$I$3:$I$312,BD_PLAN!$B$3:$B$312,$C$9,BD_PLAN!$C$3:$C$312,$R20),""))</f>
        <v/>
      </c>
      <c r="M20" s="10" t="str">
        <f aca="false">IF($Q20=0,"",IF($T20&lt;&gt;$T19,$T20,""))</f>
        <v/>
      </c>
      <c r="N20" s="12" t="str">
        <f aca="false">IF($Q20=0,"",IF(OR($T20&lt;&gt;$T19,$U20&lt;&gt;$U19),$U20,""))</f>
        <v/>
      </c>
      <c r="O20" s="12" t="str">
        <f aca="false">IF($Q20=0,"",INDEX(BD_INSPECCION!E:E,$Q20))</f>
        <v>INSPECCIONAR</v>
      </c>
      <c r="P20" s="13" t="str">
        <f aca="false">IF($Q20=0,"",INDEX(BD_INSPECCION!F:F,$Q20))</f>
        <v>VELOCIDAD DE RALENTÍ</v>
      </c>
      <c r="Q20" s="1" t="n">
        <f aca="false">IFERROR(MATCH($C$9&amp;"|2",BD_INSPECCION!$G:$G,0),0)</f>
        <v>4</v>
      </c>
      <c r="R20" s="1" t="str">
        <f aca="false">IF($A20=0,"",INDEX(BD_PLAN!C:C,$A20))</f>
        <v>PM1 - 1000 KM</v>
      </c>
      <c r="S20" s="1" t="str">
        <f aca="false">IF($A20=0,"",INDEX(BD_PLAN!D:D,$A20))</f>
        <v>MOTOR</v>
      </c>
      <c r="T20" s="1" t="str">
        <f aca="false">IF($Q20=0,"",INDEX(BD_INSPECCION!C:C,$Q20))</f>
        <v>PM1 - 1000 KM</v>
      </c>
      <c r="U20" s="1" t="str">
        <f aca="false">IF($Q20=0,"",INDEX(BD_INSPECCION!D:D,$Q20))</f>
        <v>MOTOR</v>
      </c>
    </row>
    <row r="21" customFormat="false" ht="22.35" hidden="false" customHeight="false" outlineLevel="0" collapsed="false">
      <c r="A21" s="1" t="n">
        <f aca="false">IFERROR(MATCH($C$9&amp;"|3",BD_PLAN!$J:$J,0),0)</f>
        <v>5</v>
      </c>
      <c r="B21" s="10" t="str">
        <f aca="false">IF($A21=0,"",IF($R21&lt;&gt;$R20,LEFT($R21,FIND(" ",$R21)-1),""))</f>
        <v/>
      </c>
      <c r="C21" s="10" t="str">
        <f aca="false">IF($A21=0,"",IF($R21&lt;&gt;$R20,INDEX(BD_CICLO!$E:$E,MATCH($C$9&amp;"|"&amp;$R21,BD_CICLO!$G:$G,0))&amp;" "&amp;$F$6,""))</f>
        <v/>
      </c>
      <c r="D21" s="11" t="str">
        <f aca="false">IF($A21=0,"",IF($R21&lt;&gt;$R20,IFERROR(1/(1/SUMPRODUCT(MAX((REGISTRO!$C$3:$C$2002=$C$6)*(REGISTRO!$H$3:$H$2002=$R21)*REGISTRO!$B$3:$B$2002))),""),""))</f>
        <v/>
      </c>
      <c r="E21" s="12" t="str">
        <f aca="false">IF($A21=0,"",IF(OR($R21&lt;&gt;$R20,$S21&lt;&gt;$S20),$S21,""))</f>
        <v>CHASIS</v>
      </c>
      <c r="F21" s="13" t="str">
        <f aca="false">IF($A21=0,"",INDEX(BD_PLAN!E:E,$A21))</f>
        <v>GRASA MULTIPROPÓSITO</v>
      </c>
      <c r="G21" s="14" t="n">
        <f aca="false">IF($A21=0,"",INDEX(BD_PLAN!F:F,$A21))</f>
        <v>0.5</v>
      </c>
      <c r="H21" s="12" t="str">
        <f aca="false">IF($A21=0,"",INDEX(BD_PLAN!G:G,$A21))</f>
        <v>LBRS</v>
      </c>
      <c r="I21" s="15" t="n">
        <f aca="false">IF($A21=0,"",INDEX(BD_PLAN!H:H,$A21))</f>
        <v>15</v>
      </c>
      <c r="J21" s="15" t="n">
        <f aca="false">IF($A21=0,"",INDEX(BD_PLAN!I:I,$A21))</f>
        <v>7.5</v>
      </c>
      <c r="K21" s="16" t="str">
        <f aca="false">IF($A21=0,"",IF($R21&lt;&gt;$R20,SUMIFS(BD_PLAN!$I$3:$I$312,BD_PLAN!$B$3:$B$312,$C$9,BD_PLAN!$C$3:$C$312,$R21),""))</f>
        <v/>
      </c>
      <c r="M21" s="10" t="str">
        <f aca="false">IF($Q21=0,"",IF($T21&lt;&gt;$T20,$T21,""))</f>
        <v/>
      </c>
      <c r="N21" s="12" t="str">
        <f aca="false">IF($Q21=0,"",IF(OR($T21&lt;&gt;$T20,$U21&lt;&gt;$U20),$U21,""))</f>
        <v/>
      </c>
      <c r="O21" s="12" t="str">
        <f aca="false">IF($Q21=0,"",INDEX(BD_INSPECCION!E:E,$Q21))</f>
        <v>INSPECCIONAR</v>
      </c>
      <c r="P21" s="13" t="str">
        <f aca="false">IF($Q21=0,"",INDEX(BD_INSPECCION!F:F,$Q21))</f>
        <v>FUGAS DE ACEITE Y ESTADO DE EMPAQUES</v>
      </c>
      <c r="Q21" s="1" t="n">
        <f aca="false">IFERROR(MATCH($C$9&amp;"|3",BD_INSPECCION!$G:$G,0),0)</f>
        <v>5</v>
      </c>
      <c r="R21" s="1" t="str">
        <f aca="false">IF($A21=0,"",INDEX(BD_PLAN!C:C,$A21))</f>
        <v>PM1 - 1000 KM</v>
      </c>
      <c r="S21" s="1" t="str">
        <f aca="false">IF($A21=0,"",INDEX(BD_PLAN!D:D,$A21))</f>
        <v>CHASIS</v>
      </c>
      <c r="T21" s="1" t="str">
        <f aca="false">IF($Q21=0,"",INDEX(BD_INSPECCION!C:C,$Q21))</f>
        <v>PM1 - 1000 KM</v>
      </c>
      <c r="U21" s="1" t="str">
        <f aca="false">IF($Q21=0,"",INDEX(BD_INSPECCION!D:D,$Q21))</f>
        <v>MOTOR</v>
      </c>
    </row>
    <row r="22" customFormat="false" ht="15" hidden="false" customHeight="false" outlineLevel="0" collapsed="false">
      <c r="A22" s="1" t="n">
        <f aca="false">IFERROR(MATCH($C$9&amp;"|4",BD_PLAN!$J:$J,0),0)</f>
        <v>6</v>
      </c>
      <c r="B22" s="10" t="str">
        <f aca="false">IF($A22=0,"",IF($R22&lt;&gt;$R21,LEFT($R22,FIND(" ",$R22)-1),""))</f>
        <v/>
      </c>
      <c r="C22" s="10" t="str">
        <f aca="false">IF($A22=0,"",IF($R22&lt;&gt;$R21,INDEX(BD_CICLO!$E:$E,MATCH($C$9&amp;"|"&amp;$R22,BD_CICLO!$G:$G,0))&amp;" "&amp;$F$6,""))</f>
        <v/>
      </c>
      <c r="D22" s="11" t="str">
        <f aca="false">IF($A22=0,"",IF($R22&lt;&gt;$R21,IFERROR(1/(1/SUMPRODUCT(MAX((REGISTRO!$C$3:$C$2002=$C$6)*(REGISTRO!$H$3:$H$2002=$R22)*REGISTRO!$B$3:$B$2002))),""),""))</f>
        <v/>
      </c>
      <c r="E22" s="12" t="str">
        <f aca="false">IF($A22=0,"",IF(OR($R22&lt;&gt;$R21,$S22&lt;&gt;$S21),$S22,""))</f>
        <v>SERVICIO GENERAL</v>
      </c>
      <c r="F22" s="13" t="str">
        <f aca="false">IF($A22=0,"",INDEX(BD_PLAN!E:E,$A22))</f>
        <v>TRAPO INDUSTRIAL</v>
      </c>
      <c r="G22" s="14" t="n">
        <f aca="false">IF($A22=0,"",INDEX(BD_PLAN!F:F,$A22))</f>
        <v>0.5</v>
      </c>
      <c r="H22" s="12" t="str">
        <f aca="false">IF($A22=0,"",INDEX(BD_PLAN!G:G,$A22))</f>
        <v>KG</v>
      </c>
      <c r="I22" s="15" t="n">
        <f aca="false">IF($A22=0,"",INDEX(BD_PLAN!H:H,$A22))</f>
        <v>4.5</v>
      </c>
      <c r="J22" s="15" t="n">
        <f aca="false">IF($A22=0,"",INDEX(BD_PLAN!I:I,$A22))</f>
        <v>2.25</v>
      </c>
      <c r="K22" s="16" t="str">
        <f aca="false">IF($A22=0,"",IF($R22&lt;&gt;$R21,SUMIFS(BD_PLAN!$I$3:$I$312,BD_PLAN!$B$3:$B$312,$C$9,BD_PLAN!$C$3:$C$312,$R22),""))</f>
        <v/>
      </c>
      <c r="M22" s="10" t="str">
        <f aca="false">IF($Q22=0,"",IF($T22&lt;&gt;$T21,$T22,""))</f>
        <v/>
      </c>
      <c r="N22" s="12" t="str">
        <f aca="false">IF($Q22=0,"",IF(OR($T22&lt;&gt;$T21,$U22&lt;&gt;$U21),$U22,""))</f>
        <v/>
      </c>
      <c r="O22" s="12" t="str">
        <f aca="false">IF($Q22=0,"",INDEX(BD_INSPECCION!E:E,$Q22))</f>
        <v>LIMPIAR</v>
      </c>
      <c r="P22" s="13" t="str">
        <f aca="false">IF($Q22=0,"",INDEX(BD_INSPECCION!F:F,$Q22))</f>
        <v>MALLA (COLADOR) DE ACEITE</v>
      </c>
      <c r="Q22" s="1" t="n">
        <f aca="false">IFERROR(MATCH($C$9&amp;"|4",BD_INSPECCION!$G:$G,0),0)</f>
        <v>6</v>
      </c>
      <c r="R22" s="1" t="str">
        <f aca="false">IF($A22=0,"",INDEX(BD_PLAN!C:C,$A22))</f>
        <v>PM1 - 1000 KM</v>
      </c>
      <c r="S22" s="1" t="str">
        <f aca="false">IF($A22=0,"",INDEX(BD_PLAN!D:D,$A22))</f>
        <v>SERVICIO GENERAL</v>
      </c>
      <c r="T22" s="1" t="str">
        <f aca="false">IF($Q22=0,"",INDEX(BD_INSPECCION!C:C,$Q22))</f>
        <v>PM1 - 1000 KM</v>
      </c>
      <c r="U22" s="1" t="str">
        <f aca="false">IF($Q22=0,"",INDEX(BD_INSPECCION!D:D,$Q22))</f>
        <v>MOTOR</v>
      </c>
    </row>
    <row r="23" customFormat="false" ht="15" hidden="false" customHeight="false" outlineLevel="0" collapsed="false">
      <c r="A23" s="1" t="n">
        <f aca="false">IFERROR(MATCH($C$9&amp;"|5",BD_PLAN!$J:$J,0),0)</f>
        <v>7</v>
      </c>
      <c r="B23" s="10" t="str">
        <f aca="false">IF($A23=0,"",IF($R23&lt;&gt;$R22,LEFT($R23,FIND(" ",$R23)-1),""))</f>
        <v/>
      </c>
      <c r="C23" s="10" t="str">
        <f aca="false">IF($A23=0,"",IF($R23&lt;&gt;$R22,INDEX(BD_CICLO!$E:$E,MATCH($C$9&amp;"|"&amp;$R23,BD_CICLO!$G:$G,0))&amp;" "&amp;$F$6,""))</f>
        <v/>
      </c>
      <c r="D23" s="11" t="str">
        <f aca="false">IF($A23=0,"",IF($R23&lt;&gt;$R22,IFERROR(1/(1/SUMPRODUCT(MAX((REGISTRO!$C$3:$C$2002=$C$6)*(REGISTRO!$H$3:$H$2002=$R23)*REGISTRO!$B$3:$B$2002))),""),""))</f>
        <v/>
      </c>
      <c r="E23" s="12" t="str">
        <f aca="false">IF($A23=0,"",IF(OR($R23&lt;&gt;$R22,$S23&lt;&gt;$S22),$S23,""))</f>
        <v/>
      </c>
      <c r="F23" s="13" t="str">
        <f aca="false">IF($A23=0,"",INDEX(BD_PLAN!E:E,$A23))</f>
        <v>GASOLINA 90 OCT</v>
      </c>
      <c r="G23" s="14" t="n">
        <f aca="false">IF($A23=0,"",INDEX(BD_PLAN!F:F,$A23))</f>
        <v>0.25</v>
      </c>
      <c r="H23" s="12" t="str">
        <f aca="false">IF($A23=0,"",INDEX(BD_PLAN!G:G,$A23))</f>
        <v>GL</v>
      </c>
      <c r="I23" s="15" t="n">
        <f aca="false">IF($A23=0,"",INDEX(BD_PLAN!H:H,$A23))</f>
        <v>24</v>
      </c>
      <c r="J23" s="15" t="n">
        <f aca="false">IF($A23=0,"",INDEX(BD_PLAN!I:I,$A23))</f>
        <v>6</v>
      </c>
      <c r="K23" s="16" t="str">
        <f aca="false">IF($A23=0,"",IF($R23&lt;&gt;$R22,SUMIFS(BD_PLAN!$I$3:$I$312,BD_PLAN!$B$3:$B$312,$C$9,BD_PLAN!$C$3:$C$312,$R23),""))</f>
        <v/>
      </c>
      <c r="M23" s="10" t="str">
        <f aca="false">IF($Q23=0,"",IF($T23&lt;&gt;$T22,$T23,""))</f>
        <v/>
      </c>
      <c r="N23" s="12" t="str">
        <f aca="false">IF($Q23=0,"",IF(OR($T23&lt;&gt;$T22,$U23&lt;&gt;$U22),$U23,""))</f>
        <v>ADMISIÓN DE AIRE</v>
      </c>
      <c r="O23" s="12" t="str">
        <f aca="false">IF($Q23=0,"",INDEX(BD_INSPECCION!E:E,$Q23))</f>
        <v>LIMPIAR</v>
      </c>
      <c r="P23" s="13" t="str">
        <f aca="false">IF($Q23=0,"",INDEX(BD_INSPECCION!F:F,$Q23))</f>
        <v>FILTRO DE AIRE</v>
      </c>
      <c r="Q23" s="1" t="n">
        <f aca="false">IFERROR(MATCH($C$9&amp;"|5",BD_INSPECCION!$G:$G,0),0)</f>
        <v>7</v>
      </c>
      <c r="R23" s="1" t="str">
        <f aca="false">IF($A23=0,"",INDEX(BD_PLAN!C:C,$A23))</f>
        <v>PM1 - 1000 KM</v>
      </c>
      <c r="S23" s="1" t="str">
        <f aca="false">IF($A23=0,"",INDEX(BD_PLAN!D:D,$A23))</f>
        <v>SERVICIO GENERAL</v>
      </c>
      <c r="T23" s="1" t="str">
        <f aca="false">IF($Q23=0,"",INDEX(BD_INSPECCION!C:C,$Q23))</f>
        <v>PM1 - 1000 KM</v>
      </c>
      <c r="U23" s="1" t="str">
        <f aca="false">IF($Q23=0,"",INDEX(BD_INSPECCION!D:D,$Q23))</f>
        <v>ADMISIÓN DE AIRE</v>
      </c>
    </row>
    <row r="24" customFormat="false" ht="22.35" hidden="false" customHeight="false" outlineLevel="0" collapsed="false">
      <c r="A24" s="1" t="n">
        <f aca="false">IFERROR(MATCH($C$9&amp;"|6",BD_PLAN!$J:$J,0),0)</f>
        <v>8</v>
      </c>
      <c r="B24" s="10" t="str">
        <f aca="false">IF($A24=0,"",IF($R24&lt;&gt;$R23,LEFT($R24,FIND(" ",$R24)-1),""))</f>
        <v/>
      </c>
      <c r="C24" s="10" t="str">
        <f aca="false">IF($A24=0,"",IF($R24&lt;&gt;$R23,INDEX(BD_CICLO!$E:$E,MATCH($C$9&amp;"|"&amp;$R24,BD_CICLO!$G:$G,0))&amp;" "&amp;$F$6,""))</f>
        <v/>
      </c>
      <c r="D24" s="11" t="str">
        <f aca="false">IF($A24=0,"",IF($R24&lt;&gt;$R23,IFERROR(1/(1/SUMPRODUCT(MAX((REGISTRO!$C$3:$C$2002=$C$6)*(REGISTRO!$H$3:$H$2002=$R24)*REGISTRO!$B$3:$B$2002))),""),""))</f>
        <v/>
      </c>
      <c r="E24" s="12" t="str">
        <f aca="false">IF($A24=0,"",IF(OR($R24&lt;&gt;$R23,$S24&lt;&gt;$S23),$S24,""))</f>
        <v>COMBUSTIBLE</v>
      </c>
      <c r="F24" s="13" t="str">
        <f aca="false">IF($A24=0,"",INDEX(BD_PLAN!E:E,$A24))</f>
        <v>LIMPIA CARBURADOR</v>
      </c>
      <c r="G24" s="14" t="n">
        <f aca="false">IF($A24=0,"",INDEX(BD_PLAN!F:F,$A24))</f>
        <v>0.5</v>
      </c>
      <c r="H24" s="12" t="str">
        <f aca="false">IF($A24=0,"",INDEX(BD_PLAN!G:G,$A24))</f>
        <v>UND.</v>
      </c>
      <c r="I24" s="15" t="n">
        <f aca="false">IF($A24=0,"",INDEX(BD_PLAN!H:H,$A24))</f>
        <v>15</v>
      </c>
      <c r="J24" s="15" t="n">
        <f aca="false">IF($A24=0,"",INDEX(BD_PLAN!I:I,$A24))</f>
        <v>7.5</v>
      </c>
      <c r="K24" s="16" t="str">
        <f aca="false">IF($A24=0,"",IF($R24&lt;&gt;$R23,SUMIFS(BD_PLAN!$I$3:$I$312,BD_PLAN!$B$3:$B$312,$C$9,BD_PLAN!$C$3:$C$312,$R24),""))</f>
        <v/>
      </c>
      <c r="M24" s="10" t="str">
        <f aca="false">IF($Q24=0,"",IF($T24&lt;&gt;$T23,$T24,""))</f>
        <v/>
      </c>
      <c r="N24" s="12" t="str">
        <f aca="false">IF($Q24=0,"",IF(OR($T24&lt;&gt;$T23,$U24&lt;&gt;$U23),$U24,""))</f>
        <v>COMBUSTIBLE</v>
      </c>
      <c r="O24" s="12" t="str">
        <f aca="false">IF($Q24=0,"",INDEX(BD_INSPECCION!E:E,$Q24))</f>
        <v>INSPECCIONAR</v>
      </c>
      <c r="P24" s="13" t="str">
        <f aca="false">IF($Q24=0,"",INDEX(BD_INSPECCION!F:F,$Q24))</f>
        <v>MANGUERA DE COMBUSTIBLE (GRIETAS Y FUGAS)</v>
      </c>
      <c r="Q24" s="1" t="n">
        <f aca="false">IFERROR(MATCH($C$9&amp;"|6",BD_INSPECCION!$G:$G,0),0)</f>
        <v>8</v>
      </c>
      <c r="R24" s="1" t="str">
        <f aca="false">IF($A24=0,"",INDEX(BD_PLAN!C:C,$A24))</f>
        <v>PM1 - 1000 KM</v>
      </c>
      <c r="S24" s="1" t="str">
        <f aca="false">IF($A24=0,"",INDEX(BD_PLAN!D:D,$A24))</f>
        <v>COMBUSTIBLE</v>
      </c>
      <c r="T24" s="1" t="str">
        <f aca="false">IF($Q24=0,"",INDEX(BD_INSPECCION!C:C,$Q24))</f>
        <v>PM1 - 1000 KM</v>
      </c>
      <c r="U24" s="1" t="str">
        <f aca="false">IF($Q24=0,"",INDEX(BD_INSPECCION!D:D,$Q24))</f>
        <v>COMBUSTIBLE</v>
      </c>
    </row>
    <row r="25" customFormat="false" ht="22.35" hidden="false" customHeight="false" outlineLevel="0" collapsed="false">
      <c r="A25" s="1" t="n">
        <f aca="false">IFERROR(MATCH($C$9&amp;"|7",BD_PLAN!$J:$J,0),0)</f>
        <v>9</v>
      </c>
      <c r="B25" s="10" t="str">
        <f aca="false">IF($A25=0,"",IF($R25&lt;&gt;$R24,LEFT($R25,FIND(" ",$R25)-1),""))</f>
        <v>PM2</v>
      </c>
      <c r="C25" s="10" t="str">
        <f aca="false">IF($A25=0,"",IF($R25&lt;&gt;$R24,INDEX(BD_CICLO!$E:$E,MATCH($C$9&amp;"|"&amp;$R25,BD_CICLO!$G:$G,0))&amp;" "&amp;$F$6,""))</f>
        <v>2000 KM</v>
      </c>
      <c r="D25" s="11" t="str">
        <f aca="false">IF($A25=0,"",IF($R25&lt;&gt;$R24,IFERROR(1/(1/SUMPRODUCT(MAX((REGISTRO!$C$3:$C$2002=$C$6)*(REGISTRO!$H$3:$H$2002=$R25)*REGISTRO!$B$3:$B$2002))),""),""))</f>
        <v/>
      </c>
      <c r="E25" s="12" t="str">
        <f aca="false">IF($A25=0,"",IF(OR($R25&lt;&gt;$R24,$S25&lt;&gt;$S24),$S25,""))</f>
        <v>MOTOR</v>
      </c>
      <c r="F25" s="13" t="str">
        <f aca="false">IF($A25=0,"",INDEX(BD_PLAN!E:E,$A25))</f>
        <v>ACEITE MOTOR 20W50 4T MINERAL</v>
      </c>
      <c r="G25" s="14" t="n">
        <f aca="false">IF($A25=0,"",INDEX(BD_PLAN!F:F,$A25))</f>
        <v>1.5</v>
      </c>
      <c r="H25" s="12" t="str">
        <f aca="false">IF($A25=0,"",INDEX(BD_PLAN!G:G,$A25))</f>
        <v>L</v>
      </c>
      <c r="I25" s="15" t="n">
        <f aca="false">IF($A25=0,"",INDEX(BD_PLAN!H:H,$A25))</f>
        <v>20</v>
      </c>
      <c r="J25" s="15" t="n">
        <f aca="false">IF($A25=0,"",INDEX(BD_PLAN!I:I,$A25))</f>
        <v>30</v>
      </c>
      <c r="K25" s="16" t="n">
        <f aca="false">IF($A25=0,"",IF($R25&lt;&gt;$R24,SUMIFS(BD_PLAN!$I$3:$I$312,BD_PLAN!$B$3:$B$312,$C$9,BD_PLAN!$C$3:$C$312,$R25),""))</f>
        <v>63.25</v>
      </c>
      <c r="M25" s="10" t="str">
        <f aca="false">IF($Q25=0,"",IF($T25&lt;&gt;$T24,$T25,""))</f>
        <v/>
      </c>
      <c r="N25" s="12" t="str">
        <f aca="false">IF($Q25=0,"",IF(OR($T25&lt;&gt;$T24,$U25&lt;&gt;$U24),$U25,""))</f>
        <v/>
      </c>
      <c r="O25" s="12" t="str">
        <f aca="false">IF($Q25=0,"",INDEX(BD_INSPECCION!E:E,$Q25))</f>
        <v>INSPECCIONAR</v>
      </c>
      <c r="P25" s="13" t="str">
        <f aca="false">IF($Q25=0,"",INDEX(BD_INSPECCION!F:F,$Q25))</f>
        <v>FUNCIONAMIENTO DEL ACELERADOR Y CHOKE</v>
      </c>
      <c r="Q25" s="1" t="n">
        <f aca="false">IFERROR(MATCH($C$9&amp;"|7",BD_INSPECCION!$G:$G,0),0)</f>
        <v>9</v>
      </c>
      <c r="R25" s="1" t="str">
        <f aca="false">IF($A25=0,"",INDEX(BD_PLAN!C:C,$A25))</f>
        <v>PM2 - 2000 KM</v>
      </c>
      <c r="S25" s="1" t="str">
        <f aca="false">IF($A25=0,"",INDEX(BD_PLAN!D:D,$A25))</f>
        <v>MOTOR</v>
      </c>
      <c r="T25" s="1" t="str">
        <f aca="false">IF($Q25=0,"",INDEX(BD_INSPECCION!C:C,$Q25))</f>
        <v>PM1 - 1000 KM</v>
      </c>
      <c r="U25" s="1" t="str">
        <f aca="false">IF($Q25=0,"",INDEX(BD_INSPECCION!D:D,$Q25))</f>
        <v>COMBUSTIBLE</v>
      </c>
    </row>
    <row r="26" customFormat="false" ht="22.35" hidden="false" customHeight="false" outlineLevel="0" collapsed="false">
      <c r="A26" s="1" t="n">
        <f aca="false">IFERROR(MATCH($C$9&amp;"|8",BD_PLAN!$J:$J,0),0)</f>
        <v>10</v>
      </c>
      <c r="B26" s="10" t="str">
        <f aca="false">IF($A26=0,"",IF($R26&lt;&gt;$R25,LEFT($R26,FIND(" ",$R26)-1),""))</f>
        <v/>
      </c>
      <c r="C26" s="10" t="str">
        <f aca="false">IF($A26=0,"",IF($R26&lt;&gt;$R25,INDEX(BD_CICLO!$E:$E,MATCH($C$9&amp;"|"&amp;$R26,BD_CICLO!$G:$G,0))&amp;" "&amp;$F$6,""))</f>
        <v/>
      </c>
      <c r="D26" s="11" t="str">
        <f aca="false">IF($A26=0,"",IF($R26&lt;&gt;$R25,IFERROR(1/(1/SUMPRODUCT(MAX((REGISTRO!$C$3:$C$2002=$C$6)*(REGISTRO!$H$3:$H$2002=$R26)*REGISTRO!$B$3:$B$2002))),""),""))</f>
        <v/>
      </c>
      <c r="E26" s="12" t="str">
        <f aca="false">IF($A26=0,"",IF(OR($R26&lt;&gt;$R25,$S26&lt;&gt;$S25),$S26,""))</f>
        <v/>
      </c>
      <c r="F26" s="13" t="str">
        <f aca="false">IF($A26=0,"",INDEX(BD_PLAN!E:E,$A26))</f>
        <v>ARANDELA TAPÓN DE DRENAJE</v>
      </c>
      <c r="G26" s="14" t="n">
        <f aca="false">IF($A26=0,"",INDEX(BD_PLAN!F:F,$A26))</f>
        <v>1</v>
      </c>
      <c r="H26" s="12" t="str">
        <f aca="false">IF($A26=0,"",INDEX(BD_PLAN!G:G,$A26))</f>
        <v>UND.</v>
      </c>
      <c r="I26" s="15" t="n">
        <f aca="false">IF($A26=0,"",INDEX(BD_PLAN!H:H,$A26))</f>
        <v>2</v>
      </c>
      <c r="J26" s="15" t="n">
        <f aca="false">IF($A26=0,"",INDEX(BD_PLAN!I:I,$A26))</f>
        <v>2</v>
      </c>
      <c r="K26" s="16" t="str">
        <f aca="false">IF($A26=0,"",IF($R26&lt;&gt;$R25,SUMIFS(BD_PLAN!$I$3:$I$312,BD_PLAN!$B$3:$B$312,$C$9,BD_PLAN!$C$3:$C$312,$R26),""))</f>
        <v/>
      </c>
      <c r="M26" s="10" t="str">
        <f aca="false">IF($Q26=0,"",IF($T26&lt;&gt;$T25,$T26,""))</f>
        <v/>
      </c>
      <c r="N26" s="12" t="str">
        <f aca="false">IF($Q26=0,"",IF(OR($T26&lt;&gt;$T25,$U26&lt;&gt;$U25),$U26,""))</f>
        <v>ENCENDIDO</v>
      </c>
      <c r="O26" s="12" t="str">
        <f aca="false">IF($Q26=0,"",INDEX(BD_INSPECCION!E:E,$Q26))</f>
        <v>INSPECCIONAR</v>
      </c>
      <c r="P26" s="13" t="str">
        <f aca="false">IF($Q26=0,"",INDEX(BD_INSPECCION!F:F,$Q26))</f>
        <v>BUJÍA: LIMPIAR Y CALIBRAR</v>
      </c>
      <c r="Q26" s="1" t="n">
        <f aca="false">IFERROR(MATCH($C$9&amp;"|8",BD_INSPECCION!$G:$G,0),0)</f>
        <v>10</v>
      </c>
      <c r="R26" s="1" t="str">
        <f aca="false">IF($A26=0,"",INDEX(BD_PLAN!C:C,$A26))</f>
        <v>PM2 - 2000 KM</v>
      </c>
      <c r="S26" s="1" t="str">
        <f aca="false">IF($A26=0,"",INDEX(BD_PLAN!D:D,$A26))</f>
        <v>MOTOR</v>
      </c>
      <c r="T26" s="1" t="str">
        <f aca="false">IF($Q26=0,"",INDEX(BD_INSPECCION!C:C,$Q26))</f>
        <v>PM1 - 1000 KM</v>
      </c>
      <c r="U26" s="1" t="str">
        <f aca="false">IF($Q26=0,"",INDEX(BD_INSPECCION!D:D,$Q26))</f>
        <v>ENCENDIDO</v>
      </c>
    </row>
    <row r="27" customFormat="false" ht="22.35" hidden="false" customHeight="false" outlineLevel="0" collapsed="false">
      <c r="A27" s="1" t="n">
        <f aca="false">IFERROR(MATCH($C$9&amp;"|9",BD_PLAN!$J:$J,0),0)</f>
        <v>11</v>
      </c>
      <c r="B27" s="10" t="str">
        <f aca="false">IF($A27=0,"",IF($R27&lt;&gt;$R26,LEFT($R27,FIND(" ",$R27)-1),""))</f>
        <v/>
      </c>
      <c r="C27" s="10" t="str">
        <f aca="false">IF($A27=0,"",IF($R27&lt;&gt;$R26,INDEX(BD_CICLO!$E:$E,MATCH($C$9&amp;"|"&amp;$R27,BD_CICLO!$G:$G,0))&amp;" "&amp;$F$6,""))</f>
        <v/>
      </c>
      <c r="D27" s="11" t="str">
        <f aca="false">IF($A27=0,"",IF($R27&lt;&gt;$R26,IFERROR(1/(1/SUMPRODUCT(MAX((REGISTRO!$C$3:$C$2002=$C$6)*(REGISTRO!$H$3:$H$2002=$R27)*REGISTRO!$B$3:$B$2002))),""),""))</f>
        <v/>
      </c>
      <c r="E27" s="12" t="str">
        <f aca="false">IF($A27=0,"",IF(OR($R27&lt;&gt;$R26,$S27&lt;&gt;$S26),$S27,""))</f>
        <v>COMBUSTIBLE</v>
      </c>
      <c r="F27" s="13" t="str">
        <f aca="false">IF($A27=0,"",INDEX(BD_PLAN!E:E,$A27))</f>
        <v>FILTRO DE GASOLINA EN LÍNEA</v>
      </c>
      <c r="G27" s="14" t="n">
        <f aca="false">IF($A27=0,"",INDEX(BD_PLAN!F:F,$A27))</f>
        <v>1</v>
      </c>
      <c r="H27" s="12" t="str">
        <f aca="false">IF($A27=0,"",INDEX(BD_PLAN!G:G,$A27))</f>
        <v>UND.</v>
      </c>
      <c r="I27" s="15" t="n">
        <f aca="false">IF($A27=0,"",INDEX(BD_PLAN!H:H,$A27))</f>
        <v>8</v>
      </c>
      <c r="J27" s="15" t="n">
        <f aca="false">IF($A27=0,"",INDEX(BD_PLAN!I:I,$A27))</f>
        <v>8</v>
      </c>
      <c r="K27" s="16" t="str">
        <f aca="false">IF($A27=0,"",IF($R27&lt;&gt;$R26,SUMIFS(BD_PLAN!$I$3:$I$312,BD_PLAN!$B$3:$B$312,$C$9,BD_PLAN!$C$3:$C$312,$R27),""))</f>
        <v/>
      </c>
      <c r="M27" s="10" t="str">
        <f aca="false">IF($Q27=0,"",IF($T27&lt;&gt;$T26,$T27,""))</f>
        <v/>
      </c>
      <c r="N27" s="12" t="str">
        <f aca="false">IF($Q27=0,"",IF(OR($T27&lt;&gt;$T26,$U27&lt;&gt;$U26),$U27,""))</f>
        <v>TRANSMISIÓN</v>
      </c>
      <c r="O27" s="12" t="str">
        <f aca="false">IF($Q27=0,"",INDEX(BD_INSPECCION!E:E,$Q27))</f>
        <v>INSPECCIONAR</v>
      </c>
      <c r="P27" s="13" t="str">
        <f aca="false">IF($Q27=0,"",INDEX(BD_INSPECCION!F:F,$Q27))</f>
        <v>EMBRAGUE (JUEGO LIBRE DEL CABLE) Y CAMBIOS</v>
      </c>
      <c r="Q27" s="1" t="n">
        <f aca="false">IFERROR(MATCH($C$9&amp;"|9",BD_INSPECCION!$G:$G,0),0)</f>
        <v>11</v>
      </c>
      <c r="R27" s="1" t="str">
        <f aca="false">IF($A27=0,"",INDEX(BD_PLAN!C:C,$A27))</f>
        <v>PM2 - 2000 KM</v>
      </c>
      <c r="S27" s="1" t="str">
        <f aca="false">IF($A27=0,"",INDEX(BD_PLAN!D:D,$A27))</f>
        <v>COMBUSTIBLE</v>
      </c>
      <c r="T27" s="1" t="str">
        <f aca="false">IF($Q27=0,"",INDEX(BD_INSPECCION!C:C,$Q27))</f>
        <v>PM1 - 1000 KM</v>
      </c>
      <c r="U27" s="1" t="str">
        <f aca="false">IF($Q27=0,"",INDEX(BD_INSPECCION!D:D,$Q27))</f>
        <v>TRANSMISIÓN</v>
      </c>
    </row>
    <row r="28" customFormat="false" ht="22.35" hidden="false" customHeight="false" outlineLevel="0" collapsed="false">
      <c r="A28" s="1" t="n">
        <f aca="false">IFERROR(MATCH($C$9&amp;"|10",BD_PLAN!$J:$J,0),0)</f>
        <v>12</v>
      </c>
      <c r="B28" s="10" t="str">
        <f aca="false">IF($A28=0,"",IF($R28&lt;&gt;$R27,LEFT($R28,FIND(" ",$R28)-1),""))</f>
        <v/>
      </c>
      <c r="C28" s="10" t="str">
        <f aca="false">IF($A28=0,"",IF($R28&lt;&gt;$R27,INDEX(BD_CICLO!$E:$E,MATCH($C$9&amp;"|"&amp;$R28,BD_CICLO!$G:$G,0))&amp;" "&amp;$F$6,""))</f>
        <v/>
      </c>
      <c r="D28" s="11" t="str">
        <f aca="false">IF($A28=0,"",IF($R28&lt;&gt;$R27,IFERROR(1/(1/SUMPRODUCT(MAX((REGISTRO!$C$3:$C$2002=$C$6)*(REGISTRO!$H$3:$H$2002=$R28)*REGISTRO!$B$3:$B$2002))),""),""))</f>
        <v/>
      </c>
      <c r="E28" s="12" t="str">
        <f aca="false">IF($A28=0,"",IF(OR($R28&lt;&gt;$R27,$S28&lt;&gt;$S27),$S28,""))</f>
        <v/>
      </c>
      <c r="F28" s="13" t="str">
        <f aca="false">IF($A28=0,"",INDEX(BD_PLAN!E:E,$A28))</f>
        <v>LIMPIA CARBURADOR</v>
      </c>
      <c r="G28" s="14" t="n">
        <f aca="false">IF($A28=0,"",INDEX(BD_PLAN!F:F,$A28))</f>
        <v>0.5</v>
      </c>
      <c r="H28" s="12" t="str">
        <f aca="false">IF($A28=0,"",INDEX(BD_PLAN!G:G,$A28))</f>
        <v>UND.</v>
      </c>
      <c r="I28" s="15" t="n">
        <f aca="false">IF($A28=0,"",INDEX(BD_PLAN!H:H,$A28))</f>
        <v>15</v>
      </c>
      <c r="J28" s="15" t="n">
        <f aca="false">IF($A28=0,"",INDEX(BD_PLAN!I:I,$A28))</f>
        <v>7.5</v>
      </c>
      <c r="K28" s="16" t="str">
        <f aca="false">IF($A28=0,"",IF($R28&lt;&gt;$R27,SUMIFS(BD_PLAN!$I$3:$I$312,BD_PLAN!$B$3:$B$312,$C$9,BD_PLAN!$C$3:$C$312,$R28),""))</f>
        <v/>
      </c>
      <c r="M28" s="10" t="str">
        <f aca="false">IF($Q28=0,"",IF($T28&lt;&gt;$T27,$T28,""))</f>
        <v/>
      </c>
      <c r="N28" s="12" t="str">
        <f aca="false">IF($Q28=0,"",IF(OR($T28&lt;&gt;$T27,$U28&lt;&gt;$U27),$U28,""))</f>
        <v>CARDÁN</v>
      </c>
      <c r="O28" s="12" t="str">
        <f aca="false">IF($Q28=0,"",INDEX(BD_INSPECCION!E:E,$Q28))</f>
        <v>INSPECCIONAR</v>
      </c>
      <c r="P28" s="13" t="str">
        <f aca="false">IF($Q28=0,"",INDEX(BD_INSPECCION!F:F,$Q28))</f>
        <v>CRUCETAS (JUEGO) Y GUARDAPOLVOS</v>
      </c>
      <c r="Q28" s="1" t="n">
        <f aca="false">IFERROR(MATCH($C$9&amp;"|10",BD_INSPECCION!$G:$G,0),0)</f>
        <v>12</v>
      </c>
      <c r="R28" s="1" t="str">
        <f aca="false">IF($A28=0,"",INDEX(BD_PLAN!C:C,$A28))</f>
        <v>PM2 - 2000 KM</v>
      </c>
      <c r="S28" s="1" t="str">
        <f aca="false">IF($A28=0,"",INDEX(BD_PLAN!D:D,$A28))</f>
        <v>COMBUSTIBLE</v>
      </c>
      <c r="T28" s="1" t="str">
        <f aca="false">IF($Q28=0,"",INDEX(BD_INSPECCION!C:C,$Q28))</f>
        <v>PM1 - 1000 KM</v>
      </c>
      <c r="U28" s="1" t="str">
        <f aca="false">IF($Q28=0,"",INDEX(BD_INSPECCION!D:D,$Q28))</f>
        <v>CARDÁN</v>
      </c>
    </row>
    <row r="29" customFormat="false" ht="15" hidden="false" customHeight="false" outlineLevel="0" collapsed="false">
      <c r="A29" s="1" t="n">
        <f aca="false">IFERROR(MATCH($C$9&amp;"|11",BD_PLAN!$J:$J,0),0)</f>
        <v>13</v>
      </c>
      <c r="B29" s="10" t="str">
        <f aca="false">IF($A29=0,"",IF($R29&lt;&gt;$R28,LEFT($R29,FIND(" ",$R29)-1),""))</f>
        <v/>
      </c>
      <c r="C29" s="10" t="str">
        <f aca="false">IF($A29=0,"",IF($R29&lt;&gt;$R28,INDEX(BD_CICLO!$E:$E,MATCH($C$9&amp;"|"&amp;$R29,BD_CICLO!$G:$G,0))&amp;" "&amp;$F$6,""))</f>
        <v/>
      </c>
      <c r="D29" s="11" t="str">
        <f aca="false">IF($A29=0,"",IF($R29&lt;&gt;$R28,IFERROR(1/(1/SUMPRODUCT(MAX((REGISTRO!$C$3:$C$2002=$C$6)*(REGISTRO!$H$3:$H$2002=$R29)*REGISTRO!$B$3:$B$2002))),""),""))</f>
        <v/>
      </c>
      <c r="E29" s="12" t="str">
        <f aca="false">IF($A29=0,"",IF(OR($R29&lt;&gt;$R28,$S29&lt;&gt;$S28),$S29,""))</f>
        <v>CHASIS</v>
      </c>
      <c r="F29" s="13" t="str">
        <f aca="false">IF($A29=0,"",INDEX(BD_PLAN!E:E,$A29))</f>
        <v>GRASA MULTIPROPÓSITO</v>
      </c>
      <c r="G29" s="14" t="n">
        <f aca="false">IF($A29=0,"",INDEX(BD_PLAN!F:F,$A29))</f>
        <v>0.5</v>
      </c>
      <c r="H29" s="12" t="str">
        <f aca="false">IF($A29=0,"",INDEX(BD_PLAN!G:G,$A29))</f>
        <v>LBRS</v>
      </c>
      <c r="I29" s="15" t="n">
        <f aca="false">IF($A29=0,"",INDEX(BD_PLAN!H:H,$A29))</f>
        <v>15</v>
      </c>
      <c r="J29" s="15" t="n">
        <f aca="false">IF($A29=0,"",INDEX(BD_PLAN!I:I,$A29))</f>
        <v>7.5</v>
      </c>
      <c r="K29" s="16" t="str">
        <f aca="false">IF($A29=0,"",IF($R29&lt;&gt;$R28,SUMIFS(BD_PLAN!$I$3:$I$312,BD_PLAN!$B$3:$B$312,$C$9,BD_PLAN!$C$3:$C$312,$R29),""))</f>
        <v/>
      </c>
      <c r="M29" s="10" t="str">
        <f aca="false">IF($Q29=0,"",IF($T29&lt;&gt;$T28,$T29,""))</f>
        <v/>
      </c>
      <c r="N29" s="12" t="str">
        <f aca="false">IF($Q29=0,"",IF(OR($T29&lt;&gt;$T28,$U29&lt;&gt;$U28),$U29,""))</f>
        <v/>
      </c>
      <c r="O29" s="12" t="str">
        <f aca="false">IF($Q29=0,"",INDEX(BD_INSPECCION!E:E,$Q29))</f>
        <v>LUBRICAR</v>
      </c>
      <c r="P29" s="13" t="str">
        <f aca="false">IF($Q29=0,"",INDEX(BD_INSPECCION!F:F,$Q29))</f>
        <v>CRUCETAS Y ESTRIADO DEL CARDÁN</v>
      </c>
      <c r="Q29" s="1" t="n">
        <f aca="false">IFERROR(MATCH($C$9&amp;"|11",BD_INSPECCION!$G:$G,0),0)</f>
        <v>13</v>
      </c>
      <c r="R29" s="1" t="str">
        <f aca="false">IF($A29=0,"",INDEX(BD_PLAN!C:C,$A29))</f>
        <v>PM2 - 2000 KM</v>
      </c>
      <c r="S29" s="1" t="str">
        <f aca="false">IF($A29=0,"",INDEX(BD_PLAN!D:D,$A29))</f>
        <v>CHASIS</v>
      </c>
      <c r="T29" s="1" t="str">
        <f aca="false">IF($Q29=0,"",INDEX(BD_INSPECCION!C:C,$Q29))</f>
        <v>PM1 - 1000 KM</v>
      </c>
      <c r="U29" s="1" t="str">
        <f aca="false">IF($Q29=0,"",INDEX(BD_INSPECCION!D:D,$Q29))</f>
        <v>CARDÁN</v>
      </c>
    </row>
    <row r="30" customFormat="false" ht="22.35" hidden="false" customHeight="false" outlineLevel="0" collapsed="false">
      <c r="A30" s="1" t="n">
        <f aca="false">IFERROR(MATCH($C$9&amp;"|12",BD_PLAN!$J:$J,0),0)</f>
        <v>14</v>
      </c>
      <c r="B30" s="10" t="str">
        <f aca="false">IF($A30=0,"",IF($R30&lt;&gt;$R29,LEFT($R30,FIND(" ",$R30)-1),""))</f>
        <v/>
      </c>
      <c r="C30" s="10" t="str">
        <f aca="false">IF($A30=0,"",IF($R30&lt;&gt;$R29,INDEX(BD_CICLO!$E:$E,MATCH($C$9&amp;"|"&amp;$R30,BD_CICLO!$G:$G,0))&amp;" "&amp;$F$6,""))</f>
        <v/>
      </c>
      <c r="D30" s="11" t="str">
        <f aca="false">IF($A30=0,"",IF($R30&lt;&gt;$R29,IFERROR(1/(1/SUMPRODUCT(MAX((REGISTRO!$C$3:$C$2002=$C$6)*(REGISTRO!$H$3:$H$2002=$R30)*REGISTRO!$B$3:$B$2002))),""),""))</f>
        <v/>
      </c>
      <c r="E30" s="12" t="str">
        <f aca="false">IF($A30=0,"",IF(OR($R30&lt;&gt;$R29,$S30&lt;&gt;$S29),$S30,""))</f>
        <v>SERVICIO GENERAL</v>
      </c>
      <c r="F30" s="13" t="str">
        <f aca="false">IF($A30=0,"",INDEX(BD_PLAN!E:E,$A30))</f>
        <v>TRAPO INDUSTRIAL</v>
      </c>
      <c r="G30" s="14" t="n">
        <f aca="false">IF($A30=0,"",INDEX(BD_PLAN!F:F,$A30))</f>
        <v>0.5</v>
      </c>
      <c r="H30" s="12" t="str">
        <f aca="false">IF($A30=0,"",INDEX(BD_PLAN!G:G,$A30))</f>
        <v>KG</v>
      </c>
      <c r="I30" s="15" t="n">
        <f aca="false">IF($A30=0,"",INDEX(BD_PLAN!H:H,$A30))</f>
        <v>4.5</v>
      </c>
      <c r="J30" s="15" t="n">
        <f aca="false">IF($A30=0,"",INDEX(BD_PLAN!I:I,$A30))</f>
        <v>2.25</v>
      </c>
      <c r="K30" s="16" t="str">
        <f aca="false">IF($A30=0,"",IF($R30&lt;&gt;$R29,SUMIFS(BD_PLAN!$I$3:$I$312,BD_PLAN!$B$3:$B$312,$C$9,BD_PLAN!$C$3:$C$312,$R30),""))</f>
        <v/>
      </c>
      <c r="M30" s="10" t="str">
        <f aca="false">IF($Q30=0,"",IF($T30&lt;&gt;$T29,$T30,""))</f>
        <v/>
      </c>
      <c r="N30" s="12" t="str">
        <f aca="false">IF($Q30=0,"",IF(OR($T30&lt;&gt;$T29,$U30&lt;&gt;$U29),$U30,""))</f>
        <v>DIFERENCIAL</v>
      </c>
      <c r="O30" s="12" t="str">
        <f aca="false">IF($Q30=0,"",INDEX(BD_INSPECCION!E:E,$Q30))</f>
        <v>INSPECCIONAR</v>
      </c>
      <c r="P30" s="13" t="str">
        <f aca="false">IF($Q30=0,"",INDEX(BD_INSPECCION!F:F,$Q30))</f>
        <v>NIVEL DE ACEITE Y FUGAS</v>
      </c>
      <c r="Q30" s="1" t="n">
        <f aca="false">IFERROR(MATCH($C$9&amp;"|12",BD_INSPECCION!$G:$G,0),0)</f>
        <v>14</v>
      </c>
      <c r="R30" s="1" t="str">
        <f aca="false">IF($A30=0,"",INDEX(BD_PLAN!C:C,$A30))</f>
        <v>PM2 - 2000 KM</v>
      </c>
      <c r="S30" s="1" t="str">
        <f aca="false">IF($A30=0,"",INDEX(BD_PLAN!D:D,$A30))</f>
        <v>SERVICIO GENERAL</v>
      </c>
      <c r="T30" s="1" t="str">
        <f aca="false">IF($Q30=0,"",INDEX(BD_INSPECCION!C:C,$Q30))</f>
        <v>PM1 - 1000 KM</v>
      </c>
      <c r="U30" s="1" t="str">
        <f aca="false">IF($Q30=0,"",INDEX(BD_INSPECCION!D:D,$Q30))</f>
        <v>DIFERENCIAL</v>
      </c>
    </row>
    <row r="31" customFormat="false" ht="22.35" hidden="false" customHeight="false" outlineLevel="0" collapsed="false">
      <c r="A31" s="1" t="n">
        <f aca="false">IFERROR(MATCH($C$9&amp;"|13",BD_PLAN!$J:$J,0),0)</f>
        <v>15</v>
      </c>
      <c r="B31" s="10" t="str">
        <f aca="false">IF($A31=0,"",IF($R31&lt;&gt;$R30,LEFT($R31,FIND(" ",$R31)-1),""))</f>
        <v/>
      </c>
      <c r="C31" s="10" t="str">
        <f aca="false">IF($A31=0,"",IF($R31&lt;&gt;$R30,INDEX(BD_CICLO!$E:$E,MATCH($C$9&amp;"|"&amp;$R31,BD_CICLO!$G:$G,0))&amp;" "&amp;$F$6,""))</f>
        <v/>
      </c>
      <c r="D31" s="11" t="str">
        <f aca="false">IF($A31=0,"",IF($R31&lt;&gt;$R30,IFERROR(1/(1/SUMPRODUCT(MAX((REGISTRO!$C$3:$C$2002=$C$6)*(REGISTRO!$H$3:$H$2002=$R31)*REGISTRO!$B$3:$B$2002))),""),""))</f>
        <v/>
      </c>
      <c r="E31" s="12" t="str">
        <f aca="false">IF($A31=0,"",IF(OR($R31&lt;&gt;$R30,$S31&lt;&gt;$S30),$S31,""))</f>
        <v/>
      </c>
      <c r="F31" s="13" t="str">
        <f aca="false">IF($A31=0,"",INDEX(BD_PLAN!E:E,$A31))</f>
        <v>GASOLINA 90 OCT</v>
      </c>
      <c r="G31" s="14" t="n">
        <f aca="false">IF($A31=0,"",INDEX(BD_PLAN!F:F,$A31))</f>
        <v>0.25</v>
      </c>
      <c r="H31" s="12" t="str">
        <f aca="false">IF($A31=0,"",INDEX(BD_PLAN!G:G,$A31))</f>
        <v>GL</v>
      </c>
      <c r="I31" s="15" t="n">
        <f aca="false">IF($A31=0,"",INDEX(BD_PLAN!H:H,$A31))</f>
        <v>24</v>
      </c>
      <c r="J31" s="15" t="n">
        <f aca="false">IF($A31=0,"",INDEX(BD_PLAN!I:I,$A31))</f>
        <v>6</v>
      </c>
      <c r="K31" s="16" t="str">
        <f aca="false">IF($A31=0,"",IF($R31&lt;&gt;$R30,SUMIFS(BD_PLAN!$I$3:$I$312,BD_PLAN!$B$3:$B$312,$C$9,BD_PLAN!$C$3:$C$312,$R31),""))</f>
        <v/>
      </c>
      <c r="M31" s="10" t="str">
        <f aca="false">IF($Q31=0,"",IF($T31&lt;&gt;$T30,$T31,""))</f>
        <v/>
      </c>
      <c r="N31" s="12" t="str">
        <f aca="false">IF($Q31=0,"",IF(OR($T31&lt;&gt;$T30,$U31&lt;&gt;$U30),$U31,""))</f>
        <v/>
      </c>
      <c r="O31" s="12" t="str">
        <f aca="false">IF($Q31=0,"",INDEX(BD_INSPECCION!E:E,$Q31))</f>
        <v>INSPECCIONAR</v>
      </c>
      <c r="P31" s="13" t="str">
        <f aca="false">IF($Q31=0,"",INDEX(BD_INSPECCION!F:F,$Q31))</f>
        <v>RUIDOS Y RESPIRADERO</v>
      </c>
      <c r="Q31" s="1" t="n">
        <f aca="false">IFERROR(MATCH($C$9&amp;"|13",BD_INSPECCION!$G:$G,0),0)</f>
        <v>15</v>
      </c>
      <c r="R31" s="1" t="str">
        <f aca="false">IF($A31=0,"",INDEX(BD_PLAN!C:C,$A31))</f>
        <v>PM2 - 2000 KM</v>
      </c>
      <c r="S31" s="1" t="str">
        <f aca="false">IF($A31=0,"",INDEX(BD_PLAN!D:D,$A31))</f>
        <v>SERVICIO GENERAL</v>
      </c>
      <c r="T31" s="1" t="str">
        <f aca="false">IF($Q31=0,"",INDEX(BD_INSPECCION!C:C,$Q31))</f>
        <v>PM1 - 1000 KM</v>
      </c>
      <c r="U31" s="1" t="str">
        <f aca="false">IF($Q31=0,"",INDEX(BD_INSPECCION!D:D,$Q31))</f>
        <v>DIFERENCIAL</v>
      </c>
    </row>
    <row r="32" customFormat="false" ht="22.35" hidden="false" customHeight="false" outlineLevel="0" collapsed="false">
      <c r="A32" s="1" t="n">
        <f aca="false">IFERROR(MATCH($C$9&amp;"|14",BD_PLAN!$J:$J,0),0)</f>
        <v>16</v>
      </c>
      <c r="B32" s="10" t="str">
        <f aca="false">IF($A32=0,"",IF($R32&lt;&gt;$R31,LEFT($R32,FIND(" ",$R32)-1),""))</f>
        <v>PM3</v>
      </c>
      <c r="C32" s="10" t="str">
        <f aca="false">IF($A32=0,"",IF($R32&lt;&gt;$R31,INDEX(BD_CICLO!$E:$E,MATCH($C$9&amp;"|"&amp;$R32,BD_CICLO!$G:$G,0))&amp;" "&amp;$F$6,""))</f>
        <v>3000 KM</v>
      </c>
      <c r="D32" s="11" t="str">
        <f aca="false">IF($A32=0,"",IF($R32&lt;&gt;$R31,IFERROR(1/(1/SUMPRODUCT(MAX((REGISTRO!$C$3:$C$2002=$C$6)*(REGISTRO!$H$3:$H$2002=$R32)*REGISTRO!$B$3:$B$2002))),""),""))</f>
        <v/>
      </c>
      <c r="E32" s="12" t="str">
        <f aca="false">IF($A32=0,"",IF(OR($R32&lt;&gt;$R31,$S32&lt;&gt;$S31),$S32,""))</f>
        <v>MOTOR</v>
      </c>
      <c r="F32" s="13" t="str">
        <f aca="false">IF($A32=0,"",INDEX(BD_PLAN!E:E,$A32))</f>
        <v>ACEITE MOTOR 20W50 4T MINERAL</v>
      </c>
      <c r="G32" s="14" t="n">
        <f aca="false">IF($A32=0,"",INDEX(BD_PLAN!F:F,$A32))</f>
        <v>1.5</v>
      </c>
      <c r="H32" s="12" t="str">
        <f aca="false">IF($A32=0,"",INDEX(BD_PLAN!G:G,$A32))</f>
        <v>L</v>
      </c>
      <c r="I32" s="15" t="n">
        <f aca="false">IF($A32=0,"",INDEX(BD_PLAN!H:H,$A32))</f>
        <v>20</v>
      </c>
      <c r="J32" s="15" t="n">
        <f aca="false">IF($A32=0,"",INDEX(BD_PLAN!I:I,$A32))</f>
        <v>30</v>
      </c>
      <c r="K32" s="16" t="n">
        <f aca="false">IF($A32=0,"",IF($R32&lt;&gt;$R31,SUMIFS(BD_PLAN!$I$3:$I$312,BD_PLAN!$B$3:$B$312,$C$9,BD_PLAN!$C$3:$C$312,$R32),""))</f>
        <v>55.25</v>
      </c>
      <c r="M32" s="10" t="str">
        <f aca="false">IF($Q32=0,"",IF($T32&lt;&gt;$T31,$T32,""))</f>
        <v/>
      </c>
      <c r="N32" s="12" t="str">
        <f aca="false">IF($Q32=0,"",IF(OR($T32&lt;&gt;$T31,$U32&lt;&gt;$U31),$U32,""))</f>
        <v>EJES / RODAJES</v>
      </c>
      <c r="O32" s="12" t="str">
        <f aca="false">IF($Q32=0,"",INDEX(BD_INSPECCION!E:E,$Q32))</f>
        <v>INSPECCIONAR</v>
      </c>
      <c r="P32" s="13" t="str">
        <f aca="false">IF($Q32=0,"",INDEX(BD_INSPECCION!F:F,$Q32))</f>
        <v>PALIERES, RODAJES DE RUEDA Y RETENES (JUEGO, RUIDO Y FUGAS)</v>
      </c>
      <c r="Q32" s="1" t="n">
        <f aca="false">IFERROR(MATCH($C$9&amp;"|14",BD_INSPECCION!$G:$G,0),0)</f>
        <v>16</v>
      </c>
      <c r="R32" s="1" t="str">
        <f aca="false">IF($A32=0,"",INDEX(BD_PLAN!C:C,$A32))</f>
        <v>PM3 - 3000 KM</v>
      </c>
      <c r="S32" s="1" t="str">
        <f aca="false">IF($A32=0,"",INDEX(BD_PLAN!D:D,$A32))</f>
        <v>MOTOR</v>
      </c>
      <c r="T32" s="1" t="str">
        <f aca="false">IF($Q32=0,"",INDEX(BD_INSPECCION!C:C,$Q32))</f>
        <v>PM1 - 1000 KM</v>
      </c>
      <c r="U32" s="1" t="str">
        <f aca="false">IF($Q32=0,"",INDEX(BD_INSPECCION!D:D,$Q32))</f>
        <v>EJES / RODAJES</v>
      </c>
    </row>
    <row r="33" customFormat="false" ht="22.35" hidden="false" customHeight="false" outlineLevel="0" collapsed="false">
      <c r="A33" s="1" t="n">
        <f aca="false">IFERROR(MATCH($C$9&amp;"|15",BD_PLAN!$J:$J,0),0)</f>
        <v>17</v>
      </c>
      <c r="B33" s="10" t="str">
        <f aca="false">IF($A33=0,"",IF($R33&lt;&gt;$R32,LEFT($R33,FIND(" ",$R33)-1),""))</f>
        <v/>
      </c>
      <c r="C33" s="10" t="str">
        <f aca="false">IF($A33=0,"",IF($R33&lt;&gt;$R32,INDEX(BD_CICLO!$E:$E,MATCH($C$9&amp;"|"&amp;$R33,BD_CICLO!$G:$G,0))&amp;" "&amp;$F$6,""))</f>
        <v/>
      </c>
      <c r="D33" s="11" t="str">
        <f aca="false">IF($A33=0,"",IF($R33&lt;&gt;$R32,IFERROR(1/(1/SUMPRODUCT(MAX((REGISTRO!$C$3:$C$2002=$C$6)*(REGISTRO!$H$3:$H$2002=$R33)*REGISTRO!$B$3:$B$2002))),""),""))</f>
        <v/>
      </c>
      <c r="E33" s="12" t="str">
        <f aca="false">IF($A33=0,"",IF(OR($R33&lt;&gt;$R32,$S33&lt;&gt;$S32),$S33,""))</f>
        <v/>
      </c>
      <c r="F33" s="13" t="str">
        <f aca="false">IF($A33=0,"",INDEX(BD_PLAN!E:E,$A33))</f>
        <v>ARANDELA TAPÓN DE DRENAJE</v>
      </c>
      <c r="G33" s="14" t="n">
        <f aca="false">IF($A33=0,"",INDEX(BD_PLAN!F:F,$A33))</f>
        <v>1</v>
      </c>
      <c r="H33" s="12" t="str">
        <f aca="false">IF($A33=0,"",INDEX(BD_PLAN!G:G,$A33))</f>
        <v>UND.</v>
      </c>
      <c r="I33" s="15" t="n">
        <f aca="false">IF($A33=0,"",INDEX(BD_PLAN!H:H,$A33))</f>
        <v>2</v>
      </c>
      <c r="J33" s="15" t="n">
        <f aca="false">IF($A33=0,"",INDEX(BD_PLAN!I:I,$A33))</f>
        <v>2</v>
      </c>
      <c r="K33" s="16" t="str">
        <f aca="false">IF($A33=0,"",IF($R33&lt;&gt;$R32,SUMIFS(BD_PLAN!$I$3:$I$312,BD_PLAN!$B$3:$B$312,$C$9,BD_PLAN!$C$3:$C$312,$R33),""))</f>
        <v/>
      </c>
      <c r="M33" s="10" t="str">
        <f aca="false">IF($Q33=0,"",IF($T33&lt;&gt;$T32,$T33,""))</f>
        <v/>
      </c>
      <c r="N33" s="12" t="str">
        <f aca="false">IF($Q33=0,"",IF(OR($T33&lt;&gt;$T32,$U33&lt;&gt;$U32),$U33,""))</f>
        <v>FRENOS</v>
      </c>
      <c r="O33" s="12" t="str">
        <f aca="false">IF($Q33=0,"",INDEX(BD_INSPECCION!E:E,$Q33))</f>
        <v>INSPECCIONAR</v>
      </c>
      <c r="P33" s="13" t="str">
        <f aca="false">IF($Q33=0,"",INDEX(BD_INSPECCION!F:F,$Q33))</f>
        <v>ZAPATAS, TAMBORES, CABLES Y JUEGO LIBRE DE PALANCA Y PEDAL</v>
      </c>
      <c r="Q33" s="1" t="n">
        <f aca="false">IFERROR(MATCH($C$9&amp;"|15",BD_INSPECCION!$G:$G,0),0)</f>
        <v>17</v>
      </c>
      <c r="R33" s="1" t="str">
        <f aca="false">IF($A33=0,"",INDEX(BD_PLAN!C:C,$A33))</f>
        <v>PM3 - 3000 KM</v>
      </c>
      <c r="S33" s="1" t="str">
        <f aca="false">IF($A33=0,"",INDEX(BD_PLAN!D:D,$A33))</f>
        <v>MOTOR</v>
      </c>
      <c r="T33" s="1" t="str">
        <f aca="false">IF($Q33=0,"",INDEX(BD_INSPECCION!C:C,$Q33))</f>
        <v>PM1 - 1000 KM</v>
      </c>
      <c r="U33" s="1" t="str">
        <f aca="false">IF($Q33=0,"",INDEX(BD_INSPECCION!D:D,$Q33))</f>
        <v>FRENOS</v>
      </c>
    </row>
    <row r="34" customFormat="false" ht="22.35" hidden="false" customHeight="false" outlineLevel="0" collapsed="false">
      <c r="A34" s="1" t="n">
        <f aca="false">IFERROR(MATCH($C$9&amp;"|16",BD_PLAN!$J:$J,0),0)</f>
        <v>18</v>
      </c>
      <c r="B34" s="10" t="str">
        <f aca="false">IF($A34=0,"",IF($R34&lt;&gt;$R33,LEFT($R34,FIND(" ",$R34)-1),""))</f>
        <v/>
      </c>
      <c r="C34" s="10" t="str">
        <f aca="false">IF($A34=0,"",IF($R34&lt;&gt;$R33,INDEX(BD_CICLO!$E:$E,MATCH($C$9&amp;"|"&amp;$R34,BD_CICLO!$G:$G,0))&amp;" "&amp;$F$6,""))</f>
        <v/>
      </c>
      <c r="D34" s="11" t="str">
        <f aca="false">IF($A34=0,"",IF($R34&lt;&gt;$R33,IFERROR(1/(1/SUMPRODUCT(MAX((REGISTRO!$C$3:$C$2002=$C$6)*(REGISTRO!$H$3:$H$2002=$R34)*REGISTRO!$B$3:$B$2002))),""),""))</f>
        <v/>
      </c>
      <c r="E34" s="12" t="str">
        <f aca="false">IF($A34=0,"",IF(OR($R34&lt;&gt;$R33,$S34&lt;&gt;$S33),$S34,""))</f>
        <v>CHASIS</v>
      </c>
      <c r="F34" s="13" t="str">
        <f aca="false">IF($A34=0,"",INDEX(BD_PLAN!E:E,$A34))</f>
        <v>GRASA MULTIPROPÓSITO</v>
      </c>
      <c r="G34" s="14" t="n">
        <f aca="false">IF($A34=0,"",INDEX(BD_PLAN!F:F,$A34))</f>
        <v>0.5</v>
      </c>
      <c r="H34" s="12" t="str">
        <f aca="false">IF($A34=0,"",INDEX(BD_PLAN!G:G,$A34))</f>
        <v>LBRS</v>
      </c>
      <c r="I34" s="15" t="n">
        <f aca="false">IF($A34=0,"",INDEX(BD_PLAN!H:H,$A34))</f>
        <v>15</v>
      </c>
      <c r="J34" s="15" t="n">
        <f aca="false">IF($A34=0,"",INDEX(BD_PLAN!I:I,$A34))</f>
        <v>7.5</v>
      </c>
      <c r="K34" s="16" t="str">
        <f aca="false">IF($A34=0,"",IF($R34&lt;&gt;$R33,SUMIFS(BD_PLAN!$I$3:$I$312,BD_PLAN!$B$3:$B$312,$C$9,BD_PLAN!$C$3:$C$312,$R34),""))</f>
        <v/>
      </c>
      <c r="M34" s="10" t="str">
        <f aca="false">IF($Q34=0,"",IF($T34&lt;&gt;$T33,$T34,""))</f>
        <v/>
      </c>
      <c r="N34" s="12" t="str">
        <f aca="false">IF($Q34=0,"",IF(OR($T34&lt;&gt;$T33,$U34&lt;&gt;$U33),$U34,""))</f>
        <v>DIRECCIÓN</v>
      </c>
      <c r="O34" s="12" t="str">
        <f aca="false">IF($Q34=0,"",INDEX(BD_INSPECCION!E:E,$Q34))</f>
        <v>INSPECCIONAR</v>
      </c>
      <c r="P34" s="13" t="str">
        <f aca="false">IF($Q34=0,"",INDEX(BD_INSPECCION!F:F,$Q34))</f>
        <v>RODAJES DE DIRECCIÓN Y JUEGO DEL TIMÓN</v>
      </c>
      <c r="Q34" s="1" t="n">
        <f aca="false">IFERROR(MATCH($C$9&amp;"|16",BD_INSPECCION!$G:$G,0),0)</f>
        <v>18</v>
      </c>
      <c r="R34" s="1" t="str">
        <f aca="false">IF($A34=0,"",INDEX(BD_PLAN!C:C,$A34))</f>
        <v>PM3 - 3000 KM</v>
      </c>
      <c r="S34" s="1" t="str">
        <f aca="false">IF($A34=0,"",INDEX(BD_PLAN!D:D,$A34))</f>
        <v>CHASIS</v>
      </c>
      <c r="T34" s="1" t="str">
        <f aca="false">IF($Q34=0,"",INDEX(BD_INSPECCION!C:C,$Q34))</f>
        <v>PM1 - 1000 KM</v>
      </c>
      <c r="U34" s="1" t="str">
        <f aca="false">IF($Q34=0,"",INDEX(BD_INSPECCION!D:D,$Q34))</f>
        <v>DIRECCIÓN</v>
      </c>
    </row>
    <row r="35" customFormat="false" ht="15" hidden="false" customHeight="false" outlineLevel="0" collapsed="false">
      <c r="A35" s="1" t="n">
        <f aca="false">IFERROR(MATCH($C$9&amp;"|17",BD_PLAN!$J:$J,0),0)</f>
        <v>19</v>
      </c>
      <c r="B35" s="10" t="str">
        <f aca="false">IF($A35=0,"",IF($R35&lt;&gt;$R34,LEFT($R35,FIND(" ",$R35)-1),""))</f>
        <v/>
      </c>
      <c r="C35" s="10" t="str">
        <f aca="false">IF($A35=0,"",IF($R35&lt;&gt;$R34,INDEX(BD_CICLO!$E:$E,MATCH($C$9&amp;"|"&amp;$R35,BD_CICLO!$G:$G,0))&amp;" "&amp;$F$6,""))</f>
        <v/>
      </c>
      <c r="D35" s="11" t="str">
        <f aca="false">IF($A35=0,"",IF($R35&lt;&gt;$R34,IFERROR(1/(1/SUMPRODUCT(MAX((REGISTRO!$C$3:$C$2002=$C$6)*(REGISTRO!$H$3:$H$2002=$R35)*REGISTRO!$B$3:$B$2002))),""),""))</f>
        <v/>
      </c>
      <c r="E35" s="12" t="str">
        <f aca="false">IF($A35=0,"",IF(OR($R35&lt;&gt;$R34,$S35&lt;&gt;$S34),$S35,""))</f>
        <v>SERVICIO GENERAL</v>
      </c>
      <c r="F35" s="13" t="str">
        <f aca="false">IF($A35=0,"",INDEX(BD_PLAN!E:E,$A35))</f>
        <v>TRAPO INDUSTRIAL</v>
      </c>
      <c r="G35" s="14" t="n">
        <f aca="false">IF($A35=0,"",INDEX(BD_PLAN!F:F,$A35))</f>
        <v>0.5</v>
      </c>
      <c r="H35" s="12" t="str">
        <f aca="false">IF($A35=0,"",INDEX(BD_PLAN!G:G,$A35))</f>
        <v>KG</v>
      </c>
      <c r="I35" s="15" t="n">
        <f aca="false">IF($A35=0,"",INDEX(BD_PLAN!H:H,$A35))</f>
        <v>4.5</v>
      </c>
      <c r="J35" s="15" t="n">
        <f aca="false">IF($A35=0,"",INDEX(BD_PLAN!I:I,$A35))</f>
        <v>2.25</v>
      </c>
      <c r="K35" s="16" t="str">
        <f aca="false">IF($A35=0,"",IF($R35&lt;&gt;$R34,SUMIFS(BD_PLAN!$I$3:$I$312,BD_PLAN!$B$3:$B$312,$C$9,BD_PLAN!$C$3:$C$312,$R35),""))</f>
        <v/>
      </c>
      <c r="M35" s="10" t="str">
        <f aca="false">IF($Q35=0,"",IF($T35&lt;&gt;$T34,$T35,""))</f>
        <v/>
      </c>
      <c r="N35" s="12" t="str">
        <f aca="false">IF($Q35=0,"",IF(OR($T35&lt;&gt;$T34,$U35&lt;&gt;$U34),$U35,""))</f>
        <v/>
      </c>
      <c r="O35" s="12" t="str">
        <f aca="false">IF($Q35=0,"",INDEX(BD_INSPECCION!E:E,$Q35))</f>
        <v>LUBRICAR</v>
      </c>
      <c r="P35" s="13" t="str">
        <f aca="false">IF($Q35=0,"",INDEX(BD_INSPECCION!F:F,$Q35))</f>
        <v>RODAJES DE DIRECCIÓN</v>
      </c>
      <c r="Q35" s="1" t="n">
        <f aca="false">IFERROR(MATCH($C$9&amp;"|17",BD_INSPECCION!$G:$G,0),0)</f>
        <v>19</v>
      </c>
      <c r="R35" s="1" t="str">
        <f aca="false">IF($A35=0,"",INDEX(BD_PLAN!C:C,$A35))</f>
        <v>PM3 - 3000 KM</v>
      </c>
      <c r="S35" s="1" t="str">
        <f aca="false">IF($A35=0,"",INDEX(BD_PLAN!D:D,$A35))</f>
        <v>SERVICIO GENERAL</v>
      </c>
      <c r="T35" s="1" t="str">
        <f aca="false">IF($Q35=0,"",INDEX(BD_INSPECCION!C:C,$Q35))</f>
        <v>PM1 - 1000 KM</v>
      </c>
      <c r="U35" s="1" t="str">
        <f aca="false">IF($Q35=0,"",INDEX(BD_INSPECCION!D:D,$Q35))</f>
        <v>DIRECCIÓN</v>
      </c>
    </row>
    <row r="36" customFormat="false" ht="22.35" hidden="false" customHeight="false" outlineLevel="0" collapsed="false">
      <c r="A36" s="1" t="n">
        <f aca="false">IFERROR(MATCH($C$9&amp;"|18",BD_PLAN!$J:$J,0),0)</f>
        <v>20</v>
      </c>
      <c r="B36" s="10" t="str">
        <f aca="false">IF($A36=0,"",IF($R36&lt;&gt;$R35,LEFT($R36,FIND(" ",$R36)-1),""))</f>
        <v/>
      </c>
      <c r="C36" s="10" t="str">
        <f aca="false">IF($A36=0,"",IF($R36&lt;&gt;$R35,INDEX(BD_CICLO!$E:$E,MATCH($C$9&amp;"|"&amp;$R36,BD_CICLO!$G:$G,0))&amp;" "&amp;$F$6,""))</f>
        <v/>
      </c>
      <c r="D36" s="11" t="str">
        <f aca="false">IF($A36=0,"",IF($R36&lt;&gt;$R35,IFERROR(1/(1/SUMPRODUCT(MAX((REGISTRO!$C$3:$C$2002=$C$6)*(REGISTRO!$H$3:$H$2002=$R36)*REGISTRO!$B$3:$B$2002))),""),""))</f>
        <v/>
      </c>
      <c r="E36" s="12" t="str">
        <f aca="false">IF($A36=0,"",IF(OR($R36&lt;&gt;$R35,$S36&lt;&gt;$S35),$S36,""))</f>
        <v/>
      </c>
      <c r="F36" s="13" t="str">
        <f aca="false">IF($A36=0,"",INDEX(BD_PLAN!E:E,$A36))</f>
        <v>GASOLINA 90 OCT</v>
      </c>
      <c r="G36" s="14" t="n">
        <f aca="false">IF($A36=0,"",INDEX(BD_PLAN!F:F,$A36))</f>
        <v>0.25</v>
      </c>
      <c r="H36" s="12" t="str">
        <f aca="false">IF($A36=0,"",INDEX(BD_PLAN!G:G,$A36))</f>
        <v>GL</v>
      </c>
      <c r="I36" s="15" t="n">
        <f aca="false">IF($A36=0,"",INDEX(BD_PLAN!H:H,$A36))</f>
        <v>24</v>
      </c>
      <c r="J36" s="15" t="n">
        <f aca="false">IF($A36=0,"",INDEX(BD_PLAN!I:I,$A36))</f>
        <v>6</v>
      </c>
      <c r="K36" s="16" t="str">
        <f aca="false">IF($A36=0,"",IF($R36&lt;&gt;$R35,SUMIFS(BD_PLAN!$I$3:$I$312,BD_PLAN!$B$3:$B$312,$C$9,BD_PLAN!$C$3:$C$312,$R36),""))</f>
        <v/>
      </c>
      <c r="M36" s="10" t="str">
        <f aca="false">IF($Q36=0,"",IF($T36&lt;&gt;$T35,$T36,""))</f>
        <v/>
      </c>
      <c r="N36" s="12" t="str">
        <f aca="false">IF($Q36=0,"",IF(OR($T36&lt;&gt;$T35,$U36&lt;&gt;$U35),$U36,""))</f>
        <v>SUSPENSIÓN DELANTERA</v>
      </c>
      <c r="O36" s="12" t="str">
        <f aca="false">IF($Q36=0,"",INDEX(BD_INSPECCION!E:E,$Q36))</f>
        <v>INSPECCIONAR</v>
      </c>
      <c r="P36" s="13" t="str">
        <f aca="false">IF($Q36=0,"",INDEX(BD_INSPECCION!F:F,$Q36))</f>
        <v>HORQUILLAS: FUGAS DE RETENES Y FUNCIONAMIENTO</v>
      </c>
      <c r="Q36" s="1" t="n">
        <f aca="false">IFERROR(MATCH($C$9&amp;"|18",BD_INSPECCION!$G:$G,0),0)</f>
        <v>20</v>
      </c>
      <c r="R36" s="1" t="str">
        <f aca="false">IF($A36=0,"",INDEX(BD_PLAN!C:C,$A36))</f>
        <v>PM3 - 3000 KM</v>
      </c>
      <c r="S36" s="1" t="str">
        <f aca="false">IF($A36=0,"",INDEX(BD_PLAN!D:D,$A36))</f>
        <v>SERVICIO GENERAL</v>
      </c>
      <c r="T36" s="1" t="str">
        <f aca="false">IF($Q36=0,"",INDEX(BD_INSPECCION!C:C,$Q36))</f>
        <v>PM1 - 1000 KM</v>
      </c>
      <c r="U36" s="1" t="str">
        <f aca="false">IF($Q36=0,"",INDEX(BD_INSPECCION!D:D,$Q36))</f>
        <v>SUSPENSIÓN DELANTERA</v>
      </c>
    </row>
    <row r="37" customFormat="false" ht="22.35" hidden="false" customHeight="false" outlineLevel="0" collapsed="false">
      <c r="A37" s="1" t="n">
        <f aca="false">IFERROR(MATCH($C$9&amp;"|19",BD_PLAN!$J:$J,0),0)</f>
        <v>21</v>
      </c>
      <c r="B37" s="10" t="str">
        <f aca="false">IF($A37=0,"",IF($R37&lt;&gt;$R36,LEFT($R37,FIND(" ",$R37)-1),""))</f>
        <v/>
      </c>
      <c r="C37" s="10" t="str">
        <f aca="false">IF($A37=0,"",IF($R37&lt;&gt;$R36,INDEX(BD_CICLO!$E:$E,MATCH($C$9&amp;"|"&amp;$R37,BD_CICLO!$G:$G,0))&amp;" "&amp;$F$6,""))</f>
        <v/>
      </c>
      <c r="D37" s="11" t="str">
        <f aca="false">IF($A37=0,"",IF($R37&lt;&gt;$R36,IFERROR(1/(1/SUMPRODUCT(MAX((REGISTRO!$C$3:$C$2002=$C$6)*(REGISTRO!$H$3:$H$2002=$R37)*REGISTRO!$B$3:$B$2002))),""),""))</f>
        <v/>
      </c>
      <c r="E37" s="12" t="str">
        <f aca="false">IF($A37=0,"",IF(OR($R37&lt;&gt;$R36,$S37&lt;&gt;$S36),$S37,""))</f>
        <v>COMBUSTIBLE</v>
      </c>
      <c r="F37" s="13" t="str">
        <f aca="false">IF($A37=0,"",INDEX(BD_PLAN!E:E,$A37))</f>
        <v>LIMPIA CARBURADOR</v>
      </c>
      <c r="G37" s="14" t="n">
        <f aca="false">IF($A37=0,"",INDEX(BD_PLAN!F:F,$A37))</f>
        <v>0.5</v>
      </c>
      <c r="H37" s="12" t="str">
        <f aca="false">IF($A37=0,"",INDEX(BD_PLAN!G:G,$A37))</f>
        <v>UND.</v>
      </c>
      <c r="I37" s="15" t="n">
        <f aca="false">IF($A37=0,"",INDEX(BD_PLAN!H:H,$A37))</f>
        <v>15</v>
      </c>
      <c r="J37" s="15" t="n">
        <f aca="false">IF($A37=0,"",INDEX(BD_PLAN!I:I,$A37))</f>
        <v>7.5</v>
      </c>
      <c r="K37" s="16" t="str">
        <f aca="false">IF($A37=0,"",IF($R37&lt;&gt;$R36,SUMIFS(BD_PLAN!$I$3:$I$312,BD_PLAN!$B$3:$B$312,$C$9,BD_PLAN!$C$3:$C$312,$R37),""))</f>
        <v/>
      </c>
      <c r="M37" s="10" t="str">
        <f aca="false">IF($Q37=0,"",IF($T37&lt;&gt;$T36,$T37,""))</f>
        <v/>
      </c>
      <c r="N37" s="12" t="str">
        <f aca="false">IF($Q37=0,"",IF(OR($T37&lt;&gt;$T36,$U37&lt;&gt;$U36),$U37,""))</f>
        <v>SUSPENSIÓN TRASERA</v>
      </c>
      <c r="O37" s="12" t="str">
        <f aca="false">IF($Q37=0,"",INDEX(BD_INSPECCION!E:E,$Q37))</f>
        <v>INSPECCIONAR</v>
      </c>
      <c r="P37" s="13" t="str">
        <f aca="false">IF($Q37=0,"",INDEX(BD_INSPECCION!F:F,$Q37))</f>
        <v>MUELLES (HOJAS ROTAS), ABRAZADERAS, BUJES Y AMORTIGUADOR</v>
      </c>
      <c r="Q37" s="1" t="n">
        <f aca="false">IFERROR(MATCH($C$9&amp;"|19",BD_INSPECCION!$G:$G,0),0)</f>
        <v>21</v>
      </c>
      <c r="R37" s="1" t="str">
        <f aca="false">IF($A37=0,"",INDEX(BD_PLAN!C:C,$A37))</f>
        <v>PM3 - 3000 KM</v>
      </c>
      <c r="S37" s="1" t="str">
        <f aca="false">IF($A37=0,"",INDEX(BD_PLAN!D:D,$A37))</f>
        <v>COMBUSTIBLE</v>
      </c>
      <c r="T37" s="1" t="str">
        <f aca="false">IF($Q37=0,"",INDEX(BD_INSPECCION!C:C,$Q37))</f>
        <v>PM1 - 1000 KM</v>
      </c>
      <c r="U37" s="1" t="str">
        <f aca="false">IF($Q37=0,"",INDEX(BD_INSPECCION!D:D,$Q37))</f>
        <v>SUSPENSIÓN TRASERA</v>
      </c>
    </row>
    <row r="38" customFormat="false" ht="15" hidden="false" customHeight="false" outlineLevel="0" collapsed="false">
      <c r="A38" s="1" t="n">
        <f aca="false">IFERROR(MATCH($C$9&amp;"|20",BD_PLAN!$J:$J,0),0)</f>
        <v>22</v>
      </c>
      <c r="B38" s="10" t="str">
        <f aca="false">IF($A38=0,"",IF($R38&lt;&gt;$R37,LEFT($R38,FIND(" ",$R38)-1),""))</f>
        <v>PM4</v>
      </c>
      <c r="C38" s="10" t="str">
        <f aca="false">IF($A38=0,"",IF($R38&lt;&gt;$R37,INDEX(BD_CICLO!$E:$E,MATCH($C$9&amp;"|"&amp;$R38,BD_CICLO!$G:$G,0))&amp;" "&amp;$F$6,""))</f>
        <v>4000 KM</v>
      </c>
      <c r="D38" s="11" t="str">
        <f aca="false">IF($A38=0,"",IF($R38&lt;&gt;$R37,IFERROR(1/(1/SUMPRODUCT(MAX((REGISTRO!$C$3:$C$2002=$C$6)*(REGISTRO!$H$3:$H$2002=$R38)*REGISTRO!$B$3:$B$2002))),""),""))</f>
        <v/>
      </c>
      <c r="E38" s="12" t="str">
        <f aca="false">IF($A38=0,"",IF(OR($R38&lt;&gt;$R37,$S38&lt;&gt;$S37),$S38,""))</f>
        <v>MOTOR</v>
      </c>
      <c r="F38" s="13" t="str">
        <f aca="false">IF($A38=0,"",INDEX(BD_PLAN!E:E,$A38))</f>
        <v>ACEITE MOTOR 20W50 4T MINERAL</v>
      </c>
      <c r="G38" s="14" t="n">
        <f aca="false">IF($A38=0,"",INDEX(BD_PLAN!F:F,$A38))</f>
        <v>1.5</v>
      </c>
      <c r="H38" s="12" t="str">
        <f aca="false">IF($A38=0,"",INDEX(BD_PLAN!G:G,$A38))</f>
        <v>L</v>
      </c>
      <c r="I38" s="15" t="n">
        <f aca="false">IF($A38=0,"",INDEX(BD_PLAN!H:H,$A38))</f>
        <v>20</v>
      </c>
      <c r="J38" s="15" t="n">
        <f aca="false">IF($A38=0,"",INDEX(BD_PLAN!I:I,$A38))</f>
        <v>30</v>
      </c>
      <c r="K38" s="16" t="n">
        <f aca="false">IF($A38=0,"",IF($R38&lt;&gt;$R37,SUMIFS(BD_PLAN!$I$3:$I$312,BD_PLAN!$B$3:$B$312,$C$9,BD_PLAN!$C$3:$C$312,$R38),""))</f>
        <v>105.25</v>
      </c>
      <c r="M38" s="10" t="str">
        <f aca="false">IF($Q38=0,"",IF($T38&lt;&gt;$T37,$T38,""))</f>
        <v/>
      </c>
      <c r="N38" s="12" t="str">
        <f aca="false">IF($Q38=0,"",IF(OR($T38&lt;&gt;$T37,$U38&lt;&gt;$U37),$U38,""))</f>
        <v>CONTROLES</v>
      </c>
      <c r="O38" s="12" t="str">
        <f aca="false">IF($Q38=0,"",INDEX(BD_INSPECCION!E:E,$Q38))</f>
        <v>LUBRICAR</v>
      </c>
      <c r="P38" s="13" t="str">
        <f aca="false">IF($Q38=0,"",INDEX(BD_INSPECCION!F:F,$Q38))</f>
        <v>MANIJAS Y CABLES DE FRENO, EMBRAGUE Y ACELERADOR</v>
      </c>
      <c r="Q38" s="1" t="n">
        <f aca="false">IFERROR(MATCH($C$9&amp;"|20",BD_INSPECCION!$G:$G,0),0)</f>
        <v>22</v>
      </c>
      <c r="R38" s="1" t="str">
        <f aca="false">IF($A38=0,"",INDEX(BD_PLAN!C:C,$A38))</f>
        <v>PM4 - 4000 KM</v>
      </c>
      <c r="S38" s="1" t="str">
        <f aca="false">IF($A38=0,"",INDEX(BD_PLAN!D:D,$A38))</f>
        <v>MOTOR</v>
      </c>
      <c r="T38" s="1" t="str">
        <f aca="false">IF($Q38=0,"",INDEX(BD_INSPECCION!C:C,$Q38))</f>
        <v>PM1 - 1000 KM</v>
      </c>
      <c r="U38" s="1" t="str">
        <f aca="false">IF($Q38=0,"",INDEX(BD_INSPECCION!D:D,$Q38))</f>
        <v>CONTROLES</v>
      </c>
    </row>
    <row r="39" customFormat="false" ht="22.35" hidden="false" customHeight="false" outlineLevel="0" collapsed="false">
      <c r="A39" s="1" t="n">
        <f aca="false">IFERROR(MATCH($C$9&amp;"|21",BD_PLAN!$J:$J,0),0)</f>
        <v>23</v>
      </c>
      <c r="B39" s="10" t="str">
        <f aca="false">IF($A39=0,"",IF($R39&lt;&gt;$R38,LEFT($R39,FIND(" ",$R39)-1),""))</f>
        <v/>
      </c>
      <c r="C39" s="10" t="str">
        <f aca="false">IF($A39=0,"",IF($R39&lt;&gt;$R38,INDEX(BD_CICLO!$E:$E,MATCH($C$9&amp;"|"&amp;$R39,BD_CICLO!$G:$G,0))&amp;" "&amp;$F$6,""))</f>
        <v/>
      </c>
      <c r="D39" s="11" t="str">
        <f aca="false">IF($A39=0,"",IF($R39&lt;&gt;$R38,IFERROR(1/(1/SUMPRODUCT(MAX((REGISTRO!$C$3:$C$2002=$C$6)*(REGISTRO!$H$3:$H$2002=$R39)*REGISTRO!$B$3:$B$2002))),""),""))</f>
        <v/>
      </c>
      <c r="E39" s="12" t="str">
        <f aca="false">IF($A39=0,"",IF(OR($R39&lt;&gt;$R38,$S39&lt;&gt;$S38),$S39,""))</f>
        <v/>
      </c>
      <c r="F39" s="13" t="str">
        <f aca="false">IF($A39=0,"",INDEX(BD_PLAN!E:E,$A39))</f>
        <v>ARANDELA TAPÓN DE DRENAJE</v>
      </c>
      <c r="G39" s="14" t="n">
        <f aca="false">IF($A39=0,"",INDEX(BD_PLAN!F:F,$A39))</f>
        <v>1</v>
      </c>
      <c r="H39" s="12" t="str">
        <f aca="false">IF($A39=0,"",INDEX(BD_PLAN!G:G,$A39))</f>
        <v>UND.</v>
      </c>
      <c r="I39" s="15" t="n">
        <f aca="false">IF($A39=0,"",INDEX(BD_PLAN!H:H,$A39))</f>
        <v>2</v>
      </c>
      <c r="J39" s="15" t="n">
        <f aca="false">IF($A39=0,"",INDEX(BD_PLAN!I:I,$A39))</f>
        <v>2</v>
      </c>
      <c r="K39" s="16" t="str">
        <f aca="false">IF($A39=0,"",IF($R39&lt;&gt;$R38,SUMIFS(BD_PLAN!$I$3:$I$312,BD_PLAN!$B$3:$B$312,$C$9,BD_PLAN!$C$3:$C$312,$R39),""))</f>
        <v/>
      </c>
      <c r="M39" s="10" t="str">
        <f aca="false">IF($Q39=0,"",IF($T39&lt;&gt;$T38,$T39,""))</f>
        <v/>
      </c>
      <c r="N39" s="12" t="str">
        <f aca="false">IF($Q39=0,"",IF(OR($T39&lt;&gt;$T38,$U39&lt;&gt;$U38),$U39,""))</f>
        <v>RUEDAS</v>
      </c>
      <c r="O39" s="12" t="str">
        <f aca="false">IF($Q39=0,"",INDEX(BD_INSPECCION!E:E,$Q39))</f>
        <v>INSPECCIONAR</v>
      </c>
      <c r="P39" s="13" t="str">
        <f aca="false">IF($Q39=0,"",INDEX(BD_INSPECCION!F:F,$Q39))</f>
        <v>PRESIÓN, DESGASTE DE LLANTAS Y AJUSTE DE TUERCAS</v>
      </c>
      <c r="Q39" s="1" t="n">
        <f aca="false">IFERROR(MATCH($C$9&amp;"|21",BD_INSPECCION!$G:$G,0),0)</f>
        <v>23</v>
      </c>
      <c r="R39" s="1" t="str">
        <f aca="false">IF($A39=0,"",INDEX(BD_PLAN!C:C,$A39))</f>
        <v>PM4 - 4000 KM</v>
      </c>
      <c r="S39" s="1" t="str">
        <f aca="false">IF($A39=0,"",INDEX(BD_PLAN!D:D,$A39))</f>
        <v>MOTOR</v>
      </c>
      <c r="T39" s="1" t="str">
        <f aca="false">IF($Q39=0,"",INDEX(BD_INSPECCION!C:C,$Q39))</f>
        <v>PM1 - 1000 KM</v>
      </c>
      <c r="U39" s="1" t="str">
        <f aca="false">IF($Q39=0,"",INDEX(BD_INSPECCION!D:D,$Q39))</f>
        <v>RUEDAS</v>
      </c>
    </row>
    <row r="40" customFormat="false" ht="22.35" hidden="false" customHeight="false" outlineLevel="0" collapsed="false">
      <c r="A40" s="1" t="n">
        <f aca="false">IFERROR(MATCH($C$9&amp;"|22",BD_PLAN!$J:$J,0),0)</f>
        <v>24</v>
      </c>
      <c r="B40" s="10" t="str">
        <f aca="false">IF($A40=0,"",IF($R40&lt;&gt;$R39,LEFT($R40,FIND(" ",$R40)-1),""))</f>
        <v/>
      </c>
      <c r="C40" s="10" t="str">
        <f aca="false">IF($A40=0,"",IF($R40&lt;&gt;$R39,INDEX(BD_CICLO!$E:$E,MATCH($C$9&amp;"|"&amp;$R40,BD_CICLO!$G:$G,0))&amp;" "&amp;$F$6,""))</f>
        <v/>
      </c>
      <c r="D40" s="11" t="str">
        <f aca="false">IF($A40=0,"",IF($R40&lt;&gt;$R39,IFERROR(1/(1/SUMPRODUCT(MAX((REGISTRO!$C$3:$C$2002=$C$6)*(REGISTRO!$H$3:$H$2002=$R40)*REGISTRO!$B$3:$B$2002))),""),""))</f>
        <v/>
      </c>
      <c r="E40" s="12" t="str">
        <f aca="false">IF($A40=0,"",IF(OR($R40&lt;&gt;$R39,$S40&lt;&gt;$S39),$S40,""))</f>
        <v>COMBUSTIBLE</v>
      </c>
      <c r="F40" s="13" t="str">
        <f aca="false">IF($A40=0,"",INDEX(BD_PLAN!E:E,$A40))</f>
        <v>FILTRO DE GASOLINA EN LÍNEA</v>
      </c>
      <c r="G40" s="14" t="n">
        <f aca="false">IF($A40=0,"",INDEX(BD_PLAN!F:F,$A40))</f>
        <v>1</v>
      </c>
      <c r="H40" s="12" t="str">
        <f aca="false">IF($A40=0,"",INDEX(BD_PLAN!G:G,$A40))</f>
        <v>UND.</v>
      </c>
      <c r="I40" s="15" t="n">
        <f aca="false">IF($A40=0,"",INDEX(BD_PLAN!H:H,$A40))</f>
        <v>8</v>
      </c>
      <c r="J40" s="15" t="n">
        <f aca="false">IF($A40=0,"",INDEX(BD_PLAN!I:I,$A40))</f>
        <v>8</v>
      </c>
      <c r="K40" s="16" t="str">
        <f aca="false">IF($A40=0,"",IF($R40&lt;&gt;$R39,SUMIFS(BD_PLAN!$I$3:$I$312,BD_PLAN!$B$3:$B$312,$C$9,BD_PLAN!$C$3:$C$312,$R40),""))</f>
        <v/>
      </c>
      <c r="M40" s="10" t="str">
        <f aca="false">IF($Q40=0,"",IF($T40&lt;&gt;$T39,$T40,""))</f>
        <v/>
      </c>
      <c r="N40" s="12" t="str">
        <f aca="false">IF($Q40=0,"",IF(OR($T40&lt;&gt;$T39,$U40&lt;&gt;$U39),$U40,""))</f>
        <v>SISTEMA ELÉCTRICO</v>
      </c>
      <c r="O40" s="12" t="str">
        <f aca="false">IF($Q40=0,"",INDEX(BD_INSPECCION!E:E,$Q40))</f>
        <v>INSPECCIONAR</v>
      </c>
      <c r="P40" s="13" t="str">
        <f aca="false">IF($Q40=0,"",INDEX(BD_INSPECCION!F:F,$Q40))</f>
        <v>BATERÍA, BORNES, LUCES, CLAXON E INTERRUPTORES</v>
      </c>
      <c r="Q40" s="1" t="n">
        <f aca="false">IFERROR(MATCH($C$9&amp;"|22",BD_INSPECCION!$G:$G,0),0)</f>
        <v>24</v>
      </c>
      <c r="R40" s="1" t="str">
        <f aca="false">IF($A40=0,"",INDEX(BD_PLAN!C:C,$A40))</f>
        <v>PM4 - 4000 KM</v>
      </c>
      <c r="S40" s="1" t="str">
        <f aca="false">IF($A40=0,"",INDEX(BD_PLAN!D:D,$A40))</f>
        <v>COMBUSTIBLE</v>
      </c>
      <c r="T40" s="1" t="str">
        <f aca="false">IF($Q40=0,"",INDEX(BD_INSPECCION!C:C,$Q40))</f>
        <v>PM1 - 1000 KM</v>
      </c>
      <c r="U40" s="1" t="str">
        <f aca="false">IF($Q40=0,"",INDEX(BD_INSPECCION!D:D,$Q40))</f>
        <v>SISTEMA ELÉCTRICO</v>
      </c>
    </row>
    <row r="41" customFormat="false" ht="22.35" hidden="false" customHeight="false" outlineLevel="0" collapsed="false">
      <c r="A41" s="1" t="n">
        <f aca="false">IFERROR(MATCH($C$9&amp;"|23",BD_PLAN!$J:$J,0),0)</f>
        <v>25</v>
      </c>
      <c r="B41" s="10" t="str">
        <f aca="false">IF($A41=0,"",IF($R41&lt;&gt;$R40,LEFT($R41,FIND(" ",$R41)-1),""))</f>
        <v/>
      </c>
      <c r="C41" s="10" t="str">
        <f aca="false">IF($A41=0,"",IF($R41&lt;&gt;$R40,INDEX(BD_CICLO!$E:$E,MATCH($C$9&amp;"|"&amp;$R41,BD_CICLO!$G:$G,0))&amp;" "&amp;$F$6,""))</f>
        <v/>
      </c>
      <c r="D41" s="11" t="str">
        <f aca="false">IF($A41=0,"",IF($R41&lt;&gt;$R40,IFERROR(1/(1/SUMPRODUCT(MAX((REGISTRO!$C$3:$C$2002=$C$6)*(REGISTRO!$H$3:$H$2002=$R41)*REGISTRO!$B$3:$B$2002))),""),""))</f>
        <v/>
      </c>
      <c r="E41" s="12" t="str">
        <f aca="false">IF($A41=0,"",IF(OR($R41&lt;&gt;$R40,$S41&lt;&gt;$S40),$S41,""))</f>
        <v/>
      </c>
      <c r="F41" s="13" t="str">
        <f aca="false">IF($A41=0,"",INDEX(BD_PLAN!E:E,$A41))</f>
        <v>LIMPIA CARBURADOR</v>
      </c>
      <c r="G41" s="14" t="n">
        <f aca="false">IF($A41=0,"",INDEX(BD_PLAN!F:F,$A41))</f>
        <v>0.5</v>
      </c>
      <c r="H41" s="12" t="str">
        <f aca="false">IF($A41=0,"",INDEX(BD_PLAN!G:G,$A41))</f>
        <v>UND.</v>
      </c>
      <c r="I41" s="15" t="n">
        <f aca="false">IF($A41=0,"",INDEX(BD_PLAN!H:H,$A41))</f>
        <v>15</v>
      </c>
      <c r="J41" s="15" t="n">
        <f aca="false">IF($A41=0,"",INDEX(BD_PLAN!I:I,$A41))</f>
        <v>7.5</v>
      </c>
      <c r="K41" s="16" t="str">
        <f aca="false">IF($A41=0,"",IF($R41&lt;&gt;$R40,SUMIFS(BD_PLAN!$I$3:$I$312,BD_PLAN!$B$3:$B$312,$C$9,BD_PLAN!$C$3:$C$312,$R41),""))</f>
        <v/>
      </c>
      <c r="M41" s="10" t="str">
        <f aca="false">IF($Q41=0,"",IF($T41&lt;&gt;$T40,$T41,""))</f>
        <v/>
      </c>
      <c r="N41" s="12" t="str">
        <f aca="false">IF($Q41=0,"",IF(OR($T41&lt;&gt;$T40,$U41&lt;&gt;$U40),$U41,""))</f>
        <v>CHASIS / TOLVA</v>
      </c>
      <c r="O41" s="12" t="str">
        <f aca="false">IF($Q41=0,"",INDEX(BD_INSPECCION!E:E,$Q41))</f>
        <v>INSPECCIONAR</v>
      </c>
      <c r="P41" s="13" t="str">
        <f aca="false">IF($Q41=0,"",INDEX(BD_INSPECCION!F:F,$Q41))</f>
        <v>SOLDADURAS, PERNOS DE TOLVA Y BASTIDOR</v>
      </c>
      <c r="Q41" s="1" t="n">
        <f aca="false">IFERROR(MATCH($C$9&amp;"|23",BD_INSPECCION!$G:$G,0),0)</f>
        <v>25</v>
      </c>
      <c r="R41" s="1" t="str">
        <f aca="false">IF($A41=0,"",INDEX(BD_PLAN!C:C,$A41))</f>
        <v>PM4 - 4000 KM</v>
      </c>
      <c r="S41" s="1" t="str">
        <f aca="false">IF($A41=0,"",INDEX(BD_PLAN!D:D,$A41))</f>
        <v>COMBUSTIBLE</v>
      </c>
      <c r="T41" s="1" t="str">
        <f aca="false">IF($Q41=0,"",INDEX(BD_INSPECCION!C:C,$Q41))</f>
        <v>PM1 - 1000 KM</v>
      </c>
      <c r="U41" s="1" t="str">
        <f aca="false">IF($Q41=0,"",INDEX(BD_INSPECCION!D:D,$Q41))</f>
        <v>CHASIS / TOLVA</v>
      </c>
    </row>
    <row r="42" customFormat="false" ht="22.35" hidden="false" customHeight="false" outlineLevel="0" collapsed="false">
      <c r="A42" s="1" t="n">
        <f aca="false">IFERROR(MATCH($C$9&amp;"|24",BD_PLAN!$J:$J,0),0)</f>
        <v>26</v>
      </c>
      <c r="B42" s="10" t="str">
        <f aca="false">IF($A42=0,"",IF($R42&lt;&gt;$R41,LEFT($R42,FIND(" ",$R42)-1),""))</f>
        <v/>
      </c>
      <c r="C42" s="10" t="str">
        <f aca="false">IF($A42=0,"",IF($R42&lt;&gt;$R41,INDEX(BD_CICLO!$E:$E,MATCH($C$9&amp;"|"&amp;$R42,BD_CICLO!$G:$G,0))&amp;" "&amp;$F$6,""))</f>
        <v/>
      </c>
      <c r="D42" s="11" t="str">
        <f aca="false">IF($A42=0,"",IF($R42&lt;&gt;$R41,IFERROR(1/(1/SUMPRODUCT(MAX((REGISTRO!$C$3:$C$2002=$C$6)*(REGISTRO!$H$3:$H$2002=$R42)*REGISTRO!$B$3:$B$2002))),""),""))</f>
        <v/>
      </c>
      <c r="E42" s="12" t="str">
        <f aca="false">IF($A42=0,"",IF(OR($R42&lt;&gt;$R41,$S42&lt;&gt;$S41),$S42,""))</f>
        <v>ADMISIÓN DE AIRE</v>
      </c>
      <c r="F42" s="13" t="str">
        <f aca="false">IF($A42=0,"",INDEX(BD_PLAN!E:E,$A42))</f>
        <v>FILTRO DE AIRE MAVILA CARGO 250</v>
      </c>
      <c r="G42" s="14" t="n">
        <f aca="false">IF($A42=0,"",INDEX(BD_PLAN!F:F,$A42))</f>
        <v>1</v>
      </c>
      <c r="H42" s="12" t="str">
        <f aca="false">IF($A42=0,"",INDEX(BD_PLAN!G:G,$A42))</f>
        <v>UND.</v>
      </c>
      <c r="I42" s="15" t="n">
        <f aca="false">IF($A42=0,"",INDEX(BD_PLAN!H:H,$A42))</f>
        <v>30</v>
      </c>
      <c r="J42" s="15" t="n">
        <f aca="false">IF($A42=0,"",INDEX(BD_PLAN!I:I,$A42))</f>
        <v>30</v>
      </c>
      <c r="K42" s="16" t="str">
        <f aca="false">IF($A42=0,"",IF($R42&lt;&gt;$R41,SUMIFS(BD_PLAN!$I$3:$I$312,BD_PLAN!$B$3:$B$312,$C$9,BD_PLAN!$C$3:$C$312,$R42),""))</f>
        <v/>
      </c>
      <c r="M42" s="10" t="str">
        <f aca="false">IF($Q42=0,"",IF($T42&lt;&gt;$T41,$T42,""))</f>
        <v>PM2 - 2000 KM</v>
      </c>
      <c r="N42" s="12" t="str">
        <f aca="false">IF($Q42=0,"",IF(OR($T42&lt;&gt;$T41,$U42&lt;&gt;$U41),$U42,""))</f>
        <v>MOTOR</v>
      </c>
      <c r="O42" s="12" t="str">
        <f aca="false">IF($Q42=0,"",INDEX(BD_INSPECCION!E:E,$Q42))</f>
        <v>INSPECCIONAR</v>
      </c>
      <c r="P42" s="13" t="str">
        <f aca="false">IF($Q42=0,"",INDEX(BD_INSPECCION!F:F,$Q42))</f>
        <v>LUZ DE VÁLVULAS (REGULAR SI ES NECESARIO)</v>
      </c>
      <c r="Q42" s="1" t="n">
        <f aca="false">IFERROR(MATCH($C$9&amp;"|24",BD_INSPECCION!$G:$G,0),0)</f>
        <v>26</v>
      </c>
      <c r="R42" s="1" t="str">
        <f aca="false">IF($A42=0,"",INDEX(BD_PLAN!C:C,$A42))</f>
        <v>PM4 - 4000 KM</v>
      </c>
      <c r="S42" s="1" t="str">
        <f aca="false">IF($A42=0,"",INDEX(BD_PLAN!D:D,$A42))</f>
        <v>ADMISIÓN DE AIRE</v>
      </c>
      <c r="T42" s="1" t="str">
        <f aca="false">IF($Q42=0,"",INDEX(BD_INSPECCION!C:C,$Q42))</f>
        <v>PM2 - 2000 KM</v>
      </c>
      <c r="U42" s="1" t="str">
        <f aca="false">IF($Q42=0,"",INDEX(BD_INSPECCION!D:D,$Q42))</f>
        <v>MOTOR</v>
      </c>
    </row>
    <row r="43" customFormat="false" ht="22.35" hidden="false" customHeight="false" outlineLevel="0" collapsed="false">
      <c r="A43" s="1" t="n">
        <f aca="false">IFERROR(MATCH($C$9&amp;"|25",BD_PLAN!$J:$J,0),0)</f>
        <v>27</v>
      </c>
      <c r="B43" s="10" t="str">
        <f aca="false">IF($A43=0,"",IF($R43&lt;&gt;$R42,LEFT($R43,FIND(" ",$R43)-1),""))</f>
        <v/>
      </c>
      <c r="C43" s="10" t="str">
        <f aca="false">IF($A43=0,"",IF($R43&lt;&gt;$R42,INDEX(BD_CICLO!$E:$E,MATCH($C$9&amp;"|"&amp;$R43,BD_CICLO!$G:$G,0))&amp;" "&amp;$F$6,""))</f>
        <v/>
      </c>
      <c r="D43" s="11" t="str">
        <f aca="false">IF($A43=0,"",IF($R43&lt;&gt;$R42,IFERROR(1/(1/SUMPRODUCT(MAX((REGISTRO!$C$3:$C$2002=$C$6)*(REGISTRO!$H$3:$H$2002=$R43)*REGISTRO!$B$3:$B$2002))),""),""))</f>
        <v/>
      </c>
      <c r="E43" s="12" t="str">
        <f aca="false">IF($A43=0,"",IF(OR($R43&lt;&gt;$R42,$S43&lt;&gt;$S42),$S43,""))</f>
        <v>ENCENDIDO</v>
      </c>
      <c r="F43" s="13" t="str">
        <f aca="false">IF($A43=0,"",INDEX(BD_PLAN!E:E,$A43))</f>
        <v>BUJÍA MAVILA CARGO 250</v>
      </c>
      <c r="G43" s="14" t="n">
        <f aca="false">IF($A43=0,"",INDEX(BD_PLAN!F:F,$A43))</f>
        <v>1</v>
      </c>
      <c r="H43" s="12" t="str">
        <f aca="false">IF($A43=0,"",INDEX(BD_PLAN!G:G,$A43))</f>
        <v>UND.</v>
      </c>
      <c r="I43" s="15" t="n">
        <f aca="false">IF($A43=0,"",INDEX(BD_PLAN!H:H,$A43))</f>
        <v>12</v>
      </c>
      <c r="J43" s="15" t="n">
        <f aca="false">IF($A43=0,"",INDEX(BD_PLAN!I:I,$A43))</f>
        <v>12</v>
      </c>
      <c r="K43" s="16" t="str">
        <f aca="false">IF($A43=0,"",IF($R43&lt;&gt;$R42,SUMIFS(BD_PLAN!$I$3:$I$312,BD_PLAN!$B$3:$B$312,$C$9,BD_PLAN!$C$3:$C$312,$R43),""))</f>
        <v/>
      </c>
      <c r="M43" s="10" t="str">
        <f aca="false">IF($Q43=0,"",IF($T43&lt;&gt;$T42,$T43,""))</f>
        <v/>
      </c>
      <c r="N43" s="12" t="str">
        <f aca="false">IF($Q43=0,"",IF(OR($T43&lt;&gt;$T42,$U43&lt;&gt;$U42),$U43,""))</f>
        <v/>
      </c>
      <c r="O43" s="12" t="str">
        <f aca="false">IF($Q43=0,"",INDEX(BD_INSPECCION!E:E,$Q43))</f>
        <v>INSPECCIONAR</v>
      </c>
      <c r="P43" s="13" t="str">
        <f aca="false">IF($Q43=0,"",INDEX(BD_INSPECCION!F:F,$Q43))</f>
        <v>VELOCIDAD DE RALENTÍ</v>
      </c>
      <c r="Q43" s="1" t="n">
        <f aca="false">IFERROR(MATCH($C$9&amp;"|25",BD_INSPECCION!$G:$G,0),0)</f>
        <v>27</v>
      </c>
      <c r="R43" s="1" t="str">
        <f aca="false">IF($A43=0,"",INDEX(BD_PLAN!C:C,$A43))</f>
        <v>PM4 - 4000 KM</v>
      </c>
      <c r="S43" s="1" t="str">
        <f aca="false">IF($A43=0,"",INDEX(BD_PLAN!D:D,$A43))</f>
        <v>ENCENDIDO</v>
      </c>
      <c r="T43" s="1" t="str">
        <f aca="false">IF($Q43=0,"",INDEX(BD_INSPECCION!C:C,$Q43))</f>
        <v>PM2 - 2000 KM</v>
      </c>
      <c r="U43" s="1" t="str">
        <f aca="false">IF($Q43=0,"",INDEX(BD_INSPECCION!D:D,$Q43))</f>
        <v>MOTOR</v>
      </c>
    </row>
    <row r="44" customFormat="false" ht="22.35" hidden="false" customHeight="false" outlineLevel="0" collapsed="false">
      <c r="A44" s="1" t="n">
        <f aca="false">IFERROR(MATCH($C$9&amp;"|26",BD_PLAN!$J:$J,0),0)</f>
        <v>28</v>
      </c>
      <c r="B44" s="10" t="str">
        <f aca="false">IF($A44=0,"",IF($R44&lt;&gt;$R43,LEFT($R44,FIND(" ",$R44)-1),""))</f>
        <v/>
      </c>
      <c r="C44" s="10" t="str">
        <f aca="false">IF($A44=0,"",IF($R44&lt;&gt;$R43,INDEX(BD_CICLO!$E:$E,MATCH($C$9&amp;"|"&amp;$R44,BD_CICLO!$G:$G,0))&amp;" "&amp;$F$6,""))</f>
        <v/>
      </c>
      <c r="D44" s="11" t="str">
        <f aca="false">IF($A44=0,"",IF($R44&lt;&gt;$R43,IFERROR(1/(1/SUMPRODUCT(MAX((REGISTRO!$C$3:$C$2002=$C$6)*(REGISTRO!$H$3:$H$2002=$R44)*REGISTRO!$B$3:$B$2002))),""),""))</f>
        <v/>
      </c>
      <c r="E44" s="12" t="str">
        <f aca="false">IF($A44=0,"",IF(OR($R44&lt;&gt;$R43,$S44&lt;&gt;$S43),$S44,""))</f>
        <v>CHASIS</v>
      </c>
      <c r="F44" s="13" t="str">
        <f aca="false">IF($A44=0,"",INDEX(BD_PLAN!E:E,$A44))</f>
        <v>GRASA MULTIPROPÓSITO</v>
      </c>
      <c r="G44" s="14" t="n">
        <f aca="false">IF($A44=0,"",INDEX(BD_PLAN!F:F,$A44))</f>
        <v>0.5</v>
      </c>
      <c r="H44" s="12" t="str">
        <f aca="false">IF($A44=0,"",INDEX(BD_PLAN!G:G,$A44))</f>
        <v>LBRS</v>
      </c>
      <c r="I44" s="15" t="n">
        <f aca="false">IF($A44=0,"",INDEX(BD_PLAN!H:H,$A44))</f>
        <v>15</v>
      </c>
      <c r="J44" s="15" t="n">
        <f aca="false">IF($A44=0,"",INDEX(BD_PLAN!I:I,$A44))</f>
        <v>7.5</v>
      </c>
      <c r="K44" s="16" t="str">
        <f aca="false">IF($A44=0,"",IF($R44&lt;&gt;$R43,SUMIFS(BD_PLAN!$I$3:$I$312,BD_PLAN!$B$3:$B$312,$C$9,BD_PLAN!$C$3:$C$312,$R44),""))</f>
        <v/>
      </c>
      <c r="M44" s="10" t="str">
        <f aca="false">IF($Q44=0,"",IF($T44&lt;&gt;$T43,$T44,""))</f>
        <v/>
      </c>
      <c r="N44" s="12" t="str">
        <f aca="false">IF($Q44=0,"",IF(OR($T44&lt;&gt;$T43,$U44&lt;&gt;$U43),$U44,""))</f>
        <v/>
      </c>
      <c r="O44" s="12" t="str">
        <f aca="false">IF($Q44=0,"",INDEX(BD_INSPECCION!E:E,$Q44))</f>
        <v>INSPECCIONAR</v>
      </c>
      <c r="P44" s="13" t="str">
        <f aca="false">IF($Q44=0,"",INDEX(BD_INSPECCION!F:F,$Q44))</f>
        <v>FUGAS DE ACEITE Y ESTADO DE EMPAQUES</v>
      </c>
      <c r="Q44" s="1" t="n">
        <f aca="false">IFERROR(MATCH($C$9&amp;"|26",BD_INSPECCION!$G:$G,0),0)</f>
        <v>28</v>
      </c>
      <c r="R44" s="1" t="str">
        <f aca="false">IF($A44=0,"",INDEX(BD_PLAN!C:C,$A44))</f>
        <v>PM4 - 4000 KM</v>
      </c>
      <c r="S44" s="1" t="str">
        <f aca="false">IF($A44=0,"",INDEX(BD_PLAN!D:D,$A44))</f>
        <v>CHASIS</v>
      </c>
      <c r="T44" s="1" t="str">
        <f aca="false">IF($Q44=0,"",INDEX(BD_INSPECCION!C:C,$Q44))</f>
        <v>PM2 - 2000 KM</v>
      </c>
      <c r="U44" s="1" t="str">
        <f aca="false">IF($Q44=0,"",INDEX(BD_INSPECCION!D:D,$Q44))</f>
        <v>MOTOR</v>
      </c>
    </row>
    <row r="45" customFormat="false" ht="15" hidden="false" customHeight="false" outlineLevel="0" collapsed="false">
      <c r="A45" s="1" t="n">
        <f aca="false">IFERROR(MATCH($C$9&amp;"|27",BD_PLAN!$J:$J,0),0)</f>
        <v>29</v>
      </c>
      <c r="B45" s="10" t="str">
        <f aca="false">IF($A45=0,"",IF($R45&lt;&gt;$R44,LEFT($R45,FIND(" ",$R45)-1),""))</f>
        <v/>
      </c>
      <c r="C45" s="10" t="str">
        <f aca="false">IF($A45=0,"",IF($R45&lt;&gt;$R44,INDEX(BD_CICLO!$E:$E,MATCH($C$9&amp;"|"&amp;$R45,BD_CICLO!$G:$G,0))&amp;" "&amp;$F$6,""))</f>
        <v/>
      </c>
      <c r="D45" s="11" t="str">
        <f aca="false">IF($A45=0,"",IF($R45&lt;&gt;$R44,IFERROR(1/(1/SUMPRODUCT(MAX((REGISTRO!$C$3:$C$2002=$C$6)*(REGISTRO!$H$3:$H$2002=$R45)*REGISTRO!$B$3:$B$2002))),""),""))</f>
        <v/>
      </c>
      <c r="E45" s="12" t="str">
        <f aca="false">IF($A45=0,"",IF(OR($R45&lt;&gt;$R44,$S45&lt;&gt;$S44),$S45,""))</f>
        <v>SERVICIO GENERAL</v>
      </c>
      <c r="F45" s="13" t="str">
        <f aca="false">IF($A45=0,"",INDEX(BD_PLAN!E:E,$A45))</f>
        <v>TRAPO INDUSTRIAL</v>
      </c>
      <c r="G45" s="14" t="n">
        <f aca="false">IF($A45=0,"",INDEX(BD_PLAN!F:F,$A45))</f>
        <v>0.5</v>
      </c>
      <c r="H45" s="12" t="str">
        <f aca="false">IF($A45=0,"",INDEX(BD_PLAN!G:G,$A45))</f>
        <v>KG</v>
      </c>
      <c r="I45" s="15" t="n">
        <f aca="false">IF($A45=0,"",INDEX(BD_PLAN!H:H,$A45))</f>
        <v>4.5</v>
      </c>
      <c r="J45" s="15" t="n">
        <f aca="false">IF($A45=0,"",INDEX(BD_PLAN!I:I,$A45))</f>
        <v>2.25</v>
      </c>
      <c r="K45" s="16" t="str">
        <f aca="false">IF($A45=0,"",IF($R45&lt;&gt;$R44,SUMIFS(BD_PLAN!$I$3:$I$312,BD_PLAN!$B$3:$B$312,$C$9,BD_PLAN!$C$3:$C$312,$R45),""))</f>
        <v/>
      </c>
      <c r="M45" s="10" t="str">
        <f aca="false">IF($Q45=0,"",IF($T45&lt;&gt;$T44,$T45,""))</f>
        <v/>
      </c>
      <c r="N45" s="12" t="str">
        <f aca="false">IF($Q45=0,"",IF(OR($T45&lt;&gt;$T44,$U45&lt;&gt;$U44),$U45,""))</f>
        <v/>
      </c>
      <c r="O45" s="12" t="str">
        <f aca="false">IF($Q45=0,"",INDEX(BD_INSPECCION!E:E,$Q45))</f>
        <v>LIMPIAR</v>
      </c>
      <c r="P45" s="13" t="str">
        <f aca="false">IF($Q45=0,"",INDEX(BD_INSPECCION!F:F,$Q45))</f>
        <v>MALLA (COLADOR) DE ACEITE</v>
      </c>
      <c r="Q45" s="1" t="n">
        <f aca="false">IFERROR(MATCH($C$9&amp;"|27",BD_INSPECCION!$G:$G,0),0)</f>
        <v>29</v>
      </c>
      <c r="R45" s="1" t="str">
        <f aca="false">IF($A45=0,"",INDEX(BD_PLAN!C:C,$A45))</f>
        <v>PM4 - 4000 KM</v>
      </c>
      <c r="S45" s="1" t="str">
        <f aca="false">IF($A45=0,"",INDEX(BD_PLAN!D:D,$A45))</f>
        <v>SERVICIO GENERAL</v>
      </c>
      <c r="T45" s="1" t="str">
        <f aca="false">IF($Q45=0,"",INDEX(BD_INSPECCION!C:C,$Q45))</f>
        <v>PM2 - 2000 KM</v>
      </c>
      <c r="U45" s="1" t="str">
        <f aca="false">IF($Q45=0,"",INDEX(BD_INSPECCION!D:D,$Q45))</f>
        <v>MOTOR</v>
      </c>
    </row>
    <row r="46" customFormat="false" ht="15" hidden="false" customHeight="false" outlineLevel="0" collapsed="false">
      <c r="A46" s="1" t="n">
        <f aca="false">IFERROR(MATCH($C$9&amp;"|28",BD_PLAN!$J:$J,0),0)</f>
        <v>30</v>
      </c>
      <c r="B46" s="10" t="str">
        <f aca="false">IF($A46=0,"",IF($R46&lt;&gt;$R45,LEFT($R46,FIND(" ",$R46)-1),""))</f>
        <v/>
      </c>
      <c r="C46" s="10" t="str">
        <f aca="false">IF($A46=0,"",IF($R46&lt;&gt;$R45,INDEX(BD_CICLO!$E:$E,MATCH($C$9&amp;"|"&amp;$R46,BD_CICLO!$G:$G,0))&amp;" "&amp;$F$6,""))</f>
        <v/>
      </c>
      <c r="D46" s="11" t="str">
        <f aca="false">IF($A46=0,"",IF($R46&lt;&gt;$R45,IFERROR(1/(1/SUMPRODUCT(MAX((REGISTRO!$C$3:$C$2002=$C$6)*(REGISTRO!$H$3:$H$2002=$R46)*REGISTRO!$B$3:$B$2002))),""),""))</f>
        <v/>
      </c>
      <c r="E46" s="12" t="str">
        <f aca="false">IF($A46=0,"",IF(OR($R46&lt;&gt;$R45,$S46&lt;&gt;$S45),$S46,""))</f>
        <v/>
      </c>
      <c r="F46" s="13" t="str">
        <f aca="false">IF($A46=0,"",INDEX(BD_PLAN!E:E,$A46))</f>
        <v>GASOLINA 90 OCT</v>
      </c>
      <c r="G46" s="14" t="n">
        <f aca="false">IF($A46=0,"",INDEX(BD_PLAN!F:F,$A46))</f>
        <v>0.25</v>
      </c>
      <c r="H46" s="12" t="str">
        <f aca="false">IF($A46=0,"",INDEX(BD_PLAN!G:G,$A46))</f>
        <v>GL</v>
      </c>
      <c r="I46" s="15" t="n">
        <f aca="false">IF($A46=0,"",INDEX(BD_PLAN!H:H,$A46))</f>
        <v>24</v>
      </c>
      <c r="J46" s="15" t="n">
        <f aca="false">IF($A46=0,"",INDEX(BD_PLAN!I:I,$A46))</f>
        <v>6</v>
      </c>
      <c r="K46" s="16" t="str">
        <f aca="false">IF($A46=0,"",IF($R46&lt;&gt;$R45,SUMIFS(BD_PLAN!$I$3:$I$312,BD_PLAN!$B$3:$B$312,$C$9,BD_PLAN!$C$3:$C$312,$R46),""))</f>
        <v/>
      </c>
      <c r="M46" s="10" t="str">
        <f aca="false">IF($Q46=0,"",IF($T46&lt;&gt;$T45,$T46,""))</f>
        <v/>
      </c>
      <c r="N46" s="12" t="str">
        <f aca="false">IF($Q46=0,"",IF(OR($T46&lt;&gt;$T45,$U46&lt;&gt;$U45),$U46,""))</f>
        <v>ADMISIÓN DE AIRE</v>
      </c>
      <c r="O46" s="12" t="str">
        <f aca="false">IF($Q46=0,"",INDEX(BD_INSPECCION!E:E,$Q46))</f>
        <v>LIMPIAR</v>
      </c>
      <c r="P46" s="13" t="str">
        <f aca="false">IF($Q46=0,"",INDEX(BD_INSPECCION!F:F,$Q46))</f>
        <v>FILTRO DE AIRE</v>
      </c>
      <c r="Q46" s="1" t="n">
        <f aca="false">IFERROR(MATCH($C$9&amp;"|28",BD_INSPECCION!$G:$G,0),0)</f>
        <v>30</v>
      </c>
      <c r="R46" s="1" t="str">
        <f aca="false">IF($A46=0,"",INDEX(BD_PLAN!C:C,$A46))</f>
        <v>PM4 - 4000 KM</v>
      </c>
      <c r="S46" s="1" t="str">
        <f aca="false">IF($A46=0,"",INDEX(BD_PLAN!D:D,$A46))</f>
        <v>SERVICIO GENERAL</v>
      </c>
      <c r="T46" s="1" t="str">
        <f aca="false">IF($Q46=0,"",INDEX(BD_INSPECCION!C:C,$Q46))</f>
        <v>PM2 - 2000 KM</v>
      </c>
      <c r="U46" s="1" t="str">
        <f aca="false">IF($Q46=0,"",INDEX(BD_INSPECCION!D:D,$Q46))</f>
        <v>ADMISIÓN DE AIRE</v>
      </c>
    </row>
    <row r="47" customFormat="false" ht="22.35" hidden="false" customHeight="false" outlineLevel="0" collapsed="false">
      <c r="A47" s="1" t="n">
        <f aca="false">IFERROR(MATCH($C$9&amp;"|29",BD_PLAN!$J:$J,0),0)</f>
        <v>31</v>
      </c>
      <c r="B47" s="10" t="str">
        <f aca="false">IF($A47=0,"",IF($R47&lt;&gt;$R46,LEFT($R47,FIND(" ",$R47)-1),""))</f>
        <v>PM5</v>
      </c>
      <c r="C47" s="10" t="str">
        <f aca="false">IF($A47=0,"",IF($R47&lt;&gt;$R46,INDEX(BD_CICLO!$E:$E,MATCH($C$9&amp;"|"&amp;$R47,BD_CICLO!$G:$G,0))&amp;" "&amp;$F$6,""))</f>
        <v>5000 KM</v>
      </c>
      <c r="D47" s="11" t="str">
        <f aca="false">IF($A47=0,"",IF($R47&lt;&gt;$R46,IFERROR(1/(1/SUMPRODUCT(MAX((REGISTRO!$C$3:$C$2002=$C$6)*(REGISTRO!$H$3:$H$2002=$R47)*REGISTRO!$B$3:$B$2002))),""),""))</f>
        <v/>
      </c>
      <c r="E47" s="12" t="str">
        <f aca="false">IF($A47=0,"",IF(OR($R47&lt;&gt;$R46,$S47&lt;&gt;$S46),$S47,""))</f>
        <v>MOTOR</v>
      </c>
      <c r="F47" s="13" t="str">
        <f aca="false">IF($A47=0,"",INDEX(BD_PLAN!E:E,$A47))</f>
        <v>ACEITE MOTOR 20W50 4T MINERAL</v>
      </c>
      <c r="G47" s="14" t="n">
        <f aca="false">IF($A47=0,"",INDEX(BD_PLAN!F:F,$A47))</f>
        <v>1.5</v>
      </c>
      <c r="H47" s="12" t="str">
        <f aca="false">IF($A47=0,"",INDEX(BD_PLAN!G:G,$A47))</f>
        <v>L</v>
      </c>
      <c r="I47" s="15" t="n">
        <f aca="false">IF($A47=0,"",INDEX(BD_PLAN!H:H,$A47))</f>
        <v>20</v>
      </c>
      <c r="J47" s="15" t="n">
        <f aca="false">IF($A47=0,"",INDEX(BD_PLAN!I:I,$A47))</f>
        <v>30</v>
      </c>
      <c r="K47" s="16" t="n">
        <f aca="false">IF($A47=0,"",IF($R47&lt;&gt;$R46,SUMIFS(BD_PLAN!$I$3:$I$312,BD_PLAN!$B$3:$B$312,$C$9,BD_PLAN!$C$3:$C$312,$R47),""))</f>
        <v>55.25</v>
      </c>
      <c r="M47" s="10" t="str">
        <f aca="false">IF($Q47=0,"",IF($T47&lt;&gt;$T46,$T47,""))</f>
        <v/>
      </c>
      <c r="N47" s="12" t="str">
        <f aca="false">IF($Q47=0,"",IF(OR($T47&lt;&gt;$T46,$U47&lt;&gt;$U46),$U47,""))</f>
        <v>COMBUSTIBLE</v>
      </c>
      <c r="O47" s="12" t="str">
        <f aca="false">IF($Q47=0,"",INDEX(BD_INSPECCION!E:E,$Q47))</f>
        <v>INSPECCIONAR</v>
      </c>
      <c r="P47" s="13" t="str">
        <f aca="false">IF($Q47=0,"",INDEX(BD_INSPECCION!F:F,$Q47))</f>
        <v>MANGUERA DE COMBUSTIBLE (GRIETAS Y FUGAS)</v>
      </c>
      <c r="Q47" s="1" t="n">
        <f aca="false">IFERROR(MATCH($C$9&amp;"|29",BD_INSPECCION!$G:$G,0),0)</f>
        <v>31</v>
      </c>
      <c r="R47" s="1" t="str">
        <f aca="false">IF($A47=0,"",INDEX(BD_PLAN!C:C,$A47))</f>
        <v>PM5 - 5000 KM</v>
      </c>
      <c r="S47" s="1" t="str">
        <f aca="false">IF($A47=0,"",INDEX(BD_PLAN!D:D,$A47))</f>
        <v>MOTOR</v>
      </c>
      <c r="T47" s="1" t="str">
        <f aca="false">IF($Q47=0,"",INDEX(BD_INSPECCION!C:C,$Q47))</f>
        <v>PM2 - 2000 KM</v>
      </c>
      <c r="U47" s="1" t="str">
        <f aca="false">IF($Q47=0,"",INDEX(BD_INSPECCION!D:D,$Q47))</f>
        <v>COMBUSTIBLE</v>
      </c>
    </row>
    <row r="48" customFormat="false" ht="22.35" hidden="false" customHeight="false" outlineLevel="0" collapsed="false">
      <c r="A48" s="1" t="n">
        <f aca="false">IFERROR(MATCH($C$9&amp;"|30",BD_PLAN!$J:$J,0),0)</f>
        <v>32</v>
      </c>
      <c r="B48" s="10" t="str">
        <f aca="false">IF($A48=0,"",IF($R48&lt;&gt;$R47,LEFT($R48,FIND(" ",$R48)-1),""))</f>
        <v/>
      </c>
      <c r="C48" s="10" t="str">
        <f aca="false">IF($A48=0,"",IF($R48&lt;&gt;$R47,INDEX(BD_CICLO!$E:$E,MATCH($C$9&amp;"|"&amp;$R48,BD_CICLO!$G:$G,0))&amp;" "&amp;$F$6,""))</f>
        <v/>
      </c>
      <c r="D48" s="11" t="str">
        <f aca="false">IF($A48=0,"",IF($R48&lt;&gt;$R47,IFERROR(1/(1/SUMPRODUCT(MAX((REGISTRO!$C$3:$C$2002=$C$6)*(REGISTRO!$H$3:$H$2002=$R48)*REGISTRO!$B$3:$B$2002))),""),""))</f>
        <v/>
      </c>
      <c r="E48" s="12" t="str">
        <f aca="false">IF($A48=0,"",IF(OR($R48&lt;&gt;$R47,$S48&lt;&gt;$S47),$S48,""))</f>
        <v/>
      </c>
      <c r="F48" s="13" t="str">
        <f aca="false">IF($A48=0,"",INDEX(BD_PLAN!E:E,$A48))</f>
        <v>ARANDELA TAPÓN DE DRENAJE</v>
      </c>
      <c r="G48" s="14" t="n">
        <f aca="false">IF($A48=0,"",INDEX(BD_PLAN!F:F,$A48))</f>
        <v>1</v>
      </c>
      <c r="H48" s="12" t="str">
        <f aca="false">IF($A48=0,"",INDEX(BD_PLAN!G:G,$A48))</f>
        <v>UND.</v>
      </c>
      <c r="I48" s="15" t="n">
        <f aca="false">IF($A48=0,"",INDEX(BD_PLAN!H:H,$A48))</f>
        <v>2</v>
      </c>
      <c r="J48" s="15" t="n">
        <f aca="false">IF($A48=0,"",INDEX(BD_PLAN!I:I,$A48))</f>
        <v>2</v>
      </c>
      <c r="K48" s="16" t="str">
        <f aca="false">IF($A48=0,"",IF($R48&lt;&gt;$R47,SUMIFS(BD_PLAN!$I$3:$I$312,BD_PLAN!$B$3:$B$312,$C$9,BD_PLAN!$C$3:$C$312,$R48),""))</f>
        <v/>
      </c>
      <c r="M48" s="10" t="str">
        <f aca="false">IF($Q48=0,"",IF($T48&lt;&gt;$T47,$T48,""))</f>
        <v/>
      </c>
      <c r="N48" s="12" t="str">
        <f aca="false">IF($Q48=0,"",IF(OR($T48&lt;&gt;$T47,$U48&lt;&gt;$U47),$U48,""))</f>
        <v/>
      </c>
      <c r="O48" s="12" t="str">
        <f aca="false">IF($Q48=0,"",INDEX(BD_INSPECCION!E:E,$Q48))</f>
        <v>INSPECCIONAR</v>
      </c>
      <c r="P48" s="13" t="str">
        <f aca="false">IF($Q48=0,"",INDEX(BD_INSPECCION!F:F,$Q48))</f>
        <v>FUNCIONAMIENTO DEL ACELERADOR Y CHOKE</v>
      </c>
      <c r="Q48" s="1" t="n">
        <f aca="false">IFERROR(MATCH($C$9&amp;"|30",BD_INSPECCION!$G:$G,0),0)</f>
        <v>32</v>
      </c>
      <c r="R48" s="1" t="str">
        <f aca="false">IF($A48=0,"",INDEX(BD_PLAN!C:C,$A48))</f>
        <v>PM5 - 5000 KM</v>
      </c>
      <c r="S48" s="1" t="str">
        <f aca="false">IF($A48=0,"",INDEX(BD_PLAN!D:D,$A48))</f>
        <v>MOTOR</v>
      </c>
      <c r="T48" s="1" t="str">
        <f aca="false">IF($Q48=0,"",INDEX(BD_INSPECCION!C:C,$Q48))</f>
        <v>PM2 - 2000 KM</v>
      </c>
      <c r="U48" s="1" t="str">
        <f aca="false">IF($Q48=0,"",INDEX(BD_INSPECCION!D:D,$Q48))</f>
        <v>COMBUSTIBLE</v>
      </c>
    </row>
    <row r="49" customFormat="false" ht="22.35" hidden="false" customHeight="false" outlineLevel="0" collapsed="false">
      <c r="A49" s="1" t="n">
        <f aca="false">IFERROR(MATCH($C$9&amp;"|31",BD_PLAN!$J:$J,0),0)</f>
        <v>33</v>
      </c>
      <c r="B49" s="10" t="str">
        <f aca="false">IF($A49=0,"",IF($R49&lt;&gt;$R48,LEFT($R49,FIND(" ",$R49)-1),""))</f>
        <v/>
      </c>
      <c r="C49" s="10" t="str">
        <f aca="false">IF($A49=0,"",IF($R49&lt;&gt;$R48,INDEX(BD_CICLO!$E:$E,MATCH($C$9&amp;"|"&amp;$R49,BD_CICLO!$G:$G,0))&amp;" "&amp;$F$6,""))</f>
        <v/>
      </c>
      <c r="D49" s="11" t="str">
        <f aca="false">IF($A49=0,"",IF($R49&lt;&gt;$R48,IFERROR(1/(1/SUMPRODUCT(MAX((REGISTRO!$C$3:$C$2002=$C$6)*(REGISTRO!$H$3:$H$2002=$R49)*REGISTRO!$B$3:$B$2002))),""),""))</f>
        <v/>
      </c>
      <c r="E49" s="12" t="str">
        <f aca="false">IF($A49=0,"",IF(OR($R49&lt;&gt;$R48,$S49&lt;&gt;$S48),$S49,""))</f>
        <v>CHASIS</v>
      </c>
      <c r="F49" s="13" t="str">
        <f aca="false">IF($A49=0,"",INDEX(BD_PLAN!E:E,$A49))</f>
        <v>GRASA MULTIPROPÓSITO</v>
      </c>
      <c r="G49" s="14" t="n">
        <f aca="false">IF($A49=0,"",INDEX(BD_PLAN!F:F,$A49))</f>
        <v>0.5</v>
      </c>
      <c r="H49" s="12" t="str">
        <f aca="false">IF($A49=0,"",INDEX(BD_PLAN!G:G,$A49))</f>
        <v>LBRS</v>
      </c>
      <c r="I49" s="15" t="n">
        <f aca="false">IF($A49=0,"",INDEX(BD_PLAN!H:H,$A49))</f>
        <v>15</v>
      </c>
      <c r="J49" s="15" t="n">
        <f aca="false">IF($A49=0,"",INDEX(BD_PLAN!I:I,$A49))</f>
        <v>7.5</v>
      </c>
      <c r="K49" s="16" t="str">
        <f aca="false">IF($A49=0,"",IF($R49&lt;&gt;$R48,SUMIFS(BD_PLAN!$I$3:$I$312,BD_PLAN!$B$3:$B$312,$C$9,BD_PLAN!$C$3:$C$312,$R49),""))</f>
        <v/>
      </c>
      <c r="M49" s="10" t="str">
        <f aca="false">IF($Q49=0,"",IF($T49&lt;&gt;$T48,$T49,""))</f>
        <v/>
      </c>
      <c r="N49" s="12" t="str">
        <f aca="false">IF($Q49=0,"",IF(OR($T49&lt;&gt;$T48,$U49&lt;&gt;$U48),$U49,""))</f>
        <v>ENCENDIDO</v>
      </c>
      <c r="O49" s="12" t="str">
        <f aca="false">IF($Q49=0,"",INDEX(BD_INSPECCION!E:E,$Q49))</f>
        <v>INSPECCIONAR</v>
      </c>
      <c r="P49" s="13" t="str">
        <f aca="false">IF($Q49=0,"",INDEX(BD_INSPECCION!F:F,$Q49))</f>
        <v>BUJÍA: LIMPIAR Y CALIBRAR</v>
      </c>
      <c r="Q49" s="1" t="n">
        <f aca="false">IFERROR(MATCH($C$9&amp;"|31",BD_INSPECCION!$G:$G,0),0)</f>
        <v>33</v>
      </c>
      <c r="R49" s="1" t="str">
        <f aca="false">IF($A49=0,"",INDEX(BD_PLAN!C:C,$A49))</f>
        <v>PM5 - 5000 KM</v>
      </c>
      <c r="S49" s="1" t="str">
        <f aca="false">IF($A49=0,"",INDEX(BD_PLAN!D:D,$A49))</f>
        <v>CHASIS</v>
      </c>
      <c r="T49" s="1" t="str">
        <f aca="false">IF($Q49=0,"",INDEX(BD_INSPECCION!C:C,$Q49))</f>
        <v>PM2 - 2000 KM</v>
      </c>
      <c r="U49" s="1" t="str">
        <f aca="false">IF($Q49=0,"",INDEX(BD_INSPECCION!D:D,$Q49))</f>
        <v>ENCENDIDO</v>
      </c>
    </row>
    <row r="50" customFormat="false" ht="22.35" hidden="false" customHeight="false" outlineLevel="0" collapsed="false">
      <c r="A50" s="1" t="n">
        <f aca="false">IFERROR(MATCH($C$9&amp;"|32",BD_PLAN!$J:$J,0),0)</f>
        <v>34</v>
      </c>
      <c r="B50" s="10" t="str">
        <f aca="false">IF($A50=0,"",IF($R50&lt;&gt;$R49,LEFT($R50,FIND(" ",$R50)-1),""))</f>
        <v/>
      </c>
      <c r="C50" s="10" t="str">
        <f aca="false">IF($A50=0,"",IF($R50&lt;&gt;$R49,INDEX(BD_CICLO!$E:$E,MATCH($C$9&amp;"|"&amp;$R50,BD_CICLO!$G:$G,0))&amp;" "&amp;$F$6,""))</f>
        <v/>
      </c>
      <c r="D50" s="11" t="str">
        <f aca="false">IF($A50=0,"",IF($R50&lt;&gt;$R49,IFERROR(1/(1/SUMPRODUCT(MAX((REGISTRO!$C$3:$C$2002=$C$6)*(REGISTRO!$H$3:$H$2002=$R50)*REGISTRO!$B$3:$B$2002))),""),""))</f>
        <v/>
      </c>
      <c r="E50" s="12" t="str">
        <f aca="false">IF($A50=0,"",IF(OR($R50&lt;&gt;$R49,$S50&lt;&gt;$S49),$S50,""))</f>
        <v>SERVICIO GENERAL</v>
      </c>
      <c r="F50" s="13" t="str">
        <f aca="false">IF($A50=0,"",INDEX(BD_PLAN!E:E,$A50))</f>
        <v>TRAPO INDUSTRIAL</v>
      </c>
      <c r="G50" s="14" t="n">
        <f aca="false">IF($A50=0,"",INDEX(BD_PLAN!F:F,$A50))</f>
        <v>0.5</v>
      </c>
      <c r="H50" s="12" t="str">
        <f aca="false">IF($A50=0,"",INDEX(BD_PLAN!G:G,$A50))</f>
        <v>KG</v>
      </c>
      <c r="I50" s="15" t="n">
        <f aca="false">IF($A50=0,"",INDEX(BD_PLAN!H:H,$A50))</f>
        <v>4.5</v>
      </c>
      <c r="J50" s="15" t="n">
        <f aca="false">IF($A50=0,"",INDEX(BD_PLAN!I:I,$A50))</f>
        <v>2.25</v>
      </c>
      <c r="K50" s="16" t="str">
        <f aca="false">IF($A50=0,"",IF($R50&lt;&gt;$R49,SUMIFS(BD_PLAN!$I$3:$I$312,BD_PLAN!$B$3:$B$312,$C$9,BD_PLAN!$C$3:$C$312,$R50),""))</f>
        <v/>
      </c>
      <c r="M50" s="10" t="str">
        <f aca="false">IF($Q50=0,"",IF($T50&lt;&gt;$T49,$T50,""))</f>
        <v/>
      </c>
      <c r="N50" s="12" t="str">
        <f aca="false">IF($Q50=0,"",IF(OR($T50&lt;&gt;$T49,$U50&lt;&gt;$U49),$U50,""))</f>
        <v>TRANSMISIÓN</v>
      </c>
      <c r="O50" s="12" t="str">
        <f aca="false">IF($Q50=0,"",INDEX(BD_INSPECCION!E:E,$Q50))</f>
        <v>INSPECCIONAR</v>
      </c>
      <c r="P50" s="13" t="str">
        <f aca="false">IF($Q50=0,"",INDEX(BD_INSPECCION!F:F,$Q50))</f>
        <v>EMBRAGUE (JUEGO LIBRE DEL CABLE) Y CAMBIOS</v>
      </c>
      <c r="Q50" s="1" t="n">
        <f aca="false">IFERROR(MATCH($C$9&amp;"|32",BD_INSPECCION!$G:$G,0),0)</f>
        <v>34</v>
      </c>
      <c r="R50" s="1" t="str">
        <f aca="false">IF($A50=0,"",INDEX(BD_PLAN!C:C,$A50))</f>
        <v>PM5 - 5000 KM</v>
      </c>
      <c r="S50" s="1" t="str">
        <f aca="false">IF($A50=0,"",INDEX(BD_PLAN!D:D,$A50))</f>
        <v>SERVICIO GENERAL</v>
      </c>
      <c r="T50" s="1" t="str">
        <f aca="false">IF($Q50=0,"",INDEX(BD_INSPECCION!C:C,$Q50))</f>
        <v>PM2 - 2000 KM</v>
      </c>
      <c r="U50" s="1" t="str">
        <f aca="false">IF($Q50=0,"",INDEX(BD_INSPECCION!D:D,$Q50))</f>
        <v>TRANSMISIÓN</v>
      </c>
    </row>
    <row r="51" customFormat="false" ht="22.35" hidden="false" customHeight="false" outlineLevel="0" collapsed="false">
      <c r="A51" s="1" t="n">
        <f aca="false">IFERROR(MATCH($C$9&amp;"|33",BD_PLAN!$J:$J,0),0)</f>
        <v>35</v>
      </c>
      <c r="B51" s="10" t="str">
        <f aca="false">IF($A51=0,"",IF($R51&lt;&gt;$R50,LEFT($R51,FIND(" ",$R51)-1),""))</f>
        <v/>
      </c>
      <c r="C51" s="10" t="str">
        <f aca="false">IF($A51=0,"",IF($R51&lt;&gt;$R50,INDEX(BD_CICLO!$E:$E,MATCH($C$9&amp;"|"&amp;$R51,BD_CICLO!$G:$G,0))&amp;" "&amp;$F$6,""))</f>
        <v/>
      </c>
      <c r="D51" s="11" t="str">
        <f aca="false">IF($A51=0,"",IF($R51&lt;&gt;$R50,IFERROR(1/(1/SUMPRODUCT(MAX((REGISTRO!$C$3:$C$2002=$C$6)*(REGISTRO!$H$3:$H$2002=$R51)*REGISTRO!$B$3:$B$2002))),""),""))</f>
        <v/>
      </c>
      <c r="E51" s="12" t="str">
        <f aca="false">IF($A51=0,"",IF(OR($R51&lt;&gt;$R50,$S51&lt;&gt;$S50),$S51,""))</f>
        <v/>
      </c>
      <c r="F51" s="13" t="str">
        <f aca="false">IF($A51=0,"",INDEX(BD_PLAN!E:E,$A51))</f>
        <v>GASOLINA 90 OCT</v>
      </c>
      <c r="G51" s="14" t="n">
        <f aca="false">IF($A51=0,"",INDEX(BD_PLAN!F:F,$A51))</f>
        <v>0.25</v>
      </c>
      <c r="H51" s="12" t="str">
        <f aca="false">IF($A51=0,"",INDEX(BD_PLAN!G:G,$A51))</f>
        <v>GL</v>
      </c>
      <c r="I51" s="15" t="n">
        <f aca="false">IF($A51=0,"",INDEX(BD_PLAN!H:H,$A51))</f>
        <v>24</v>
      </c>
      <c r="J51" s="15" t="n">
        <f aca="false">IF($A51=0,"",INDEX(BD_PLAN!I:I,$A51))</f>
        <v>6</v>
      </c>
      <c r="K51" s="16" t="str">
        <f aca="false">IF($A51=0,"",IF($R51&lt;&gt;$R50,SUMIFS(BD_PLAN!$I$3:$I$312,BD_PLAN!$B$3:$B$312,$C$9,BD_PLAN!$C$3:$C$312,$R51),""))</f>
        <v/>
      </c>
      <c r="M51" s="10" t="str">
        <f aca="false">IF($Q51=0,"",IF($T51&lt;&gt;$T50,$T51,""))</f>
        <v/>
      </c>
      <c r="N51" s="12" t="str">
        <f aca="false">IF($Q51=0,"",IF(OR($T51&lt;&gt;$T50,$U51&lt;&gt;$U50),$U51,""))</f>
        <v>CARDÁN</v>
      </c>
      <c r="O51" s="12" t="str">
        <f aca="false">IF($Q51=0,"",INDEX(BD_INSPECCION!E:E,$Q51))</f>
        <v>INSPECCIONAR</v>
      </c>
      <c r="P51" s="13" t="str">
        <f aca="false">IF($Q51=0,"",INDEX(BD_INSPECCION!F:F,$Q51))</f>
        <v>CRUCETAS (JUEGO) Y GUARDAPOLVOS</v>
      </c>
      <c r="Q51" s="1" t="n">
        <f aca="false">IFERROR(MATCH($C$9&amp;"|33",BD_INSPECCION!$G:$G,0),0)</f>
        <v>35</v>
      </c>
      <c r="R51" s="1" t="str">
        <f aca="false">IF($A51=0,"",INDEX(BD_PLAN!C:C,$A51))</f>
        <v>PM5 - 5000 KM</v>
      </c>
      <c r="S51" s="1" t="str">
        <f aca="false">IF($A51=0,"",INDEX(BD_PLAN!D:D,$A51))</f>
        <v>SERVICIO GENERAL</v>
      </c>
      <c r="T51" s="1" t="str">
        <f aca="false">IF($Q51=0,"",INDEX(BD_INSPECCION!C:C,$Q51))</f>
        <v>PM2 - 2000 KM</v>
      </c>
      <c r="U51" s="1" t="str">
        <f aca="false">IF($Q51=0,"",INDEX(BD_INSPECCION!D:D,$Q51))</f>
        <v>CARDÁN</v>
      </c>
    </row>
    <row r="52" customFormat="false" ht="15" hidden="false" customHeight="false" outlineLevel="0" collapsed="false">
      <c r="A52" s="1" t="n">
        <f aca="false">IFERROR(MATCH($C$9&amp;"|34",BD_PLAN!$J:$J,0),0)</f>
        <v>36</v>
      </c>
      <c r="B52" s="10" t="str">
        <f aca="false">IF($A52=0,"",IF($R52&lt;&gt;$R51,LEFT($R52,FIND(" ",$R52)-1),""))</f>
        <v/>
      </c>
      <c r="C52" s="10" t="str">
        <f aca="false">IF($A52=0,"",IF($R52&lt;&gt;$R51,INDEX(BD_CICLO!$E:$E,MATCH($C$9&amp;"|"&amp;$R52,BD_CICLO!$G:$G,0))&amp;" "&amp;$F$6,""))</f>
        <v/>
      </c>
      <c r="D52" s="11" t="str">
        <f aca="false">IF($A52=0,"",IF($R52&lt;&gt;$R51,IFERROR(1/(1/SUMPRODUCT(MAX((REGISTRO!$C$3:$C$2002=$C$6)*(REGISTRO!$H$3:$H$2002=$R52)*REGISTRO!$B$3:$B$2002))),""),""))</f>
        <v/>
      </c>
      <c r="E52" s="12" t="str">
        <f aca="false">IF($A52=0,"",IF(OR($R52&lt;&gt;$R51,$S52&lt;&gt;$S51),$S52,""))</f>
        <v>COMBUSTIBLE</v>
      </c>
      <c r="F52" s="13" t="str">
        <f aca="false">IF($A52=0,"",INDEX(BD_PLAN!E:E,$A52))</f>
        <v>LIMPIA CARBURADOR</v>
      </c>
      <c r="G52" s="14" t="n">
        <f aca="false">IF($A52=0,"",INDEX(BD_PLAN!F:F,$A52))</f>
        <v>0.5</v>
      </c>
      <c r="H52" s="12" t="str">
        <f aca="false">IF($A52=0,"",INDEX(BD_PLAN!G:G,$A52))</f>
        <v>UND.</v>
      </c>
      <c r="I52" s="15" t="n">
        <f aca="false">IF($A52=0,"",INDEX(BD_PLAN!H:H,$A52))</f>
        <v>15</v>
      </c>
      <c r="J52" s="15" t="n">
        <f aca="false">IF($A52=0,"",INDEX(BD_PLAN!I:I,$A52))</f>
        <v>7.5</v>
      </c>
      <c r="K52" s="16" t="str">
        <f aca="false">IF($A52=0,"",IF($R52&lt;&gt;$R51,SUMIFS(BD_PLAN!$I$3:$I$312,BD_PLAN!$B$3:$B$312,$C$9,BD_PLAN!$C$3:$C$312,$R52),""))</f>
        <v/>
      </c>
      <c r="M52" s="10" t="str">
        <f aca="false">IF($Q52=0,"",IF($T52&lt;&gt;$T51,$T52,""))</f>
        <v/>
      </c>
      <c r="N52" s="12" t="str">
        <f aca="false">IF($Q52=0,"",IF(OR($T52&lt;&gt;$T51,$U52&lt;&gt;$U51),$U52,""))</f>
        <v/>
      </c>
      <c r="O52" s="12" t="str">
        <f aca="false">IF($Q52=0,"",INDEX(BD_INSPECCION!E:E,$Q52))</f>
        <v>LUBRICAR</v>
      </c>
      <c r="P52" s="13" t="str">
        <f aca="false">IF($Q52=0,"",INDEX(BD_INSPECCION!F:F,$Q52))</f>
        <v>CRUCETAS Y ESTRIADO DEL CARDÁN</v>
      </c>
      <c r="Q52" s="1" t="n">
        <f aca="false">IFERROR(MATCH($C$9&amp;"|34",BD_INSPECCION!$G:$G,0),0)</f>
        <v>36</v>
      </c>
      <c r="R52" s="1" t="str">
        <f aca="false">IF($A52=0,"",INDEX(BD_PLAN!C:C,$A52))</f>
        <v>PM5 - 5000 KM</v>
      </c>
      <c r="S52" s="1" t="str">
        <f aca="false">IF($A52=0,"",INDEX(BD_PLAN!D:D,$A52))</f>
        <v>COMBUSTIBLE</v>
      </c>
      <c r="T52" s="1" t="str">
        <f aca="false">IF($Q52=0,"",INDEX(BD_INSPECCION!C:C,$Q52))</f>
        <v>PM2 - 2000 KM</v>
      </c>
      <c r="U52" s="1" t="str">
        <f aca="false">IF($Q52=0,"",INDEX(BD_INSPECCION!D:D,$Q52))</f>
        <v>CARDÁN</v>
      </c>
    </row>
    <row r="53" customFormat="false" ht="22.35" hidden="false" customHeight="false" outlineLevel="0" collapsed="false">
      <c r="A53" s="1" t="n">
        <f aca="false">IFERROR(MATCH($C$9&amp;"|35",BD_PLAN!$J:$J,0),0)</f>
        <v>37</v>
      </c>
      <c r="B53" s="10" t="str">
        <f aca="false">IF($A53=0,"",IF($R53&lt;&gt;$R52,LEFT($R53,FIND(" ",$R53)-1),""))</f>
        <v>PM6</v>
      </c>
      <c r="C53" s="10" t="str">
        <f aca="false">IF($A53=0,"",IF($R53&lt;&gt;$R52,INDEX(BD_CICLO!$E:$E,MATCH($C$9&amp;"|"&amp;$R53,BD_CICLO!$G:$G,0))&amp;" "&amp;$F$6,""))</f>
        <v>6000 KM</v>
      </c>
      <c r="D53" s="11" t="str">
        <f aca="false">IF($A53=0,"",IF($R53&lt;&gt;$R52,IFERROR(1/(1/SUMPRODUCT(MAX((REGISTRO!$C$3:$C$2002=$C$6)*(REGISTRO!$H$3:$H$2002=$R53)*REGISTRO!$B$3:$B$2002))),""),""))</f>
        <v/>
      </c>
      <c r="E53" s="12" t="str">
        <f aca="false">IF($A53=0,"",IF(OR($R53&lt;&gt;$R52,$S53&lt;&gt;$S52),$S53,""))</f>
        <v>MOTOR</v>
      </c>
      <c r="F53" s="13" t="str">
        <f aca="false">IF($A53=0,"",INDEX(BD_PLAN!E:E,$A53))</f>
        <v>ACEITE MOTOR 20W50 4T MINERAL</v>
      </c>
      <c r="G53" s="14" t="n">
        <f aca="false">IF($A53=0,"",INDEX(BD_PLAN!F:F,$A53))</f>
        <v>1.5</v>
      </c>
      <c r="H53" s="12" t="str">
        <f aca="false">IF($A53=0,"",INDEX(BD_PLAN!G:G,$A53))</f>
        <v>L</v>
      </c>
      <c r="I53" s="15" t="n">
        <f aca="false">IF($A53=0,"",INDEX(BD_PLAN!H:H,$A53))</f>
        <v>20</v>
      </c>
      <c r="J53" s="15" t="n">
        <f aca="false">IF($A53=0,"",INDEX(BD_PLAN!I:I,$A53))</f>
        <v>30</v>
      </c>
      <c r="K53" s="16" t="n">
        <f aca="false">IF($A53=0,"",IF($R53&lt;&gt;$R52,SUMIFS(BD_PLAN!$I$3:$I$312,BD_PLAN!$B$3:$B$312,$C$9,BD_PLAN!$C$3:$C$312,$R53),""))</f>
        <v>130.25</v>
      </c>
      <c r="M53" s="10" t="str">
        <f aca="false">IF($Q53=0,"",IF($T53&lt;&gt;$T52,$T53,""))</f>
        <v/>
      </c>
      <c r="N53" s="12" t="str">
        <f aca="false">IF($Q53=0,"",IF(OR($T53&lt;&gt;$T52,$U53&lt;&gt;$U52),$U53,""))</f>
        <v>DIFERENCIAL</v>
      </c>
      <c r="O53" s="12" t="str">
        <f aca="false">IF($Q53=0,"",INDEX(BD_INSPECCION!E:E,$Q53))</f>
        <v>INSPECCIONAR</v>
      </c>
      <c r="P53" s="13" t="str">
        <f aca="false">IF($Q53=0,"",INDEX(BD_INSPECCION!F:F,$Q53))</f>
        <v>NIVEL DE ACEITE Y FUGAS</v>
      </c>
      <c r="Q53" s="1" t="n">
        <f aca="false">IFERROR(MATCH($C$9&amp;"|35",BD_INSPECCION!$G:$G,0),0)</f>
        <v>37</v>
      </c>
      <c r="R53" s="1" t="str">
        <f aca="false">IF($A53=0,"",INDEX(BD_PLAN!C:C,$A53))</f>
        <v>PM6 - 6000 KM</v>
      </c>
      <c r="S53" s="1" t="str">
        <f aca="false">IF($A53=0,"",INDEX(BD_PLAN!D:D,$A53))</f>
        <v>MOTOR</v>
      </c>
      <c r="T53" s="1" t="str">
        <f aca="false">IF($Q53=0,"",INDEX(BD_INSPECCION!C:C,$Q53))</f>
        <v>PM2 - 2000 KM</v>
      </c>
      <c r="U53" s="1" t="str">
        <f aca="false">IF($Q53=0,"",INDEX(BD_INSPECCION!D:D,$Q53))</f>
        <v>DIFERENCIAL</v>
      </c>
    </row>
    <row r="54" customFormat="false" ht="22.35" hidden="false" customHeight="false" outlineLevel="0" collapsed="false">
      <c r="A54" s="1" t="n">
        <f aca="false">IFERROR(MATCH($C$9&amp;"|36",BD_PLAN!$J:$J,0),0)</f>
        <v>38</v>
      </c>
      <c r="B54" s="10" t="str">
        <f aca="false">IF($A54=0,"",IF($R54&lt;&gt;$R53,LEFT($R54,FIND(" ",$R54)-1),""))</f>
        <v/>
      </c>
      <c r="C54" s="10" t="str">
        <f aca="false">IF($A54=0,"",IF($R54&lt;&gt;$R53,INDEX(BD_CICLO!$E:$E,MATCH($C$9&amp;"|"&amp;$R54,BD_CICLO!$G:$G,0))&amp;" "&amp;$F$6,""))</f>
        <v/>
      </c>
      <c r="D54" s="11" t="str">
        <f aca="false">IF($A54=0,"",IF($R54&lt;&gt;$R53,IFERROR(1/(1/SUMPRODUCT(MAX((REGISTRO!$C$3:$C$2002=$C$6)*(REGISTRO!$H$3:$H$2002=$R54)*REGISTRO!$B$3:$B$2002))),""),""))</f>
        <v/>
      </c>
      <c r="E54" s="12" t="str">
        <f aca="false">IF($A54=0,"",IF(OR($R54&lt;&gt;$R53,$S54&lt;&gt;$S53),$S54,""))</f>
        <v/>
      </c>
      <c r="F54" s="13" t="str">
        <f aca="false">IF($A54=0,"",INDEX(BD_PLAN!E:E,$A54))</f>
        <v>ARANDELA TAPÓN DE DRENAJE</v>
      </c>
      <c r="G54" s="14" t="n">
        <f aca="false">IF($A54=0,"",INDEX(BD_PLAN!F:F,$A54))</f>
        <v>1</v>
      </c>
      <c r="H54" s="12" t="str">
        <f aca="false">IF($A54=0,"",INDEX(BD_PLAN!G:G,$A54))</f>
        <v>UND.</v>
      </c>
      <c r="I54" s="15" t="n">
        <f aca="false">IF($A54=0,"",INDEX(BD_PLAN!H:H,$A54))</f>
        <v>2</v>
      </c>
      <c r="J54" s="15" t="n">
        <f aca="false">IF($A54=0,"",INDEX(BD_PLAN!I:I,$A54))</f>
        <v>2</v>
      </c>
      <c r="K54" s="16" t="str">
        <f aca="false">IF($A54=0,"",IF($R54&lt;&gt;$R53,SUMIFS(BD_PLAN!$I$3:$I$312,BD_PLAN!$B$3:$B$312,$C$9,BD_PLAN!$C$3:$C$312,$R54),""))</f>
        <v/>
      </c>
      <c r="M54" s="10" t="str">
        <f aca="false">IF($Q54=0,"",IF($T54&lt;&gt;$T53,$T54,""))</f>
        <v/>
      </c>
      <c r="N54" s="12" t="str">
        <f aca="false">IF($Q54=0,"",IF(OR($T54&lt;&gt;$T53,$U54&lt;&gt;$U53),$U54,""))</f>
        <v/>
      </c>
      <c r="O54" s="12" t="str">
        <f aca="false">IF($Q54=0,"",INDEX(BD_INSPECCION!E:E,$Q54))</f>
        <v>INSPECCIONAR</v>
      </c>
      <c r="P54" s="13" t="str">
        <f aca="false">IF($Q54=0,"",INDEX(BD_INSPECCION!F:F,$Q54))</f>
        <v>RUIDOS Y RESPIRADERO</v>
      </c>
      <c r="Q54" s="1" t="n">
        <f aca="false">IFERROR(MATCH($C$9&amp;"|36",BD_INSPECCION!$G:$G,0),0)</f>
        <v>38</v>
      </c>
      <c r="R54" s="1" t="str">
        <f aca="false">IF($A54=0,"",INDEX(BD_PLAN!C:C,$A54))</f>
        <v>PM6 - 6000 KM</v>
      </c>
      <c r="S54" s="1" t="str">
        <f aca="false">IF($A54=0,"",INDEX(BD_PLAN!D:D,$A54))</f>
        <v>MOTOR</v>
      </c>
      <c r="T54" s="1" t="str">
        <f aca="false">IF($Q54=0,"",INDEX(BD_INSPECCION!C:C,$Q54))</f>
        <v>PM2 - 2000 KM</v>
      </c>
      <c r="U54" s="1" t="str">
        <f aca="false">IF($Q54=0,"",INDEX(BD_INSPECCION!D:D,$Q54))</f>
        <v>DIFERENCIAL</v>
      </c>
    </row>
    <row r="55" customFormat="false" ht="22.35" hidden="false" customHeight="false" outlineLevel="0" collapsed="false">
      <c r="A55" s="1" t="n">
        <f aca="false">IFERROR(MATCH($C$9&amp;"|37",BD_PLAN!$J:$J,0),0)</f>
        <v>39</v>
      </c>
      <c r="B55" s="10" t="str">
        <f aca="false">IF($A55=0,"",IF($R55&lt;&gt;$R54,LEFT($R55,FIND(" ",$R55)-1),""))</f>
        <v/>
      </c>
      <c r="C55" s="10" t="str">
        <f aca="false">IF($A55=0,"",IF($R55&lt;&gt;$R54,INDEX(BD_CICLO!$E:$E,MATCH($C$9&amp;"|"&amp;$R55,BD_CICLO!$G:$G,0))&amp;" "&amp;$F$6,""))</f>
        <v/>
      </c>
      <c r="D55" s="11" t="str">
        <f aca="false">IF($A55=0,"",IF($R55&lt;&gt;$R54,IFERROR(1/(1/SUMPRODUCT(MAX((REGISTRO!$C$3:$C$2002=$C$6)*(REGISTRO!$H$3:$H$2002=$R55)*REGISTRO!$B$3:$B$2002))),""),""))</f>
        <v/>
      </c>
      <c r="E55" s="12" t="str">
        <f aca="false">IF($A55=0,"",IF(OR($R55&lt;&gt;$R54,$S55&lt;&gt;$S54),$S55,""))</f>
        <v>COMBUSTIBLE</v>
      </c>
      <c r="F55" s="13" t="str">
        <f aca="false">IF($A55=0,"",INDEX(BD_PLAN!E:E,$A55))</f>
        <v>FILTRO DE GASOLINA EN LÍNEA</v>
      </c>
      <c r="G55" s="14" t="n">
        <f aca="false">IF($A55=0,"",INDEX(BD_PLAN!F:F,$A55))</f>
        <v>1</v>
      </c>
      <c r="H55" s="12" t="str">
        <f aca="false">IF($A55=0,"",INDEX(BD_PLAN!G:G,$A55))</f>
        <v>UND.</v>
      </c>
      <c r="I55" s="15" t="n">
        <f aca="false">IF($A55=0,"",INDEX(BD_PLAN!H:H,$A55))</f>
        <v>8</v>
      </c>
      <c r="J55" s="15" t="n">
        <f aca="false">IF($A55=0,"",INDEX(BD_PLAN!I:I,$A55))</f>
        <v>8</v>
      </c>
      <c r="K55" s="16" t="str">
        <f aca="false">IF($A55=0,"",IF($R55&lt;&gt;$R54,SUMIFS(BD_PLAN!$I$3:$I$312,BD_PLAN!$B$3:$B$312,$C$9,BD_PLAN!$C$3:$C$312,$R55),""))</f>
        <v/>
      </c>
      <c r="M55" s="10" t="str">
        <f aca="false">IF($Q55=0,"",IF($T55&lt;&gt;$T54,$T55,""))</f>
        <v/>
      </c>
      <c r="N55" s="12" t="str">
        <f aca="false">IF($Q55=0,"",IF(OR($T55&lt;&gt;$T54,$U55&lt;&gt;$U54),$U55,""))</f>
        <v>EJES / RODAJES</v>
      </c>
      <c r="O55" s="12" t="str">
        <f aca="false">IF($Q55=0,"",INDEX(BD_INSPECCION!E:E,$Q55))</f>
        <v>INSPECCIONAR</v>
      </c>
      <c r="P55" s="13" t="str">
        <f aca="false">IF($Q55=0,"",INDEX(BD_INSPECCION!F:F,$Q55))</f>
        <v>PALIERES, RODAJES DE RUEDA Y RETENES (JUEGO, RUIDO Y FUGAS)</v>
      </c>
      <c r="Q55" s="1" t="n">
        <f aca="false">IFERROR(MATCH($C$9&amp;"|37",BD_INSPECCION!$G:$G,0),0)</f>
        <v>39</v>
      </c>
      <c r="R55" s="1" t="str">
        <f aca="false">IF($A55=0,"",INDEX(BD_PLAN!C:C,$A55))</f>
        <v>PM6 - 6000 KM</v>
      </c>
      <c r="S55" s="1" t="str">
        <f aca="false">IF($A55=0,"",INDEX(BD_PLAN!D:D,$A55))</f>
        <v>COMBUSTIBLE</v>
      </c>
      <c r="T55" s="1" t="str">
        <f aca="false">IF($Q55=0,"",INDEX(BD_INSPECCION!C:C,$Q55))</f>
        <v>PM2 - 2000 KM</v>
      </c>
      <c r="U55" s="1" t="str">
        <f aca="false">IF($Q55=0,"",INDEX(BD_INSPECCION!D:D,$Q55))</f>
        <v>EJES / RODAJES</v>
      </c>
    </row>
    <row r="56" customFormat="false" ht="22.35" hidden="false" customHeight="false" outlineLevel="0" collapsed="false">
      <c r="A56" s="1" t="n">
        <f aca="false">IFERROR(MATCH($C$9&amp;"|38",BD_PLAN!$J:$J,0),0)</f>
        <v>40</v>
      </c>
      <c r="B56" s="10" t="str">
        <f aca="false">IF($A56=0,"",IF($R56&lt;&gt;$R55,LEFT($R56,FIND(" ",$R56)-1),""))</f>
        <v/>
      </c>
      <c r="C56" s="10" t="str">
        <f aca="false">IF($A56=0,"",IF($R56&lt;&gt;$R55,INDEX(BD_CICLO!$E:$E,MATCH($C$9&amp;"|"&amp;$R56,BD_CICLO!$G:$G,0))&amp;" "&amp;$F$6,""))</f>
        <v/>
      </c>
      <c r="D56" s="11" t="str">
        <f aca="false">IF($A56=0,"",IF($R56&lt;&gt;$R55,IFERROR(1/(1/SUMPRODUCT(MAX((REGISTRO!$C$3:$C$2002=$C$6)*(REGISTRO!$H$3:$H$2002=$R56)*REGISTRO!$B$3:$B$2002))),""),""))</f>
        <v/>
      </c>
      <c r="E56" s="12" t="str">
        <f aca="false">IF($A56=0,"",IF(OR($R56&lt;&gt;$R55,$S56&lt;&gt;$S55),$S56,""))</f>
        <v/>
      </c>
      <c r="F56" s="13" t="str">
        <f aca="false">IF($A56=0,"",INDEX(BD_PLAN!E:E,$A56))</f>
        <v>LIMPIA CARBURADOR</v>
      </c>
      <c r="G56" s="14" t="n">
        <f aca="false">IF($A56=0,"",INDEX(BD_PLAN!F:F,$A56))</f>
        <v>0.5</v>
      </c>
      <c r="H56" s="12" t="str">
        <f aca="false">IF($A56=0,"",INDEX(BD_PLAN!G:G,$A56))</f>
        <v>UND.</v>
      </c>
      <c r="I56" s="15" t="n">
        <f aca="false">IF($A56=0,"",INDEX(BD_PLAN!H:H,$A56))</f>
        <v>15</v>
      </c>
      <c r="J56" s="15" t="n">
        <f aca="false">IF($A56=0,"",INDEX(BD_PLAN!I:I,$A56))</f>
        <v>7.5</v>
      </c>
      <c r="K56" s="16" t="str">
        <f aca="false">IF($A56=0,"",IF($R56&lt;&gt;$R55,SUMIFS(BD_PLAN!$I$3:$I$312,BD_PLAN!$B$3:$B$312,$C$9,BD_PLAN!$C$3:$C$312,$R56),""))</f>
        <v/>
      </c>
      <c r="M56" s="10" t="str">
        <f aca="false">IF($Q56=0,"",IF($T56&lt;&gt;$T55,$T56,""))</f>
        <v/>
      </c>
      <c r="N56" s="12" t="str">
        <f aca="false">IF($Q56=0,"",IF(OR($T56&lt;&gt;$T55,$U56&lt;&gt;$U55),$U56,""))</f>
        <v>FRENOS</v>
      </c>
      <c r="O56" s="12" t="str">
        <f aca="false">IF($Q56=0,"",INDEX(BD_INSPECCION!E:E,$Q56))</f>
        <v>INSPECCIONAR</v>
      </c>
      <c r="P56" s="13" t="str">
        <f aca="false">IF($Q56=0,"",INDEX(BD_INSPECCION!F:F,$Q56))</f>
        <v>ZAPATAS, TAMBORES, CABLES Y JUEGO LIBRE DE PALANCA Y PEDAL</v>
      </c>
      <c r="Q56" s="1" t="n">
        <f aca="false">IFERROR(MATCH($C$9&amp;"|38",BD_INSPECCION!$G:$G,0),0)</f>
        <v>40</v>
      </c>
      <c r="R56" s="1" t="str">
        <f aca="false">IF($A56=0,"",INDEX(BD_PLAN!C:C,$A56))</f>
        <v>PM6 - 6000 KM</v>
      </c>
      <c r="S56" s="1" t="str">
        <f aca="false">IF($A56=0,"",INDEX(BD_PLAN!D:D,$A56))</f>
        <v>COMBUSTIBLE</v>
      </c>
      <c r="T56" s="1" t="str">
        <f aca="false">IF($Q56=0,"",INDEX(BD_INSPECCION!C:C,$Q56))</f>
        <v>PM2 - 2000 KM</v>
      </c>
      <c r="U56" s="1" t="str">
        <f aca="false">IF($Q56=0,"",INDEX(BD_INSPECCION!D:D,$Q56))</f>
        <v>FRENOS</v>
      </c>
    </row>
    <row r="57" customFormat="false" ht="22.35" hidden="false" customHeight="false" outlineLevel="0" collapsed="false">
      <c r="A57" s="1" t="n">
        <f aca="false">IFERROR(MATCH($C$9&amp;"|39",BD_PLAN!$J:$J,0),0)</f>
        <v>41</v>
      </c>
      <c r="B57" s="10" t="str">
        <f aca="false">IF($A57=0,"",IF($R57&lt;&gt;$R56,LEFT($R57,FIND(" ",$R57)-1),""))</f>
        <v/>
      </c>
      <c r="C57" s="10" t="str">
        <f aca="false">IF($A57=0,"",IF($R57&lt;&gt;$R56,INDEX(BD_CICLO!$E:$E,MATCH($C$9&amp;"|"&amp;$R57,BD_CICLO!$G:$G,0))&amp;" "&amp;$F$6,""))</f>
        <v/>
      </c>
      <c r="D57" s="11" t="str">
        <f aca="false">IF($A57=0,"",IF($R57&lt;&gt;$R56,IFERROR(1/(1/SUMPRODUCT(MAX((REGISTRO!$C$3:$C$2002=$C$6)*(REGISTRO!$H$3:$H$2002=$R57)*REGISTRO!$B$3:$B$2002))),""),""))</f>
        <v/>
      </c>
      <c r="E57" s="12" t="str">
        <f aca="false">IF($A57=0,"",IF(OR($R57&lt;&gt;$R56,$S57&lt;&gt;$S56),$S57,""))</f>
        <v>ADMISIÓN DE AIRE</v>
      </c>
      <c r="F57" s="13" t="str">
        <f aca="false">IF($A57=0,"",INDEX(BD_PLAN!E:E,$A57))</f>
        <v>FILTRO DE AIRE MAVILA CARGO 250</v>
      </c>
      <c r="G57" s="14" t="n">
        <f aca="false">IF($A57=0,"",INDEX(BD_PLAN!F:F,$A57))</f>
        <v>1</v>
      </c>
      <c r="H57" s="12" t="str">
        <f aca="false">IF($A57=0,"",INDEX(BD_PLAN!G:G,$A57))</f>
        <v>UND.</v>
      </c>
      <c r="I57" s="15" t="n">
        <f aca="false">IF($A57=0,"",INDEX(BD_PLAN!H:H,$A57))</f>
        <v>30</v>
      </c>
      <c r="J57" s="15" t="n">
        <f aca="false">IF($A57=0,"",INDEX(BD_PLAN!I:I,$A57))</f>
        <v>30</v>
      </c>
      <c r="K57" s="16" t="str">
        <f aca="false">IF($A57=0,"",IF($R57&lt;&gt;$R56,SUMIFS(BD_PLAN!$I$3:$I$312,BD_PLAN!$B$3:$B$312,$C$9,BD_PLAN!$C$3:$C$312,$R57),""))</f>
        <v/>
      </c>
      <c r="M57" s="10" t="str">
        <f aca="false">IF($Q57=0,"",IF($T57&lt;&gt;$T56,$T57,""))</f>
        <v/>
      </c>
      <c r="N57" s="12" t="str">
        <f aca="false">IF($Q57=0,"",IF(OR($T57&lt;&gt;$T56,$U57&lt;&gt;$U56),$U57,""))</f>
        <v>DIRECCIÓN</v>
      </c>
      <c r="O57" s="12" t="str">
        <f aca="false">IF($Q57=0,"",INDEX(BD_INSPECCION!E:E,$Q57))</f>
        <v>INSPECCIONAR</v>
      </c>
      <c r="P57" s="13" t="str">
        <f aca="false">IF($Q57=0,"",INDEX(BD_INSPECCION!F:F,$Q57))</f>
        <v>RODAJES DE DIRECCIÓN Y JUEGO DEL TIMÓN</v>
      </c>
      <c r="Q57" s="1" t="n">
        <f aca="false">IFERROR(MATCH($C$9&amp;"|39",BD_INSPECCION!$G:$G,0),0)</f>
        <v>41</v>
      </c>
      <c r="R57" s="1" t="str">
        <f aca="false">IF($A57=0,"",INDEX(BD_PLAN!C:C,$A57))</f>
        <v>PM6 - 6000 KM</v>
      </c>
      <c r="S57" s="1" t="str">
        <f aca="false">IF($A57=0,"",INDEX(BD_PLAN!D:D,$A57))</f>
        <v>ADMISIÓN DE AIRE</v>
      </c>
      <c r="T57" s="1" t="str">
        <f aca="false">IF($Q57=0,"",INDEX(BD_INSPECCION!C:C,$Q57))</f>
        <v>PM2 - 2000 KM</v>
      </c>
      <c r="U57" s="1" t="str">
        <f aca="false">IF($Q57=0,"",INDEX(BD_INSPECCION!D:D,$Q57))</f>
        <v>DIRECCIÓN</v>
      </c>
    </row>
    <row r="58" customFormat="false" ht="15" hidden="false" customHeight="false" outlineLevel="0" collapsed="false">
      <c r="A58" s="1" t="n">
        <f aca="false">IFERROR(MATCH($C$9&amp;"|40",BD_PLAN!$J:$J,0),0)</f>
        <v>42</v>
      </c>
      <c r="B58" s="10" t="str">
        <f aca="false">IF($A58=0,"",IF($R58&lt;&gt;$R57,LEFT($R58,FIND(" ",$R58)-1),""))</f>
        <v/>
      </c>
      <c r="C58" s="10" t="str">
        <f aca="false">IF($A58=0,"",IF($R58&lt;&gt;$R57,INDEX(BD_CICLO!$E:$E,MATCH($C$9&amp;"|"&amp;$R58,BD_CICLO!$G:$G,0))&amp;" "&amp;$F$6,""))</f>
        <v/>
      </c>
      <c r="D58" s="11" t="str">
        <f aca="false">IF($A58=0,"",IF($R58&lt;&gt;$R57,IFERROR(1/(1/SUMPRODUCT(MAX((REGISTRO!$C$3:$C$2002=$C$6)*(REGISTRO!$H$3:$H$2002=$R58)*REGISTRO!$B$3:$B$2002))),""),""))</f>
        <v/>
      </c>
      <c r="E58" s="12" t="str">
        <f aca="false">IF($A58=0,"",IF(OR($R58&lt;&gt;$R57,$S58&lt;&gt;$S57),$S58,""))</f>
        <v>ENCENDIDO</v>
      </c>
      <c r="F58" s="13" t="str">
        <f aca="false">IF($A58=0,"",INDEX(BD_PLAN!E:E,$A58))</f>
        <v>BUJÍA MAVILA CARGO 250</v>
      </c>
      <c r="G58" s="14" t="n">
        <f aca="false">IF($A58=0,"",INDEX(BD_PLAN!F:F,$A58))</f>
        <v>1</v>
      </c>
      <c r="H58" s="12" t="str">
        <f aca="false">IF($A58=0,"",INDEX(BD_PLAN!G:G,$A58))</f>
        <v>UND.</v>
      </c>
      <c r="I58" s="15" t="n">
        <f aca="false">IF($A58=0,"",INDEX(BD_PLAN!H:H,$A58))</f>
        <v>12</v>
      </c>
      <c r="J58" s="15" t="n">
        <f aca="false">IF($A58=0,"",INDEX(BD_PLAN!I:I,$A58))</f>
        <v>12</v>
      </c>
      <c r="K58" s="16" t="str">
        <f aca="false">IF($A58=0,"",IF($R58&lt;&gt;$R57,SUMIFS(BD_PLAN!$I$3:$I$312,BD_PLAN!$B$3:$B$312,$C$9,BD_PLAN!$C$3:$C$312,$R58),""))</f>
        <v/>
      </c>
      <c r="M58" s="10" t="str">
        <f aca="false">IF($Q58=0,"",IF($T58&lt;&gt;$T57,$T58,""))</f>
        <v/>
      </c>
      <c r="N58" s="12" t="str">
        <f aca="false">IF($Q58=0,"",IF(OR($T58&lt;&gt;$T57,$U58&lt;&gt;$U57),$U58,""))</f>
        <v/>
      </c>
      <c r="O58" s="12" t="str">
        <f aca="false">IF($Q58=0,"",INDEX(BD_INSPECCION!E:E,$Q58))</f>
        <v>LUBRICAR</v>
      </c>
      <c r="P58" s="13" t="str">
        <f aca="false">IF($Q58=0,"",INDEX(BD_INSPECCION!F:F,$Q58))</f>
        <v>RODAJES DE DIRECCIÓN</v>
      </c>
      <c r="Q58" s="1" t="n">
        <f aca="false">IFERROR(MATCH($C$9&amp;"|40",BD_INSPECCION!$G:$G,0),0)</f>
        <v>42</v>
      </c>
      <c r="R58" s="1" t="str">
        <f aca="false">IF($A58=0,"",INDEX(BD_PLAN!C:C,$A58))</f>
        <v>PM6 - 6000 KM</v>
      </c>
      <c r="S58" s="1" t="str">
        <f aca="false">IF($A58=0,"",INDEX(BD_PLAN!D:D,$A58))</f>
        <v>ENCENDIDO</v>
      </c>
      <c r="T58" s="1" t="str">
        <f aca="false">IF($Q58=0,"",INDEX(BD_INSPECCION!C:C,$Q58))</f>
        <v>PM2 - 2000 KM</v>
      </c>
      <c r="U58" s="1" t="str">
        <f aca="false">IF($Q58=0,"",INDEX(BD_INSPECCION!D:D,$Q58))</f>
        <v>DIRECCIÓN</v>
      </c>
    </row>
    <row r="59" customFormat="false" ht="22.35" hidden="false" customHeight="false" outlineLevel="0" collapsed="false">
      <c r="A59" s="1" t="n">
        <f aca="false">IFERROR(MATCH($C$9&amp;"|41",BD_PLAN!$J:$J,0),0)</f>
        <v>43</v>
      </c>
      <c r="B59" s="10" t="str">
        <f aca="false">IF($A59=0,"",IF($R59&lt;&gt;$R58,LEFT($R59,FIND(" ",$R59)-1),""))</f>
        <v/>
      </c>
      <c r="C59" s="10" t="str">
        <f aca="false">IF($A59=0,"",IF($R59&lt;&gt;$R58,INDEX(BD_CICLO!$E:$E,MATCH($C$9&amp;"|"&amp;$R59,BD_CICLO!$G:$G,0))&amp;" "&amp;$F$6,""))</f>
        <v/>
      </c>
      <c r="D59" s="11" t="str">
        <f aca="false">IF($A59=0,"",IF($R59&lt;&gt;$R58,IFERROR(1/(1/SUMPRODUCT(MAX((REGISTRO!$C$3:$C$2002=$C$6)*(REGISTRO!$H$3:$H$2002=$R59)*REGISTRO!$B$3:$B$2002))),""),""))</f>
        <v/>
      </c>
      <c r="E59" s="12" t="str">
        <f aca="false">IF($A59=0,"",IF(OR($R59&lt;&gt;$R58,$S59&lt;&gt;$S58),$S59,""))</f>
        <v>DIFERENCIAL</v>
      </c>
      <c r="F59" s="13" t="str">
        <f aca="false">IF($A59=0,"",INDEX(BD_PLAN!E:E,$A59))</f>
        <v>ACEITE DIFERENCIAL 80W90</v>
      </c>
      <c r="G59" s="14" t="n">
        <f aca="false">IF($A59=0,"",INDEX(BD_PLAN!F:F,$A59))</f>
        <v>1</v>
      </c>
      <c r="H59" s="12" t="str">
        <f aca="false">IF($A59=0,"",INDEX(BD_PLAN!G:G,$A59))</f>
        <v>L</v>
      </c>
      <c r="I59" s="15" t="n">
        <f aca="false">IF($A59=0,"",INDEX(BD_PLAN!H:H,$A59))</f>
        <v>25</v>
      </c>
      <c r="J59" s="15" t="n">
        <f aca="false">IF($A59=0,"",INDEX(BD_PLAN!I:I,$A59))</f>
        <v>25</v>
      </c>
      <c r="K59" s="16" t="str">
        <f aca="false">IF($A59=0,"",IF($R59&lt;&gt;$R58,SUMIFS(BD_PLAN!$I$3:$I$312,BD_PLAN!$B$3:$B$312,$C$9,BD_PLAN!$C$3:$C$312,$R59),""))</f>
        <v/>
      </c>
      <c r="M59" s="10" t="str">
        <f aca="false">IF($Q59=0,"",IF($T59&lt;&gt;$T58,$T59,""))</f>
        <v/>
      </c>
      <c r="N59" s="12" t="str">
        <f aca="false">IF($Q59=0,"",IF(OR($T59&lt;&gt;$T58,$U59&lt;&gt;$U58),$U59,""))</f>
        <v>SUSPENSIÓN DELANTERA</v>
      </c>
      <c r="O59" s="12" t="str">
        <f aca="false">IF($Q59=0,"",INDEX(BD_INSPECCION!E:E,$Q59))</f>
        <v>INSPECCIONAR</v>
      </c>
      <c r="P59" s="13" t="str">
        <f aca="false">IF($Q59=0,"",INDEX(BD_INSPECCION!F:F,$Q59))</f>
        <v>HORQUILLAS: FUGAS DE RETENES Y FUNCIONAMIENTO</v>
      </c>
      <c r="Q59" s="1" t="n">
        <f aca="false">IFERROR(MATCH($C$9&amp;"|41",BD_INSPECCION!$G:$G,0),0)</f>
        <v>43</v>
      </c>
      <c r="R59" s="1" t="str">
        <f aca="false">IF($A59=0,"",INDEX(BD_PLAN!C:C,$A59))</f>
        <v>PM6 - 6000 KM</v>
      </c>
      <c r="S59" s="1" t="str">
        <f aca="false">IF($A59=0,"",INDEX(BD_PLAN!D:D,$A59))</f>
        <v>DIFERENCIAL</v>
      </c>
      <c r="T59" s="1" t="str">
        <f aca="false">IF($Q59=0,"",INDEX(BD_INSPECCION!C:C,$Q59))</f>
        <v>PM2 - 2000 KM</v>
      </c>
      <c r="U59" s="1" t="str">
        <f aca="false">IF($Q59=0,"",INDEX(BD_INSPECCION!D:D,$Q59))</f>
        <v>SUSPENSIÓN DELANTERA</v>
      </c>
    </row>
    <row r="60" customFormat="false" ht="22.35" hidden="false" customHeight="false" outlineLevel="0" collapsed="false">
      <c r="A60" s="1" t="n">
        <f aca="false">IFERROR(MATCH($C$9&amp;"|42",BD_PLAN!$J:$J,0),0)</f>
        <v>44</v>
      </c>
      <c r="B60" s="10" t="str">
        <f aca="false">IF($A60=0,"",IF($R60&lt;&gt;$R59,LEFT($R60,FIND(" ",$R60)-1),""))</f>
        <v/>
      </c>
      <c r="C60" s="10" t="str">
        <f aca="false">IF($A60=0,"",IF($R60&lt;&gt;$R59,INDEX(BD_CICLO!$E:$E,MATCH($C$9&amp;"|"&amp;$R60,BD_CICLO!$G:$G,0))&amp;" "&amp;$F$6,""))</f>
        <v/>
      </c>
      <c r="D60" s="11" t="str">
        <f aca="false">IF($A60=0,"",IF($R60&lt;&gt;$R59,IFERROR(1/(1/SUMPRODUCT(MAX((REGISTRO!$C$3:$C$2002=$C$6)*(REGISTRO!$H$3:$H$2002=$R60)*REGISTRO!$B$3:$B$2002))),""),""))</f>
        <v/>
      </c>
      <c r="E60" s="12" t="str">
        <f aca="false">IF($A60=0,"",IF(OR($R60&lt;&gt;$R59,$S60&lt;&gt;$S59),$S60,""))</f>
        <v>CHASIS</v>
      </c>
      <c r="F60" s="13" t="str">
        <f aca="false">IF($A60=0,"",INDEX(BD_PLAN!E:E,$A60))</f>
        <v>GRASA MULTIPROPÓSITO</v>
      </c>
      <c r="G60" s="14" t="n">
        <f aca="false">IF($A60=0,"",INDEX(BD_PLAN!F:F,$A60))</f>
        <v>0.5</v>
      </c>
      <c r="H60" s="12" t="str">
        <f aca="false">IF($A60=0,"",INDEX(BD_PLAN!G:G,$A60))</f>
        <v>LBRS</v>
      </c>
      <c r="I60" s="15" t="n">
        <f aca="false">IF($A60=0,"",INDEX(BD_PLAN!H:H,$A60))</f>
        <v>15</v>
      </c>
      <c r="J60" s="15" t="n">
        <f aca="false">IF($A60=0,"",INDEX(BD_PLAN!I:I,$A60))</f>
        <v>7.5</v>
      </c>
      <c r="K60" s="16" t="str">
        <f aca="false">IF($A60=0,"",IF($R60&lt;&gt;$R59,SUMIFS(BD_PLAN!$I$3:$I$312,BD_PLAN!$B$3:$B$312,$C$9,BD_PLAN!$C$3:$C$312,$R60),""))</f>
        <v/>
      </c>
      <c r="M60" s="10" t="str">
        <f aca="false">IF($Q60=0,"",IF($T60&lt;&gt;$T59,$T60,""))</f>
        <v/>
      </c>
      <c r="N60" s="12" t="str">
        <f aca="false">IF($Q60=0,"",IF(OR($T60&lt;&gt;$T59,$U60&lt;&gt;$U59),$U60,""))</f>
        <v>SUSPENSIÓN TRASERA</v>
      </c>
      <c r="O60" s="12" t="str">
        <f aca="false">IF($Q60=0,"",INDEX(BD_INSPECCION!E:E,$Q60))</f>
        <v>INSPECCIONAR</v>
      </c>
      <c r="P60" s="13" t="str">
        <f aca="false">IF($Q60=0,"",INDEX(BD_INSPECCION!F:F,$Q60))</f>
        <v>MUELLES (HOJAS ROTAS), ABRAZADERAS, BUJES Y AMORTIGUADOR</v>
      </c>
      <c r="Q60" s="1" t="n">
        <f aca="false">IFERROR(MATCH($C$9&amp;"|42",BD_INSPECCION!$G:$G,0),0)</f>
        <v>44</v>
      </c>
      <c r="R60" s="1" t="str">
        <f aca="false">IF($A60=0,"",INDEX(BD_PLAN!C:C,$A60))</f>
        <v>PM6 - 6000 KM</v>
      </c>
      <c r="S60" s="1" t="str">
        <f aca="false">IF($A60=0,"",INDEX(BD_PLAN!D:D,$A60))</f>
        <v>CHASIS</v>
      </c>
      <c r="T60" s="1" t="str">
        <f aca="false">IF($Q60=0,"",INDEX(BD_INSPECCION!C:C,$Q60))</f>
        <v>PM2 - 2000 KM</v>
      </c>
      <c r="U60" s="1" t="str">
        <f aca="false">IF($Q60=0,"",INDEX(BD_INSPECCION!D:D,$Q60))</f>
        <v>SUSPENSIÓN TRASERA</v>
      </c>
    </row>
    <row r="61" customFormat="false" ht="15" hidden="false" customHeight="false" outlineLevel="0" collapsed="false">
      <c r="A61" s="1" t="n">
        <f aca="false">IFERROR(MATCH($C$9&amp;"|43",BD_PLAN!$J:$J,0),0)</f>
        <v>45</v>
      </c>
      <c r="B61" s="10" t="str">
        <f aca="false">IF($A61=0,"",IF($R61&lt;&gt;$R60,LEFT($R61,FIND(" ",$R61)-1),""))</f>
        <v/>
      </c>
      <c r="C61" s="10" t="str">
        <f aca="false">IF($A61=0,"",IF($R61&lt;&gt;$R60,INDEX(BD_CICLO!$E:$E,MATCH($C$9&amp;"|"&amp;$R61,BD_CICLO!$G:$G,0))&amp;" "&amp;$F$6,""))</f>
        <v/>
      </c>
      <c r="D61" s="11" t="str">
        <f aca="false">IF($A61=0,"",IF($R61&lt;&gt;$R60,IFERROR(1/(1/SUMPRODUCT(MAX((REGISTRO!$C$3:$C$2002=$C$6)*(REGISTRO!$H$3:$H$2002=$R61)*REGISTRO!$B$3:$B$2002))),""),""))</f>
        <v/>
      </c>
      <c r="E61" s="12" t="str">
        <f aca="false">IF($A61=0,"",IF(OR($R61&lt;&gt;$R60,$S61&lt;&gt;$S60),$S61,""))</f>
        <v>SERVICIO GENERAL</v>
      </c>
      <c r="F61" s="13" t="str">
        <f aca="false">IF($A61=0,"",INDEX(BD_PLAN!E:E,$A61))</f>
        <v>TRAPO INDUSTRIAL</v>
      </c>
      <c r="G61" s="14" t="n">
        <f aca="false">IF($A61=0,"",INDEX(BD_PLAN!F:F,$A61))</f>
        <v>0.5</v>
      </c>
      <c r="H61" s="12" t="str">
        <f aca="false">IF($A61=0,"",INDEX(BD_PLAN!G:G,$A61))</f>
        <v>KG</v>
      </c>
      <c r="I61" s="15" t="n">
        <f aca="false">IF($A61=0,"",INDEX(BD_PLAN!H:H,$A61))</f>
        <v>4.5</v>
      </c>
      <c r="J61" s="15" t="n">
        <f aca="false">IF($A61=0,"",INDEX(BD_PLAN!I:I,$A61))</f>
        <v>2.25</v>
      </c>
      <c r="K61" s="16" t="str">
        <f aca="false">IF($A61=0,"",IF($R61&lt;&gt;$R60,SUMIFS(BD_PLAN!$I$3:$I$312,BD_PLAN!$B$3:$B$312,$C$9,BD_PLAN!$C$3:$C$312,$R61),""))</f>
        <v/>
      </c>
      <c r="M61" s="10" t="str">
        <f aca="false">IF($Q61=0,"",IF($T61&lt;&gt;$T60,$T61,""))</f>
        <v/>
      </c>
      <c r="N61" s="12" t="str">
        <f aca="false">IF($Q61=0,"",IF(OR($T61&lt;&gt;$T60,$U61&lt;&gt;$U60),$U61,""))</f>
        <v>CONTROLES</v>
      </c>
      <c r="O61" s="12" t="str">
        <f aca="false">IF($Q61=0,"",INDEX(BD_INSPECCION!E:E,$Q61))</f>
        <v>LUBRICAR</v>
      </c>
      <c r="P61" s="13" t="str">
        <f aca="false">IF($Q61=0,"",INDEX(BD_INSPECCION!F:F,$Q61))</f>
        <v>MANIJAS Y CABLES DE FRENO, EMBRAGUE Y ACELERADOR</v>
      </c>
      <c r="Q61" s="1" t="n">
        <f aca="false">IFERROR(MATCH($C$9&amp;"|43",BD_INSPECCION!$G:$G,0),0)</f>
        <v>45</v>
      </c>
      <c r="R61" s="1" t="str">
        <f aca="false">IF($A61=0,"",INDEX(BD_PLAN!C:C,$A61))</f>
        <v>PM6 - 6000 KM</v>
      </c>
      <c r="S61" s="1" t="str">
        <f aca="false">IF($A61=0,"",INDEX(BD_PLAN!D:D,$A61))</f>
        <v>SERVICIO GENERAL</v>
      </c>
      <c r="T61" s="1" t="str">
        <f aca="false">IF($Q61=0,"",INDEX(BD_INSPECCION!C:C,$Q61))</f>
        <v>PM2 - 2000 KM</v>
      </c>
      <c r="U61" s="1" t="str">
        <f aca="false">IF($Q61=0,"",INDEX(BD_INSPECCION!D:D,$Q61))</f>
        <v>CONTROLES</v>
      </c>
    </row>
    <row r="62" customFormat="false" ht="22.35" hidden="false" customHeight="false" outlineLevel="0" collapsed="false">
      <c r="A62" s="1" t="n">
        <f aca="false">IFERROR(MATCH($C$9&amp;"|44",BD_PLAN!$J:$J,0),0)</f>
        <v>46</v>
      </c>
      <c r="B62" s="10" t="str">
        <f aca="false">IF($A62=0,"",IF($R62&lt;&gt;$R61,LEFT($R62,FIND(" ",$R62)-1),""))</f>
        <v/>
      </c>
      <c r="C62" s="10" t="str">
        <f aca="false">IF($A62=0,"",IF($R62&lt;&gt;$R61,INDEX(BD_CICLO!$E:$E,MATCH($C$9&amp;"|"&amp;$R62,BD_CICLO!$G:$G,0))&amp;" "&amp;$F$6,""))</f>
        <v/>
      </c>
      <c r="D62" s="11" t="str">
        <f aca="false">IF($A62=0,"",IF($R62&lt;&gt;$R61,IFERROR(1/(1/SUMPRODUCT(MAX((REGISTRO!$C$3:$C$2002=$C$6)*(REGISTRO!$H$3:$H$2002=$R62)*REGISTRO!$B$3:$B$2002))),""),""))</f>
        <v/>
      </c>
      <c r="E62" s="12" t="str">
        <f aca="false">IF($A62=0,"",IF(OR($R62&lt;&gt;$R61,$S62&lt;&gt;$S61),$S62,""))</f>
        <v/>
      </c>
      <c r="F62" s="13" t="str">
        <f aca="false">IF($A62=0,"",INDEX(BD_PLAN!E:E,$A62))</f>
        <v>GASOLINA 90 OCT</v>
      </c>
      <c r="G62" s="14" t="n">
        <f aca="false">IF($A62=0,"",INDEX(BD_PLAN!F:F,$A62))</f>
        <v>0.25</v>
      </c>
      <c r="H62" s="12" t="str">
        <f aca="false">IF($A62=0,"",INDEX(BD_PLAN!G:G,$A62))</f>
        <v>GL</v>
      </c>
      <c r="I62" s="15" t="n">
        <f aca="false">IF($A62=0,"",INDEX(BD_PLAN!H:H,$A62))</f>
        <v>24</v>
      </c>
      <c r="J62" s="15" t="n">
        <f aca="false">IF($A62=0,"",INDEX(BD_PLAN!I:I,$A62))</f>
        <v>6</v>
      </c>
      <c r="K62" s="16" t="str">
        <f aca="false">IF($A62=0,"",IF($R62&lt;&gt;$R61,SUMIFS(BD_PLAN!$I$3:$I$312,BD_PLAN!$B$3:$B$312,$C$9,BD_PLAN!$C$3:$C$312,$R62),""))</f>
        <v/>
      </c>
      <c r="M62" s="10" t="str">
        <f aca="false">IF($Q62=0,"",IF($T62&lt;&gt;$T61,$T62,""))</f>
        <v/>
      </c>
      <c r="N62" s="12" t="str">
        <f aca="false">IF($Q62=0,"",IF(OR($T62&lt;&gt;$T61,$U62&lt;&gt;$U61),$U62,""))</f>
        <v>RUEDAS</v>
      </c>
      <c r="O62" s="12" t="str">
        <f aca="false">IF($Q62=0,"",INDEX(BD_INSPECCION!E:E,$Q62))</f>
        <v>INSPECCIONAR</v>
      </c>
      <c r="P62" s="13" t="str">
        <f aca="false">IF($Q62=0,"",INDEX(BD_INSPECCION!F:F,$Q62))</f>
        <v>PRESIÓN, DESGASTE DE LLANTAS Y AJUSTE DE TUERCAS</v>
      </c>
      <c r="Q62" s="1" t="n">
        <f aca="false">IFERROR(MATCH($C$9&amp;"|44",BD_INSPECCION!$G:$G,0),0)</f>
        <v>46</v>
      </c>
      <c r="R62" s="1" t="str">
        <f aca="false">IF($A62=0,"",INDEX(BD_PLAN!C:C,$A62))</f>
        <v>PM6 - 6000 KM</v>
      </c>
      <c r="S62" s="1" t="str">
        <f aca="false">IF($A62=0,"",INDEX(BD_PLAN!D:D,$A62))</f>
        <v>SERVICIO GENERAL</v>
      </c>
      <c r="T62" s="1" t="str">
        <f aca="false">IF($Q62=0,"",INDEX(BD_INSPECCION!C:C,$Q62))</f>
        <v>PM2 - 2000 KM</v>
      </c>
      <c r="U62" s="1" t="str">
        <f aca="false">IF($Q62=0,"",INDEX(BD_INSPECCION!D:D,$Q62))</f>
        <v>RUEDAS</v>
      </c>
    </row>
    <row r="63" customFormat="false" ht="22.35" hidden="false" customHeight="false" outlineLevel="0" collapsed="false">
      <c r="A63" s="1" t="n">
        <f aca="false">IFERROR(MATCH($C$9&amp;"|45",BD_PLAN!$J:$J,0),0)</f>
        <v>0</v>
      </c>
      <c r="B63" s="10" t="str">
        <f aca="false">IF($A63=0,"",IF($R63&lt;&gt;$R62,LEFT($R63,FIND(" ",$R63)-1),""))</f>
        <v/>
      </c>
      <c r="C63" s="10" t="str">
        <f aca="false">IF($A63=0,"",IF($R63&lt;&gt;$R62,INDEX(BD_CICLO!$E:$E,MATCH($C$9&amp;"|"&amp;$R63,BD_CICLO!$G:$G,0))&amp;" "&amp;$F$6,""))</f>
        <v/>
      </c>
      <c r="D63" s="11" t="str">
        <f aca="false">IF($A63=0,"",IF($R63&lt;&gt;$R62,IFERROR(1/(1/SUMPRODUCT(MAX((REGISTRO!$C$3:$C$2002=$C$6)*(REGISTRO!$H$3:$H$2002=$R63)*REGISTRO!$B$3:$B$2002))),""),""))</f>
        <v/>
      </c>
      <c r="E63" s="12" t="str">
        <f aca="false">IF($A63=0,"",IF(OR($R63&lt;&gt;$R62,$S63&lt;&gt;$S62),$S63,""))</f>
        <v/>
      </c>
      <c r="F63" s="13" t="str">
        <f aca="false">IF($A63=0,"",INDEX(BD_PLAN!E:E,$A63))</f>
        <v/>
      </c>
      <c r="G63" s="14" t="str">
        <f aca="false">IF($A63=0,"",INDEX(BD_PLAN!F:F,$A63))</f>
        <v/>
      </c>
      <c r="H63" s="12" t="str">
        <f aca="false">IF($A63=0,"",INDEX(BD_PLAN!G:G,$A63))</f>
        <v/>
      </c>
      <c r="I63" s="15" t="str">
        <f aca="false">IF($A63=0,"",INDEX(BD_PLAN!H:H,$A63))</f>
        <v/>
      </c>
      <c r="J63" s="15" t="str">
        <f aca="false">IF($A63=0,"",INDEX(BD_PLAN!I:I,$A63))</f>
        <v/>
      </c>
      <c r="K63" s="16" t="str">
        <f aca="false">IF($A63=0,"",IF($R63&lt;&gt;$R62,SUMIFS(BD_PLAN!$I$3:$I$312,BD_PLAN!$B$3:$B$312,$C$9,BD_PLAN!$C$3:$C$312,$R63),""))</f>
        <v/>
      </c>
      <c r="M63" s="10" t="str">
        <f aca="false">IF($Q63=0,"",IF($T63&lt;&gt;$T62,$T63,""))</f>
        <v/>
      </c>
      <c r="N63" s="12" t="str">
        <f aca="false">IF($Q63=0,"",IF(OR($T63&lt;&gt;$T62,$U63&lt;&gt;$U62),$U63,""))</f>
        <v>SISTEMA ELÉCTRICO</v>
      </c>
      <c r="O63" s="12" t="str">
        <f aca="false">IF($Q63=0,"",INDEX(BD_INSPECCION!E:E,$Q63))</f>
        <v>INSPECCIONAR</v>
      </c>
      <c r="P63" s="13" t="str">
        <f aca="false">IF($Q63=0,"",INDEX(BD_INSPECCION!F:F,$Q63))</f>
        <v>BATERÍA, BORNES, LUCES, CLAXON E INTERRUPTORES</v>
      </c>
      <c r="Q63" s="1" t="n">
        <f aca="false">IFERROR(MATCH($C$9&amp;"|45",BD_INSPECCION!$G:$G,0),0)</f>
        <v>47</v>
      </c>
      <c r="R63" s="1" t="str">
        <f aca="false">IF($A63=0,"",INDEX(BD_PLAN!C:C,$A63))</f>
        <v/>
      </c>
      <c r="S63" s="1" t="str">
        <f aca="false">IF($A63=0,"",INDEX(BD_PLAN!D:D,$A63))</f>
        <v/>
      </c>
      <c r="T63" s="1" t="str">
        <f aca="false">IF($Q63=0,"",INDEX(BD_INSPECCION!C:C,$Q63))</f>
        <v>PM2 - 2000 KM</v>
      </c>
      <c r="U63" s="1" t="str">
        <f aca="false">IF($Q63=0,"",INDEX(BD_INSPECCION!D:D,$Q63))</f>
        <v>SISTEMA ELÉCTRICO</v>
      </c>
    </row>
    <row r="64" customFormat="false" ht="22.35" hidden="false" customHeight="false" outlineLevel="0" collapsed="false">
      <c r="A64" s="1" t="n">
        <f aca="false">IFERROR(MATCH($C$9&amp;"|46",BD_PLAN!$J:$J,0),0)</f>
        <v>0</v>
      </c>
      <c r="B64" s="10" t="str">
        <f aca="false">IF($A64=0,"",IF($R64&lt;&gt;$R63,LEFT($R64,FIND(" ",$R64)-1),""))</f>
        <v/>
      </c>
      <c r="C64" s="10" t="str">
        <f aca="false">IF($A64=0,"",IF($R64&lt;&gt;$R63,INDEX(BD_CICLO!$E:$E,MATCH($C$9&amp;"|"&amp;$R64,BD_CICLO!$G:$G,0))&amp;" "&amp;$F$6,""))</f>
        <v/>
      </c>
      <c r="D64" s="11" t="str">
        <f aca="false">IF($A64=0,"",IF($R64&lt;&gt;$R63,IFERROR(1/(1/SUMPRODUCT(MAX((REGISTRO!$C$3:$C$2002=$C$6)*(REGISTRO!$H$3:$H$2002=$R64)*REGISTRO!$B$3:$B$2002))),""),""))</f>
        <v/>
      </c>
      <c r="E64" s="12" t="str">
        <f aca="false">IF($A64=0,"",IF(OR($R64&lt;&gt;$R63,$S64&lt;&gt;$S63),$S64,""))</f>
        <v/>
      </c>
      <c r="F64" s="13" t="str">
        <f aca="false">IF($A64=0,"",INDEX(BD_PLAN!E:E,$A64))</f>
        <v/>
      </c>
      <c r="G64" s="14" t="str">
        <f aca="false">IF($A64=0,"",INDEX(BD_PLAN!F:F,$A64))</f>
        <v/>
      </c>
      <c r="H64" s="12" t="str">
        <f aca="false">IF($A64=0,"",INDEX(BD_PLAN!G:G,$A64))</f>
        <v/>
      </c>
      <c r="I64" s="15" t="str">
        <f aca="false">IF($A64=0,"",INDEX(BD_PLAN!H:H,$A64))</f>
        <v/>
      </c>
      <c r="J64" s="15" t="str">
        <f aca="false">IF($A64=0,"",INDEX(BD_PLAN!I:I,$A64))</f>
        <v/>
      </c>
      <c r="K64" s="16" t="str">
        <f aca="false">IF($A64=0,"",IF($R64&lt;&gt;$R63,SUMIFS(BD_PLAN!$I$3:$I$312,BD_PLAN!$B$3:$B$312,$C$9,BD_PLAN!$C$3:$C$312,$R64),""))</f>
        <v/>
      </c>
      <c r="M64" s="10" t="str">
        <f aca="false">IF($Q64=0,"",IF($T64&lt;&gt;$T63,$T64,""))</f>
        <v/>
      </c>
      <c r="N64" s="12" t="str">
        <f aca="false">IF($Q64=0,"",IF(OR($T64&lt;&gt;$T63,$U64&lt;&gt;$U63),$U64,""))</f>
        <v>CHASIS / TOLVA</v>
      </c>
      <c r="O64" s="12" t="str">
        <f aca="false">IF($Q64=0,"",INDEX(BD_INSPECCION!E:E,$Q64))</f>
        <v>INSPECCIONAR</v>
      </c>
      <c r="P64" s="13" t="str">
        <f aca="false">IF($Q64=0,"",INDEX(BD_INSPECCION!F:F,$Q64))</f>
        <v>SOLDADURAS, PERNOS DE TOLVA Y BASTIDOR</v>
      </c>
      <c r="Q64" s="1" t="n">
        <f aca="false">IFERROR(MATCH($C$9&amp;"|46",BD_INSPECCION!$G:$G,0),0)</f>
        <v>48</v>
      </c>
      <c r="R64" s="1" t="str">
        <f aca="false">IF($A64=0,"",INDEX(BD_PLAN!C:C,$A64))</f>
        <v/>
      </c>
      <c r="S64" s="1" t="str">
        <f aca="false">IF($A64=0,"",INDEX(BD_PLAN!D:D,$A64))</f>
        <v/>
      </c>
      <c r="T64" s="1" t="str">
        <f aca="false">IF($Q64=0,"",INDEX(BD_INSPECCION!C:C,$Q64))</f>
        <v>PM2 - 2000 KM</v>
      </c>
      <c r="U64" s="1" t="str">
        <f aca="false">IF($Q64=0,"",INDEX(BD_INSPECCION!D:D,$Q64))</f>
        <v>CHASIS / TOLVA</v>
      </c>
    </row>
    <row r="65" customFormat="false" ht="22.35" hidden="false" customHeight="false" outlineLevel="0" collapsed="false">
      <c r="A65" s="1" t="n">
        <f aca="false">IFERROR(MATCH($C$9&amp;"|47",BD_PLAN!$J:$J,0),0)</f>
        <v>0</v>
      </c>
      <c r="B65" s="10" t="str">
        <f aca="false">IF($A65=0,"",IF($R65&lt;&gt;$R64,LEFT($R65,FIND(" ",$R65)-1),""))</f>
        <v/>
      </c>
      <c r="C65" s="10" t="str">
        <f aca="false">IF($A65=0,"",IF($R65&lt;&gt;$R64,INDEX(BD_CICLO!$E:$E,MATCH($C$9&amp;"|"&amp;$R65,BD_CICLO!$G:$G,0))&amp;" "&amp;$F$6,""))</f>
        <v/>
      </c>
      <c r="D65" s="11" t="str">
        <f aca="false">IF($A65=0,"",IF($R65&lt;&gt;$R64,IFERROR(1/(1/SUMPRODUCT(MAX((REGISTRO!$C$3:$C$2002=$C$6)*(REGISTRO!$H$3:$H$2002=$R65)*REGISTRO!$B$3:$B$2002))),""),""))</f>
        <v/>
      </c>
      <c r="E65" s="12" t="str">
        <f aca="false">IF($A65=0,"",IF(OR($R65&lt;&gt;$R64,$S65&lt;&gt;$S64),$S65,""))</f>
        <v/>
      </c>
      <c r="F65" s="13" t="str">
        <f aca="false">IF($A65=0,"",INDEX(BD_PLAN!E:E,$A65))</f>
        <v/>
      </c>
      <c r="G65" s="14" t="str">
        <f aca="false">IF($A65=0,"",INDEX(BD_PLAN!F:F,$A65))</f>
        <v/>
      </c>
      <c r="H65" s="12" t="str">
        <f aca="false">IF($A65=0,"",INDEX(BD_PLAN!G:G,$A65))</f>
        <v/>
      </c>
      <c r="I65" s="15" t="str">
        <f aca="false">IF($A65=0,"",INDEX(BD_PLAN!H:H,$A65))</f>
        <v/>
      </c>
      <c r="J65" s="15" t="str">
        <f aca="false">IF($A65=0,"",INDEX(BD_PLAN!I:I,$A65))</f>
        <v/>
      </c>
      <c r="K65" s="16" t="str">
        <f aca="false">IF($A65=0,"",IF($R65&lt;&gt;$R64,SUMIFS(BD_PLAN!$I$3:$I$312,BD_PLAN!$B$3:$B$312,$C$9,BD_PLAN!$C$3:$C$312,$R65),""))</f>
        <v/>
      </c>
      <c r="M65" s="10" t="str">
        <f aca="false">IF($Q65=0,"",IF($T65&lt;&gt;$T64,$T65,""))</f>
        <v>PM3 - 3000 KM</v>
      </c>
      <c r="N65" s="12" t="str">
        <f aca="false">IF($Q65=0,"",IF(OR($T65&lt;&gt;$T64,$U65&lt;&gt;$U64),$U65,""))</f>
        <v>MOTOR</v>
      </c>
      <c r="O65" s="12" t="str">
        <f aca="false">IF($Q65=0,"",INDEX(BD_INSPECCION!E:E,$Q65))</f>
        <v>INSPECCIONAR</v>
      </c>
      <c r="P65" s="13" t="str">
        <f aca="false">IF($Q65=0,"",INDEX(BD_INSPECCION!F:F,$Q65))</f>
        <v>LUZ DE VÁLVULAS (REGULAR SI ES NECESARIO)</v>
      </c>
      <c r="Q65" s="1" t="n">
        <f aca="false">IFERROR(MATCH($C$9&amp;"|47",BD_INSPECCION!$G:$G,0),0)</f>
        <v>49</v>
      </c>
      <c r="R65" s="1" t="str">
        <f aca="false">IF($A65=0,"",INDEX(BD_PLAN!C:C,$A65))</f>
        <v/>
      </c>
      <c r="S65" s="1" t="str">
        <f aca="false">IF($A65=0,"",INDEX(BD_PLAN!D:D,$A65))</f>
        <v/>
      </c>
      <c r="T65" s="1" t="str">
        <f aca="false">IF($Q65=0,"",INDEX(BD_INSPECCION!C:C,$Q65))</f>
        <v>PM3 - 3000 KM</v>
      </c>
      <c r="U65" s="1" t="str">
        <f aca="false">IF($Q65=0,"",INDEX(BD_INSPECCION!D:D,$Q65))</f>
        <v>MOTOR</v>
      </c>
    </row>
    <row r="66" customFormat="false" ht="22.35" hidden="false" customHeight="false" outlineLevel="0" collapsed="false">
      <c r="A66" s="1" t="n">
        <f aca="false">IFERROR(MATCH($C$9&amp;"|48",BD_PLAN!$J:$J,0),0)</f>
        <v>0</v>
      </c>
      <c r="B66" s="10" t="str">
        <f aca="false">IF($A66=0,"",IF($R66&lt;&gt;$R65,LEFT($R66,FIND(" ",$R66)-1),""))</f>
        <v/>
      </c>
      <c r="C66" s="10" t="str">
        <f aca="false">IF($A66=0,"",IF($R66&lt;&gt;$R65,INDEX(BD_CICLO!$E:$E,MATCH($C$9&amp;"|"&amp;$R66,BD_CICLO!$G:$G,0))&amp;" "&amp;$F$6,""))</f>
        <v/>
      </c>
      <c r="D66" s="11" t="str">
        <f aca="false">IF($A66=0,"",IF($R66&lt;&gt;$R65,IFERROR(1/(1/SUMPRODUCT(MAX((REGISTRO!$C$3:$C$2002=$C$6)*(REGISTRO!$H$3:$H$2002=$R66)*REGISTRO!$B$3:$B$2002))),""),""))</f>
        <v/>
      </c>
      <c r="E66" s="12" t="str">
        <f aca="false">IF($A66=0,"",IF(OR($R66&lt;&gt;$R65,$S66&lt;&gt;$S65),$S66,""))</f>
        <v/>
      </c>
      <c r="F66" s="13" t="str">
        <f aca="false">IF($A66=0,"",INDEX(BD_PLAN!E:E,$A66))</f>
        <v/>
      </c>
      <c r="G66" s="14" t="str">
        <f aca="false">IF($A66=0,"",INDEX(BD_PLAN!F:F,$A66))</f>
        <v/>
      </c>
      <c r="H66" s="12" t="str">
        <f aca="false">IF($A66=0,"",INDEX(BD_PLAN!G:G,$A66))</f>
        <v/>
      </c>
      <c r="I66" s="15" t="str">
        <f aca="false">IF($A66=0,"",INDEX(BD_PLAN!H:H,$A66))</f>
        <v/>
      </c>
      <c r="J66" s="15" t="str">
        <f aca="false">IF($A66=0,"",INDEX(BD_PLAN!I:I,$A66))</f>
        <v/>
      </c>
      <c r="K66" s="16" t="str">
        <f aca="false">IF($A66=0,"",IF($R66&lt;&gt;$R65,SUMIFS(BD_PLAN!$I$3:$I$312,BD_PLAN!$B$3:$B$312,$C$9,BD_PLAN!$C$3:$C$312,$R66),""))</f>
        <v/>
      </c>
      <c r="M66" s="10" t="str">
        <f aca="false">IF($Q66=0,"",IF($T66&lt;&gt;$T65,$T66,""))</f>
        <v/>
      </c>
      <c r="N66" s="12" t="str">
        <f aca="false">IF($Q66=0,"",IF(OR($T66&lt;&gt;$T65,$U66&lt;&gt;$U65),$U66,""))</f>
        <v/>
      </c>
      <c r="O66" s="12" t="str">
        <f aca="false">IF($Q66=0,"",INDEX(BD_INSPECCION!E:E,$Q66))</f>
        <v>INSPECCIONAR</v>
      </c>
      <c r="P66" s="13" t="str">
        <f aca="false">IF($Q66=0,"",INDEX(BD_INSPECCION!F:F,$Q66))</f>
        <v>VELOCIDAD DE RALENTÍ</v>
      </c>
      <c r="Q66" s="1" t="n">
        <f aca="false">IFERROR(MATCH($C$9&amp;"|48",BD_INSPECCION!$G:$G,0),0)</f>
        <v>50</v>
      </c>
      <c r="R66" s="1" t="str">
        <f aca="false">IF($A66=0,"",INDEX(BD_PLAN!C:C,$A66))</f>
        <v/>
      </c>
      <c r="S66" s="1" t="str">
        <f aca="false">IF($A66=0,"",INDEX(BD_PLAN!D:D,$A66))</f>
        <v/>
      </c>
      <c r="T66" s="1" t="str">
        <f aca="false">IF($Q66=0,"",INDEX(BD_INSPECCION!C:C,$Q66))</f>
        <v>PM3 - 3000 KM</v>
      </c>
      <c r="U66" s="1" t="str">
        <f aca="false">IF($Q66=0,"",INDEX(BD_INSPECCION!D:D,$Q66))</f>
        <v>MOTOR</v>
      </c>
    </row>
    <row r="67" customFormat="false" ht="22.35" hidden="false" customHeight="false" outlineLevel="0" collapsed="false">
      <c r="A67" s="1" t="n">
        <f aca="false">IFERROR(MATCH($C$9&amp;"|49",BD_PLAN!$J:$J,0),0)</f>
        <v>0</v>
      </c>
      <c r="B67" s="10" t="str">
        <f aca="false">IF($A67=0,"",IF($R67&lt;&gt;$R66,LEFT($R67,FIND(" ",$R67)-1),""))</f>
        <v/>
      </c>
      <c r="C67" s="10" t="str">
        <f aca="false">IF($A67=0,"",IF($R67&lt;&gt;$R66,INDEX(BD_CICLO!$E:$E,MATCH($C$9&amp;"|"&amp;$R67,BD_CICLO!$G:$G,0))&amp;" "&amp;$F$6,""))</f>
        <v/>
      </c>
      <c r="D67" s="11" t="str">
        <f aca="false">IF($A67=0,"",IF($R67&lt;&gt;$R66,IFERROR(1/(1/SUMPRODUCT(MAX((REGISTRO!$C$3:$C$2002=$C$6)*(REGISTRO!$H$3:$H$2002=$R67)*REGISTRO!$B$3:$B$2002))),""),""))</f>
        <v/>
      </c>
      <c r="E67" s="12" t="str">
        <f aca="false">IF($A67=0,"",IF(OR($R67&lt;&gt;$R66,$S67&lt;&gt;$S66),$S67,""))</f>
        <v/>
      </c>
      <c r="F67" s="13" t="str">
        <f aca="false">IF($A67=0,"",INDEX(BD_PLAN!E:E,$A67))</f>
        <v/>
      </c>
      <c r="G67" s="14" t="str">
        <f aca="false">IF($A67=0,"",INDEX(BD_PLAN!F:F,$A67))</f>
        <v/>
      </c>
      <c r="H67" s="12" t="str">
        <f aca="false">IF($A67=0,"",INDEX(BD_PLAN!G:G,$A67))</f>
        <v/>
      </c>
      <c r="I67" s="15" t="str">
        <f aca="false">IF($A67=0,"",INDEX(BD_PLAN!H:H,$A67))</f>
        <v/>
      </c>
      <c r="J67" s="15" t="str">
        <f aca="false">IF($A67=0,"",INDEX(BD_PLAN!I:I,$A67))</f>
        <v/>
      </c>
      <c r="K67" s="16" t="str">
        <f aca="false">IF($A67=0,"",IF($R67&lt;&gt;$R66,SUMIFS(BD_PLAN!$I$3:$I$312,BD_PLAN!$B$3:$B$312,$C$9,BD_PLAN!$C$3:$C$312,$R67),""))</f>
        <v/>
      </c>
      <c r="M67" s="10" t="str">
        <f aca="false">IF($Q67=0,"",IF($T67&lt;&gt;$T66,$T67,""))</f>
        <v/>
      </c>
      <c r="N67" s="12" t="str">
        <f aca="false">IF($Q67=0,"",IF(OR($T67&lt;&gt;$T66,$U67&lt;&gt;$U66),$U67,""))</f>
        <v/>
      </c>
      <c r="O67" s="12" t="str">
        <f aca="false">IF($Q67=0,"",INDEX(BD_INSPECCION!E:E,$Q67))</f>
        <v>INSPECCIONAR</v>
      </c>
      <c r="P67" s="13" t="str">
        <f aca="false">IF($Q67=0,"",INDEX(BD_INSPECCION!F:F,$Q67))</f>
        <v>FUGAS DE ACEITE Y ESTADO DE EMPAQUES</v>
      </c>
      <c r="Q67" s="1" t="n">
        <f aca="false">IFERROR(MATCH($C$9&amp;"|49",BD_INSPECCION!$G:$G,0),0)</f>
        <v>51</v>
      </c>
      <c r="R67" s="1" t="str">
        <f aca="false">IF($A67=0,"",INDEX(BD_PLAN!C:C,$A67))</f>
        <v/>
      </c>
      <c r="S67" s="1" t="str">
        <f aca="false">IF($A67=0,"",INDEX(BD_PLAN!D:D,$A67))</f>
        <v/>
      </c>
      <c r="T67" s="1" t="str">
        <f aca="false">IF($Q67=0,"",INDEX(BD_INSPECCION!C:C,$Q67))</f>
        <v>PM3 - 3000 KM</v>
      </c>
      <c r="U67" s="1" t="str">
        <f aca="false">IF($Q67=0,"",INDEX(BD_INSPECCION!D:D,$Q67))</f>
        <v>MOTOR</v>
      </c>
    </row>
    <row r="68" customFormat="false" ht="15" hidden="false" customHeight="false" outlineLevel="0" collapsed="false">
      <c r="A68" s="1" t="n">
        <f aca="false">IFERROR(MATCH($C$9&amp;"|50",BD_PLAN!$J:$J,0),0)</f>
        <v>0</v>
      </c>
      <c r="B68" s="10" t="str">
        <f aca="false">IF($A68=0,"",IF($R68&lt;&gt;$R67,LEFT($R68,FIND(" ",$R68)-1),""))</f>
        <v/>
      </c>
      <c r="C68" s="10" t="str">
        <f aca="false">IF($A68=0,"",IF($R68&lt;&gt;$R67,INDEX(BD_CICLO!$E:$E,MATCH($C$9&amp;"|"&amp;$R68,BD_CICLO!$G:$G,0))&amp;" "&amp;$F$6,""))</f>
        <v/>
      </c>
      <c r="D68" s="11" t="str">
        <f aca="false">IF($A68=0,"",IF($R68&lt;&gt;$R67,IFERROR(1/(1/SUMPRODUCT(MAX((REGISTRO!$C$3:$C$2002=$C$6)*(REGISTRO!$H$3:$H$2002=$R68)*REGISTRO!$B$3:$B$2002))),""),""))</f>
        <v/>
      </c>
      <c r="E68" s="12" t="str">
        <f aca="false">IF($A68=0,"",IF(OR($R68&lt;&gt;$R67,$S68&lt;&gt;$S67),$S68,""))</f>
        <v/>
      </c>
      <c r="F68" s="13" t="str">
        <f aca="false">IF($A68=0,"",INDEX(BD_PLAN!E:E,$A68))</f>
        <v/>
      </c>
      <c r="G68" s="14" t="str">
        <f aca="false">IF($A68=0,"",INDEX(BD_PLAN!F:F,$A68))</f>
        <v/>
      </c>
      <c r="H68" s="12" t="str">
        <f aca="false">IF($A68=0,"",INDEX(BD_PLAN!G:G,$A68))</f>
        <v/>
      </c>
      <c r="I68" s="15" t="str">
        <f aca="false">IF($A68=0,"",INDEX(BD_PLAN!H:H,$A68))</f>
        <v/>
      </c>
      <c r="J68" s="15" t="str">
        <f aca="false">IF($A68=0,"",INDEX(BD_PLAN!I:I,$A68))</f>
        <v/>
      </c>
      <c r="K68" s="16" t="str">
        <f aca="false">IF($A68=0,"",IF($R68&lt;&gt;$R67,SUMIFS(BD_PLAN!$I$3:$I$312,BD_PLAN!$B$3:$B$312,$C$9,BD_PLAN!$C$3:$C$312,$R68),""))</f>
        <v/>
      </c>
      <c r="M68" s="10" t="str">
        <f aca="false">IF($Q68=0,"",IF($T68&lt;&gt;$T67,$T68,""))</f>
        <v/>
      </c>
      <c r="N68" s="12" t="str">
        <f aca="false">IF($Q68=0,"",IF(OR($T68&lt;&gt;$T67,$U68&lt;&gt;$U67),$U68,""))</f>
        <v/>
      </c>
      <c r="O68" s="12" t="str">
        <f aca="false">IF($Q68=0,"",INDEX(BD_INSPECCION!E:E,$Q68))</f>
        <v>LIMPIAR</v>
      </c>
      <c r="P68" s="13" t="str">
        <f aca="false">IF($Q68=0,"",INDEX(BD_INSPECCION!F:F,$Q68))</f>
        <v>MALLA (COLADOR) DE ACEITE</v>
      </c>
      <c r="Q68" s="1" t="n">
        <f aca="false">IFERROR(MATCH($C$9&amp;"|50",BD_INSPECCION!$G:$G,0),0)</f>
        <v>52</v>
      </c>
      <c r="R68" s="1" t="str">
        <f aca="false">IF($A68=0,"",INDEX(BD_PLAN!C:C,$A68))</f>
        <v/>
      </c>
      <c r="S68" s="1" t="str">
        <f aca="false">IF($A68=0,"",INDEX(BD_PLAN!D:D,$A68))</f>
        <v/>
      </c>
      <c r="T68" s="1" t="str">
        <f aca="false">IF($Q68=0,"",INDEX(BD_INSPECCION!C:C,$Q68))</f>
        <v>PM3 - 3000 KM</v>
      </c>
      <c r="U68" s="1" t="str">
        <f aca="false">IF($Q68=0,"",INDEX(BD_INSPECCION!D:D,$Q68))</f>
        <v>MOTOR</v>
      </c>
    </row>
    <row r="69" customFormat="false" ht="15" hidden="false" customHeight="false" outlineLevel="0" collapsed="false">
      <c r="A69" s="1" t="n">
        <f aca="false">IFERROR(MATCH($C$9&amp;"|51",BD_PLAN!$J:$J,0),0)</f>
        <v>0</v>
      </c>
      <c r="B69" s="10" t="str">
        <f aca="false">IF($A69=0,"",IF($R69&lt;&gt;$R68,LEFT($R69,FIND(" ",$R69)-1),""))</f>
        <v/>
      </c>
      <c r="C69" s="10" t="str">
        <f aca="false">IF($A69=0,"",IF($R69&lt;&gt;$R68,INDEX(BD_CICLO!$E:$E,MATCH($C$9&amp;"|"&amp;$R69,BD_CICLO!$G:$G,0))&amp;" "&amp;$F$6,""))</f>
        <v/>
      </c>
      <c r="D69" s="11" t="str">
        <f aca="false">IF($A69=0,"",IF($R69&lt;&gt;$R68,IFERROR(1/(1/SUMPRODUCT(MAX((REGISTRO!$C$3:$C$2002=$C$6)*(REGISTRO!$H$3:$H$2002=$R69)*REGISTRO!$B$3:$B$2002))),""),""))</f>
        <v/>
      </c>
      <c r="E69" s="12" t="str">
        <f aca="false">IF($A69=0,"",IF(OR($R69&lt;&gt;$R68,$S69&lt;&gt;$S68),$S69,""))</f>
        <v/>
      </c>
      <c r="F69" s="13" t="str">
        <f aca="false">IF($A69=0,"",INDEX(BD_PLAN!E:E,$A69))</f>
        <v/>
      </c>
      <c r="G69" s="14" t="str">
        <f aca="false">IF($A69=0,"",INDEX(BD_PLAN!F:F,$A69))</f>
        <v/>
      </c>
      <c r="H69" s="12" t="str">
        <f aca="false">IF($A69=0,"",INDEX(BD_PLAN!G:G,$A69))</f>
        <v/>
      </c>
      <c r="I69" s="15" t="str">
        <f aca="false">IF($A69=0,"",INDEX(BD_PLAN!H:H,$A69))</f>
        <v/>
      </c>
      <c r="J69" s="15" t="str">
        <f aca="false">IF($A69=0,"",INDEX(BD_PLAN!I:I,$A69))</f>
        <v/>
      </c>
      <c r="K69" s="16" t="str">
        <f aca="false">IF($A69=0,"",IF($R69&lt;&gt;$R68,SUMIFS(BD_PLAN!$I$3:$I$312,BD_PLAN!$B$3:$B$312,$C$9,BD_PLAN!$C$3:$C$312,$R69),""))</f>
        <v/>
      </c>
      <c r="M69" s="10" t="str">
        <f aca="false">IF($Q69=0,"",IF($T69&lt;&gt;$T68,$T69,""))</f>
        <v/>
      </c>
      <c r="N69" s="12" t="str">
        <f aca="false">IF($Q69=0,"",IF(OR($T69&lt;&gt;$T68,$U69&lt;&gt;$U68),$U69,""))</f>
        <v>ADMISIÓN DE AIRE</v>
      </c>
      <c r="O69" s="12" t="str">
        <f aca="false">IF($Q69=0,"",INDEX(BD_INSPECCION!E:E,$Q69))</f>
        <v>LIMPIAR</v>
      </c>
      <c r="P69" s="13" t="str">
        <f aca="false">IF($Q69=0,"",INDEX(BD_INSPECCION!F:F,$Q69))</f>
        <v>FILTRO DE AIRE</v>
      </c>
      <c r="Q69" s="1" t="n">
        <f aca="false">IFERROR(MATCH($C$9&amp;"|51",BD_INSPECCION!$G:$G,0),0)</f>
        <v>53</v>
      </c>
      <c r="R69" s="1" t="str">
        <f aca="false">IF($A69=0,"",INDEX(BD_PLAN!C:C,$A69))</f>
        <v/>
      </c>
      <c r="S69" s="1" t="str">
        <f aca="false">IF($A69=0,"",INDEX(BD_PLAN!D:D,$A69))</f>
        <v/>
      </c>
      <c r="T69" s="1" t="str">
        <f aca="false">IF($Q69=0,"",INDEX(BD_INSPECCION!C:C,$Q69))</f>
        <v>PM3 - 3000 KM</v>
      </c>
      <c r="U69" s="1" t="str">
        <f aca="false">IF($Q69=0,"",INDEX(BD_INSPECCION!D:D,$Q69))</f>
        <v>ADMISIÓN DE AIRE</v>
      </c>
    </row>
    <row r="70" customFormat="false" ht="22.35" hidden="false" customHeight="false" outlineLevel="0" collapsed="false">
      <c r="A70" s="1" t="n">
        <f aca="false">IFERROR(MATCH($C$9&amp;"|52",BD_PLAN!$J:$J,0),0)</f>
        <v>0</v>
      </c>
      <c r="B70" s="10" t="str">
        <f aca="false">IF($A70=0,"",IF($R70&lt;&gt;$R69,LEFT($R70,FIND(" ",$R70)-1),""))</f>
        <v/>
      </c>
      <c r="C70" s="10" t="str">
        <f aca="false">IF($A70=0,"",IF($R70&lt;&gt;$R69,INDEX(BD_CICLO!$E:$E,MATCH($C$9&amp;"|"&amp;$R70,BD_CICLO!$G:$G,0))&amp;" "&amp;$F$6,""))</f>
        <v/>
      </c>
      <c r="D70" s="11" t="str">
        <f aca="false">IF($A70=0,"",IF($R70&lt;&gt;$R69,IFERROR(1/(1/SUMPRODUCT(MAX((REGISTRO!$C$3:$C$2002=$C$6)*(REGISTRO!$H$3:$H$2002=$R70)*REGISTRO!$B$3:$B$2002))),""),""))</f>
        <v/>
      </c>
      <c r="E70" s="12" t="str">
        <f aca="false">IF($A70=0,"",IF(OR($R70&lt;&gt;$R69,$S70&lt;&gt;$S69),$S70,""))</f>
        <v/>
      </c>
      <c r="F70" s="13" t="str">
        <f aca="false">IF($A70=0,"",INDEX(BD_PLAN!E:E,$A70))</f>
        <v/>
      </c>
      <c r="G70" s="14" t="str">
        <f aca="false">IF($A70=0,"",INDEX(BD_PLAN!F:F,$A70))</f>
        <v/>
      </c>
      <c r="H70" s="12" t="str">
        <f aca="false">IF($A70=0,"",INDEX(BD_PLAN!G:G,$A70))</f>
        <v/>
      </c>
      <c r="I70" s="15" t="str">
        <f aca="false">IF($A70=0,"",INDEX(BD_PLAN!H:H,$A70))</f>
        <v/>
      </c>
      <c r="J70" s="15" t="str">
        <f aca="false">IF($A70=0,"",INDEX(BD_PLAN!I:I,$A70))</f>
        <v/>
      </c>
      <c r="K70" s="16" t="str">
        <f aca="false">IF($A70=0,"",IF($R70&lt;&gt;$R69,SUMIFS(BD_PLAN!$I$3:$I$312,BD_PLAN!$B$3:$B$312,$C$9,BD_PLAN!$C$3:$C$312,$R70),""))</f>
        <v/>
      </c>
      <c r="M70" s="10" t="str">
        <f aca="false">IF($Q70=0,"",IF($T70&lt;&gt;$T69,$T70,""))</f>
        <v/>
      </c>
      <c r="N70" s="12" t="str">
        <f aca="false">IF($Q70=0,"",IF(OR($T70&lt;&gt;$T69,$U70&lt;&gt;$U69),$U70,""))</f>
        <v>COMBUSTIBLE</v>
      </c>
      <c r="O70" s="12" t="str">
        <f aca="false">IF($Q70=0,"",INDEX(BD_INSPECCION!E:E,$Q70))</f>
        <v>INSPECCIONAR</v>
      </c>
      <c r="P70" s="13" t="str">
        <f aca="false">IF($Q70=0,"",INDEX(BD_INSPECCION!F:F,$Q70))</f>
        <v>MANGUERA DE COMBUSTIBLE (GRIETAS Y FUGAS)</v>
      </c>
      <c r="Q70" s="1" t="n">
        <f aca="false">IFERROR(MATCH($C$9&amp;"|52",BD_INSPECCION!$G:$G,0),0)</f>
        <v>54</v>
      </c>
      <c r="R70" s="1" t="str">
        <f aca="false">IF($A70=0,"",INDEX(BD_PLAN!C:C,$A70))</f>
        <v/>
      </c>
      <c r="S70" s="1" t="str">
        <f aca="false">IF($A70=0,"",INDEX(BD_PLAN!D:D,$A70))</f>
        <v/>
      </c>
      <c r="T70" s="1" t="str">
        <f aca="false">IF($Q70=0,"",INDEX(BD_INSPECCION!C:C,$Q70))</f>
        <v>PM3 - 3000 KM</v>
      </c>
      <c r="U70" s="1" t="str">
        <f aca="false">IF($Q70=0,"",INDEX(BD_INSPECCION!D:D,$Q70))</f>
        <v>COMBUSTIBLE</v>
      </c>
    </row>
    <row r="71" customFormat="false" ht="22.35" hidden="false" customHeight="false" outlineLevel="0" collapsed="false">
      <c r="A71" s="1" t="n">
        <f aca="false">IFERROR(MATCH($C$9&amp;"|53",BD_PLAN!$J:$J,0),0)</f>
        <v>0</v>
      </c>
      <c r="B71" s="10" t="str">
        <f aca="false">IF($A71=0,"",IF($R71&lt;&gt;$R70,LEFT($R71,FIND(" ",$R71)-1),""))</f>
        <v/>
      </c>
      <c r="C71" s="10" t="str">
        <f aca="false">IF($A71=0,"",IF($R71&lt;&gt;$R70,INDEX(BD_CICLO!$E:$E,MATCH($C$9&amp;"|"&amp;$R71,BD_CICLO!$G:$G,0))&amp;" "&amp;$F$6,""))</f>
        <v/>
      </c>
      <c r="D71" s="11" t="str">
        <f aca="false">IF($A71=0,"",IF($R71&lt;&gt;$R70,IFERROR(1/(1/SUMPRODUCT(MAX((REGISTRO!$C$3:$C$2002=$C$6)*(REGISTRO!$H$3:$H$2002=$R71)*REGISTRO!$B$3:$B$2002))),""),""))</f>
        <v/>
      </c>
      <c r="E71" s="12" t="str">
        <f aca="false">IF($A71=0,"",IF(OR($R71&lt;&gt;$R70,$S71&lt;&gt;$S70),$S71,""))</f>
        <v/>
      </c>
      <c r="F71" s="13" t="str">
        <f aca="false">IF($A71=0,"",INDEX(BD_PLAN!E:E,$A71))</f>
        <v/>
      </c>
      <c r="G71" s="14" t="str">
        <f aca="false">IF($A71=0,"",INDEX(BD_PLAN!F:F,$A71))</f>
        <v/>
      </c>
      <c r="H71" s="12" t="str">
        <f aca="false">IF($A71=0,"",INDEX(BD_PLAN!G:G,$A71))</f>
        <v/>
      </c>
      <c r="I71" s="15" t="str">
        <f aca="false">IF($A71=0,"",INDEX(BD_PLAN!H:H,$A71))</f>
        <v/>
      </c>
      <c r="J71" s="15" t="str">
        <f aca="false">IF($A71=0,"",INDEX(BD_PLAN!I:I,$A71))</f>
        <v/>
      </c>
      <c r="K71" s="16" t="str">
        <f aca="false">IF($A71=0,"",IF($R71&lt;&gt;$R70,SUMIFS(BD_PLAN!$I$3:$I$312,BD_PLAN!$B$3:$B$312,$C$9,BD_PLAN!$C$3:$C$312,$R71),""))</f>
        <v/>
      </c>
      <c r="M71" s="10" t="str">
        <f aca="false">IF($Q71=0,"",IF($T71&lt;&gt;$T70,$T71,""))</f>
        <v/>
      </c>
      <c r="N71" s="12" t="str">
        <f aca="false">IF($Q71=0,"",IF(OR($T71&lt;&gt;$T70,$U71&lt;&gt;$U70),$U71,""))</f>
        <v/>
      </c>
      <c r="O71" s="12" t="str">
        <f aca="false">IF($Q71=0,"",INDEX(BD_INSPECCION!E:E,$Q71))</f>
        <v>INSPECCIONAR</v>
      </c>
      <c r="P71" s="13" t="str">
        <f aca="false">IF($Q71=0,"",INDEX(BD_INSPECCION!F:F,$Q71))</f>
        <v>FUNCIONAMIENTO DEL ACELERADOR Y CHOKE</v>
      </c>
      <c r="Q71" s="1" t="n">
        <f aca="false">IFERROR(MATCH($C$9&amp;"|53",BD_INSPECCION!$G:$G,0),0)</f>
        <v>55</v>
      </c>
      <c r="R71" s="1" t="str">
        <f aca="false">IF($A71=0,"",INDEX(BD_PLAN!C:C,$A71))</f>
        <v/>
      </c>
      <c r="S71" s="1" t="str">
        <f aca="false">IF($A71=0,"",INDEX(BD_PLAN!D:D,$A71))</f>
        <v/>
      </c>
      <c r="T71" s="1" t="str">
        <f aca="false">IF($Q71=0,"",INDEX(BD_INSPECCION!C:C,$Q71))</f>
        <v>PM3 - 3000 KM</v>
      </c>
      <c r="U71" s="1" t="str">
        <f aca="false">IF($Q71=0,"",INDEX(BD_INSPECCION!D:D,$Q71))</f>
        <v>COMBUSTIBLE</v>
      </c>
    </row>
    <row r="72" customFormat="false" ht="22.35" hidden="false" customHeight="false" outlineLevel="0" collapsed="false">
      <c r="A72" s="1" t="n">
        <f aca="false">IFERROR(MATCH($C$9&amp;"|54",BD_PLAN!$J:$J,0),0)</f>
        <v>0</v>
      </c>
      <c r="B72" s="10" t="str">
        <f aca="false">IF($A72=0,"",IF($R72&lt;&gt;$R71,LEFT($R72,FIND(" ",$R72)-1),""))</f>
        <v/>
      </c>
      <c r="C72" s="10" t="str">
        <f aca="false">IF($A72=0,"",IF($R72&lt;&gt;$R71,INDEX(BD_CICLO!$E:$E,MATCH($C$9&amp;"|"&amp;$R72,BD_CICLO!$G:$G,0))&amp;" "&amp;$F$6,""))</f>
        <v/>
      </c>
      <c r="D72" s="11" t="str">
        <f aca="false">IF($A72=0,"",IF($R72&lt;&gt;$R71,IFERROR(1/(1/SUMPRODUCT(MAX((REGISTRO!$C$3:$C$2002=$C$6)*(REGISTRO!$H$3:$H$2002=$R72)*REGISTRO!$B$3:$B$2002))),""),""))</f>
        <v/>
      </c>
      <c r="E72" s="12" t="str">
        <f aca="false">IF($A72=0,"",IF(OR($R72&lt;&gt;$R71,$S72&lt;&gt;$S71),$S72,""))</f>
        <v/>
      </c>
      <c r="F72" s="13" t="str">
        <f aca="false">IF($A72=0,"",INDEX(BD_PLAN!E:E,$A72))</f>
        <v/>
      </c>
      <c r="G72" s="14" t="str">
        <f aca="false">IF($A72=0,"",INDEX(BD_PLAN!F:F,$A72))</f>
        <v/>
      </c>
      <c r="H72" s="12" t="str">
        <f aca="false">IF($A72=0,"",INDEX(BD_PLAN!G:G,$A72))</f>
        <v/>
      </c>
      <c r="I72" s="15" t="str">
        <f aca="false">IF($A72=0,"",INDEX(BD_PLAN!H:H,$A72))</f>
        <v/>
      </c>
      <c r="J72" s="15" t="str">
        <f aca="false">IF($A72=0,"",INDEX(BD_PLAN!I:I,$A72))</f>
        <v/>
      </c>
      <c r="K72" s="16" t="str">
        <f aca="false">IF($A72=0,"",IF($R72&lt;&gt;$R71,SUMIFS(BD_PLAN!$I$3:$I$312,BD_PLAN!$B$3:$B$312,$C$9,BD_PLAN!$C$3:$C$312,$R72),""))</f>
        <v/>
      </c>
      <c r="M72" s="10" t="str">
        <f aca="false">IF($Q72=0,"",IF($T72&lt;&gt;$T71,$T72,""))</f>
        <v/>
      </c>
      <c r="N72" s="12" t="str">
        <f aca="false">IF($Q72=0,"",IF(OR($T72&lt;&gt;$T71,$U72&lt;&gt;$U71),$U72,""))</f>
        <v>ENCENDIDO</v>
      </c>
      <c r="O72" s="12" t="str">
        <f aca="false">IF($Q72=0,"",INDEX(BD_INSPECCION!E:E,$Q72))</f>
        <v>INSPECCIONAR</v>
      </c>
      <c r="P72" s="13" t="str">
        <f aca="false">IF($Q72=0,"",INDEX(BD_INSPECCION!F:F,$Q72))</f>
        <v>BUJÍA: LIMPIAR Y CALIBRAR</v>
      </c>
      <c r="Q72" s="1" t="n">
        <f aca="false">IFERROR(MATCH($C$9&amp;"|54",BD_INSPECCION!$G:$G,0),0)</f>
        <v>56</v>
      </c>
      <c r="R72" s="1" t="str">
        <f aca="false">IF($A72=0,"",INDEX(BD_PLAN!C:C,$A72))</f>
        <v/>
      </c>
      <c r="S72" s="1" t="str">
        <f aca="false">IF($A72=0,"",INDEX(BD_PLAN!D:D,$A72))</f>
        <v/>
      </c>
      <c r="T72" s="1" t="str">
        <f aca="false">IF($Q72=0,"",INDEX(BD_INSPECCION!C:C,$Q72))</f>
        <v>PM3 - 3000 KM</v>
      </c>
      <c r="U72" s="1" t="str">
        <f aca="false">IF($Q72=0,"",INDEX(BD_INSPECCION!D:D,$Q72))</f>
        <v>ENCENDIDO</v>
      </c>
    </row>
    <row r="73" customFormat="false" ht="22.35" hidden="false" customHeight="false" outlineLevel="0" collapsed="false">
      <c r="A73" s="1" t="n">
        <f aca="false">IFERROR(MATCH($C$9&amp;"|55",BD_PLAN!$J:$J,0),0)</f>
        <v>0</v>
      </c>
      <c r="B73" s="10" t="str">
        <f aca="false">IF($A73=0,"",IF($R73&lt;&gt;$R72,LEFT($R73,FIND(" ",$R73)-1),""))</f>
        <v/>
      </c>
      <c r="C73" s="10" t="str">
        <f aca="false">IF($A73=0,"",IF($R73&lt;&gt;$R72,INDEX(BD_CICLO!$E:$E,MATCH($C$9&amp;"|"&amp;$R73,BD_CICLO!$G:$G,0))&amp;" "&amp;$F$6,""))</f>
        <v/>
      </c>
      <c r="D73" s="11" t="str">
        <f aca="false">IF($A73=0,"",IF($R73&lt;&gt;$R72,IFERROR(1/(1/SUMPRODUCT(MAX((REGISTRO!$C$3:$C$2002=$C$6)*(REGISTRO!$H$3:$H$2002=$R73)*REGISTRO!$B$3:$B$2002))),""),""))</f>
        <v/>
      </c>
      <c r="E73" s="12" t="str">
        <f aca="false">IF($A73=0,"",IF(OR($R73&lt;&gt;$R72,$S73&lt;&gt;$S72),$S73,""))</f>
        <v/>
      </c>
      <c r="F73" s="13" t="str">
        <f aca="false">IF($A73=0,"",INDEX(BD_PLAN!E:E,$A73))</f>
        <v/>
      </c>
      <c r="G73" s="14" t="str">
        <f aca="false">IF($A73=0,"",INDEX(BD_PLAN!F:F,$A73))</f>
        <v/>
      </c>
      <c r="H73" s="12" t="str">
        <f aca="false">IF($A73=0,"",INDEX(BD_PLAN!G:G,$A73))</f>
        <v/>
      </c>
      <c r="I73" s="15" t="str">
        <f aca="false">IF($A73=0,"",INDEX(BD_PLAN!H:H,$A73))</f>
        <v/>
      </c>
      <c r="J73" s="15" t="str">
        <f aca="false">IF($A73=0,"",INDEX(BD_PLAN!I:I,$A73))</f>
        <v/>
      </c>
      <c r="K73" s="16" t="str">
        <f aca="false">IF($A73=0,"",IF($R73&lt;&gt;$R72,SUMIFS(BD_PLAN!$I$3:$I$312,BD_PLAN!$B$3:$B$312,$C$9,BD_PLAN!$C$3:$C$312,$R73),""))</f>
        <v/>
      </c>
      <c r="M73" s="10" t="str">
        <f aca="false">IF($Q73=0,"",IF($T73&lt;&gt;$T72,$T73,""))</f>
        <v/>
      </c>
      <c r="N73" s="12" t="str">
        <f aca="false">IF($Q73=0,"",IF(OR($T73&lt;&gt;$T72,$U73&lt;&gt;$U72),$U73,""))</f>
        <v>TRANSMISIÓN</v>
      </c>
      <c r="O73" s="12" t="str">
        <f aca="false">IF($Q73=0,"",INDEX(BD_INSPECCION!E:E,$Q73))</f>
        <v>INSPECCIONAR</v>
      </c>
      <c r="P73" s="13" t="str">
        <f aca="false">IF($Q73=0,"",INDEX(BD_INSPECCION!F:F,$Q73))</f>
        <v>EMBRAGUE (JUEGO LIBRE DEL CABLE) Y CAMBIOS</v>
      </c>
      <c r="Q73" s="1" t="n">
        <f aca="false">IFERROR(MATCH($C$9&amp;"|55",BD_INSPECCION!$G:$G,0),0)</f>
        <v>57</v>
      </c>
      <c r="R73" s="1" t="str">
        <f aca="false">IF($A73=0,"",INDEX(BD_PLAN!C:C,$A73))</f>
        <v/>
      </c>
      <c r="S73" s="1" t="str">
        <f aca="false">IF($A73=0,"",INDEX(BD_PLAN!D:D,$A73))</f>
        <v/>
      </c>
      <c r="T73" s="1" t="str">
        <f aca="false">IF($Q73=0,"",INDEX(BD_INSPECCION!C:C,$Q73))</f>
        <v>PM3 - 3000 KM</v>
      </c>
      <c r="U73" s="1" t="str">
        <f aca="false">IF($Q73=0,"",INDEX(BD_INSPECCION!D:D,$Q73))</f>
        <v>TRANSMISIÓN</v>
      </c>
    </row>
    <row r="74" customFormat="false" ht="22.35" hidden="false" customHeight="false" outlineLevel="0" collapsed="false">
      <c r="A74" s="1" t="n">
        <f aca="false">IFERROR(MATCH($C$9&amp;"|56",BD_PLAN!$J:$J,0),0)</f>
        <v>0</v>
      </c>
      <c r="B74" s="10" t="str">
        <f aca="false">IF($A74=0,"",IF($R74&lt;&gt;$R73,LEFT($R74,FIND(" ",$R74)-1),""))</f>
        <v/>
      </c>
      <c r="C74" s="10" t="str">
        <f aca="false">IF($A74=0,"",IF($R74&lt;&gt;$R73,INDEX(BD_CICLO!$E:$E,MATCH($C$9&amp;"|"&amp;$R74,BD_CICLO!$G:$G,0))&amp;" "&amp;$F$6,""))</f>
        <v/>
      </c>
      <c r="D74" s="11" t="str">
        <f aca="false">IF($A74=0,"",IF($R74&lt;&gt;$R73,IFERROR(1/(1/SUMPRODUCT(MAX((REGISTRO!$C$3:$C$2002=$C$6)*(REGISTRO!$H$3:$H$2002=$R74)*REGISTRO!$B$3:$B$2002))),""),""))</f>
        <v/>
      </c>
      <c r="E74" s="12" t="str">
        <f aca="false">IF($A74=0,"",IF(OR($R74&lt;&gt;$R73,$S74&lt;&gt;$S73),$S74,""))</f>
        <v/>
      </c>
      <c r="F74" s="13" t="str">
        <f aca="false">IF($A74=0,"",INDEX(BD_PLAN!E:E,$A74))</f>
        <v/>
      </c>
      <c r="G74" s="14" t="str">
        <f aca="false">IF($A74=0,"",INDEX(BD_PLAN!F:F,$A74))</f>
        <v/>
      </c>
      <c r="H74" s="12" t="str">
        <f aca="false">IF($A74=0,"",INDEX(BD_PLAN!G:G,$A74))</f>
        <v/>
      </c>
      <c r="I74" s="15" t="str">
        <f aca="false">IF($A74=0,"",INDEX(BD_PLAN!H:H,$A74))</f>
        <v/>
      </c>
      <c r="J74" s="15" t="str">
        <f aca="false">IF($A74=0,"",INDEX(BD_PLAN!I:I,$A74))</f>
        <v/>
      </c>
      <c r="K74" s="16" t="str">
        <f aca="false">IF($A74=0,"",IF($R74&lt;&gt;$R73,SUMIFS(BD_PLAN!$I$3:$I$312,BD_PLAN!$B$3:$B$312,$C$9,BD_PLAN!$C$3:$C$312,$R74),""))</f>
        <v/>
      </c>
      <c r="M74" s="10" t="str">
        <f aca="false">IF($Q74=0,"",IF($T74&lt;&gt;$T73,$T74,""))</f>
        <v/>
      </c>
      <c r="N74" s="12" t="str">
        <f aca="false">IF($Q74=0,"",IF(OR($T74&lt;&gt;$T73,$U74&lt;&gt;$U73),$U74,""))</f>
        <v>CARDÁN</v>
      </c>
      <c r="O74" s="12" t="str">
        <f aca="false">IF($Q74=0,"",INDEX(BD_INSPECCION!E:E,$Q74))</f>
        <v>INSPECCIONAR</v>
      </c>
      <c r="P74" s="13" t="str">
        <f aca="false">IF($Q74=0,"",INDEX(BD_INSPECCION!F:F,$Q74))</f>
        <v>CRUCETAS (JUEGO) Y GUARDAPOLVOS</v>
      </c>
      <c r="Q74" s="1" t="n">
        <f aca="false">IFERROR(MATCH($C$9&amp;"|56",BD_INSPECCION!$G:$G,0),0)</f>
        <v>58</v>
      </c>
      <c r="R74" s="1" t="str">
        <f aca="false">IF($A74=0,"",INDEX(BD_PLAN!C:C,$A74))</f>
        <v/>
      </c>
      <c r="S74" s="1" t="str">
        <f aca="false">IF($A74=0,"",INDEX(BD_PLAN!D:D,$A74))</f>
        <v/>
      </c>
      <c r="T74" s="1" t="str">
        <f aca="false">IF($Q74=0,"",INDEX(BD_INSPECCION!C:C,$Q74))</f>
        <v>PM3 - 3000 KM</v>
      </c>
      <c r="U74" s="1" t="str">
        <f aca="false">IF($Q74=0,"",INDEX(BD_INSPECCION!D:D,$Q74))</f>
        <v>CARDÁN</v>
      </c>
    </row>
    <row r="75" customFormat="false" ht="15" hidden="false" customHeight="false" outlineLevel="0" collapsed="false">
      <c r="A75" s="1" t="n">
        <f aca="false">IFERROR(MATCH($C$9&amp;"|57",BD_PLAN!$J:$J,0),0)</f>
        <v>0</v>
      </c>
      <c r="B75" s="10" t="str">
        <f aca="false">IF($A75=0,"",IF($R75&lt;&gt;$R74,LEFT($R75,FIND(" ",$R75)-1),""))</f>
        <v/>
      </c>
      <c r="C75" s="10" t="str">
        <f aca="false">IF($A75=0,"",IF($R75&lt;&gt;$R74,INDEX(BD_CICLO!$E:$E,MATCH($C$9&amp;"|"&amp;$R75,BD_CICLO!$G:$G,0))&amp;" "&amp;$F$6,""))</f>
        <v/>
      </c>
      <c r="D75" s="11" t="str">
        <f aca="false">IF($A75=0,"",IF($R75&lt;&gt;$R74,IFERROR(1/(1/SUMPRODUCT(MAX((REGISTRO!$C$3:$C$2002=$C$6)*(REGISTRO!$H$3:$H$2002=$R75)*REGISTRO!$B$3:$B$2002))),""),""))</f>
        <v/>
      </c>
      <c r="E75" s="12" t="str">
        <f aca="false">IF($A75=0,"",IF(OR($R75&lt;&gt;$R74,$S75&lt;&gt;$S74),$S75,""))</f>
        <v/>
      </c>
      <c r="F75" s="13" t="str">
        <f aca="false">IF($A75=0,"",INDEX(BD_PLAN!E:E,$A75))</f>
        <v/>
      </c>
      <c r="G75" s="14" t="str">
        <f aca="false">IF($A75=0,"",INDEX(BD_PLAN!F:F,$A75))</f>
        <v/>
      </c>
      <c r="H75" s="12" t="str">
        <f aca="false">IF($A75=0,"",INDEX(BD_PLAN!G:G,$A75))</f>
        <v/>
      </c>
      <c r="I75" s="15" t="str">
        <f aca="false">IF($A75=0,"",INDEX(BD_PLAN!H:H,$A75))</f>
        <v/>
      </c>
      <c r="J75" s="15" t="str">
        <f aca="false">IF($A75=0,"",INDEX(BD_PLAN!I:I,$A75))</f>
        <v/>
      </c>
      <c r="K75" s="16" t="str">
        <f aca="false">IF($A75=0,"",IF($R75&lt;&gt;$R74,SUMIFS(BD_PLAN!$I$3:$I$312,BD_PLAN!$B$3:$B$312,$C$9,BD_PLAN!$C$3:$C$312,$R75),""))</f>
        <v/>
      </c>
      <c r="M75" s="10" t="str">
        <f aca="false">IF($Q75=0,"",IF($T75&lt;&gt;$T74,$T75,""))</f>
        <v/>
      </c>
      <c r="N75" s="12" t="str">
        <f aca="false">IF($Q75=0,"",IF(OR($T75&lt;&gt;$T74,$U75&lt;&gt;$U74),$U75,""))</f>
        <v/>
      </c>
      <c r="O75" s="12" t="str">
        <f aca="false">IF($Q75=0,"",INDEX(BD_INSPECCION!E:E,$Q75))</f>
        <v>LUBRICAR</v>
      </c>
      <c r="P75" s="13" t="str">
        <f aca="false">IF($Q75=0,"",INDEX(BD_INSPECCION!F:F,$Q75))</f>
        <v>CRUCETAS Y ESTRIADO DEL CARDÁN</v>
      </c>
      <c r="Q75" s="1" t="n">
        <f aca="false">IFERROR(MATCH($C$9&amp;"|57",BD_INSPECCION!$G:$G,0),0)</f>
        <v>59</v>
      </c>
      <c r="R75" s="1" t="str">
        <f aca="false">IF($A75=0,"",INDEX(BD_PLAN!C:C,$A75))</f>
        <v/>
      </c>
      <c r="S75" s="1" t="str">
        <f aca="false">IF($A75=0,"",INDEX(BD_PLAN!D:D,$A75))</f>
        <v/>
      </c>
      <c r="T75" s="1" t="str">
        <f aca="false">IF($Q75=0,"",INDEX(BD_INSPECCION!C:C,$Q75))</f>
        <v>PM3 - 3000 KM</v>
      </c>
      <c r="U75" s="1" t="str">
        <f aca="false">IF($Q75=0,"",INDEX(BD_INSPECCION!D:D,$Q75))</f>
        <v>CARDÁN</v>
      </c>
    </row>
    <row r="76" customFormat="false" ht="22.35" hidden="false" customHeight="false" outlineLevel="0" collapsed="false">
      <c r="A76" s="1" t="n">
        <f aca="false">IFERROR(MATCH($C$9&amp;"|58",BD_PLAN!$J:$J,0),0)</f>
        <v>0</v>
      </c>
      <c r="B76" s="10" t="str">
        <f aca="false">IF($A76=0,"",IF($R76&lt;&gt;$R75,LEFT($R76,FIND(" ",$R76)-1),""))</f>
        <v/>
      </c>
      <c r="C76" s="10" t="str">
        <f aca="false">IF($A76=0,"",IF($R76&lt;&gt;$R75,INDEX(BD_CICLO!$E:$E,MATCH($C$9&amp;"|"&amp;$R76,BD_CICLO!$G:$G,0))&amp;" "&amp;$F$6,""))</f>
        <v/>
      </c>
      <c r="D76" s="11" t="str">
        <f aca="false">IF($A76=0,"",IF($R76&lt;&gt;$R75,IFERROR(1/(1/SUMPRODUCT(MAX((REGISTRO!$C$3:$C$2002=$C$6)*(REGISTRO!$H$3:$H$2002=$R76)*REGISTRO!$B$3:$B$2002))),""),""))</f>
        <v/>
      </c>
      <c r="E76" s="12" t="str">
        <f aca="false">IF($A76=0,"",IF(OR($R76&lt;&gt;$R75,$S76&lt;&gt;$S75),$S76,""))</f>
        <v/>
      </c>
      <c r="F76" s="13" t="str">
        <f aca="false">IF($A76=0,"",INDEX(BD_PLAN!E:E,$A76))</f>
        <v/>
      </c>
      <c r="G76" s="14" t="str">
        <f aca="false">IF($A76=0,"",INDEX(BD_PLAN!F:F,$A76))</f>
        <v/>
      </c>
      <c r="H76" s="12" t="str">
        <f aca="false">IF($A76=0,"",INDEX(BD_PLAN!G:G,$A76))</f>
        <v/>
      </c>
      <c r="I76" s="15" t="str">
        <f aca="false">IF($A76=0,"",INDEX(BD_PLAN!H:H,$A76))</f>
        <v/>
      </c>
      <c r="J76" s="15" t="str">
        <f aca="false">IF($A76=0,"",INDEX(BD_PLAN!I:I,$A76))</f>
        <v/>
      </c>
      <c r="K76" s="16" t="str">
        <f aca="false">IF($A76=0,"",IF($R76&lt;&gt;$R75,SUMIFS(BD_PLAN!$I$3:$I$312,BD_PLAN!$B$3:$B$312,$C$9,BD_PLAN!$C$3:$C$312,$R76),""))</f>
        <v/>
      </c>
      <c r="M76" s="10" t="str">
        <f aca="false">IF($Q76=0,"",IF($T76&lt;&gt;$T75,$T76,""))</f>
        <v/>
      </c>
      <c r="N76" s="12" t="str">
        <f aca="false">IF($Q76=0,"",IF(OR($T76&lt;&gt;$T75,$U76&lt;&gt;$U75),$U76,""))</f>
        <v>DIFERENCIAL</v>
      </c>
      <c r="O76" s="12" t="str">
        <f aca="false">IF($Q76=0,"",INDEX(BD_INSPECCION!E:E,$Q76))</f>
        <v>INSPECCIONAR</v>
      </c>
      <c r="P76" s="13" t="str">
        <f aca="false">IF($Q76=0,"",INDEX(BD_INSPECCION!F:F,$Q76))</f>
        <v>NIVEL DE ACEITE Y FUGAS</v>
      </c>
      <c r="Q76" s="1" t="n">
        <f aca="false">IFERROR(MATCH($C$9&amp;"|58",BD_INSPECCION!$G:$G,0),0)</f>
        <v>60</v>
      </c>
      <c r="R76" s="1" t="str">
        <f aca="false">IF($A76=0,"",INDEX(BD_PLAN!C:C,$A76))</f>
        <v/>
      </c>
      <c r="S76" s="1" t="str">
        <f aca="false">IF($A76=0,"",INDEX(BD_PLAN!D:D,$A76))</f>
        <v/>
      </c>
      <c r="T76" s="1" t="str">
        <f aca="false">IF($Q76=0,"",INDEX(BD_INSPECCION!C:C,$Q76))</f>
        <v>PM3 - 3000 KM</v>
      </c>
      <c r="U76" s="1" t="str">
        <f aca="false">IF($Q76=0,"",INDEX(BD_INSPECCION!D:D,$Q76))</f>
        <v>DIFERENCIAL</v>
      </c>
    </row>
    <row r="77" customFormat="false" ht="22.35" hidden="false" customHeight="false" outlineLevel="0" collapsed="false">
      <c r="A77" s="1" t="n">
        <f aca="false">IFERROR(MATCH($C$9&amp;"|59",BD_PLAN!$J:$J,0),0)</f>
        <v>0</v>
      </c>
      <c r="B77" s="10" t="str">
        <f aca="false">IF($A77=0,"",IF($R77&lt;&gt;$R76,LEFT($R77,FIND(" ",$R77)-1),""))</f>
        <v/>
      </c>
      <c r="C77" s="10" t="str">
        <f aca="false">IF($A77=0,"",IF($R77&lt;&gt;$R76,INDEX(BD_CICLO!$E:$E,MATCH($C$9&amp;"|"&amp;$R77,BD_CICLO!$G:$G,0))&amp;" "&amp;$F$6,""))</f>
        <v/>
      </c>
      <c r="D77" s="11" t="str">
        <f aca="false">IF($A77=0,"",IF($R77&lt;&gt;$R76,IFERROR(1/(1/SUMPRODUCT(MAX((REGISTRO!$C$3:$C$2002=$C$6)*(REGISTRO!$H$3:$H$2002=$R77)*REGISTRO!$B$3:$B$2002))),""),""))</f>
        <v/>
      </c>
      <c r="E77" s="12" t="str">
        <f aca="false">IF($A77=0,"",IF(OR($R77&lt;&gt;$R76,$S77&lt;&gt;$S76),$S77,""))</f>
        <v/>
      </c>
      <c r="F77" s="13" t="str">
        <f aca="false">IF($A77=0,"",INDEX(BD_PLAN!E:E,$A77))</f>
        <v/>
      </c>
      <c r="G77" s="14" t="str">
        <f aca="false">IF($A77=0,"",INDEX(BD_PLAN!F:F,$A77))</f>
        <v/>
      </c>
      <c r="H77" s="12" t="str">
        <f aca="false">IF($A77=0,"",INDEX(BD_PLAN!G:G,$A77))</f>
        <v/>
      </c>
      <c r="I77" s="15" t="str">
        <f aca="false">IF($A77=0,"",INDEX(BD_PLAN!H:H,$A77))</f>
        <v/>
      </c>
      <c r="J77" s="15" t="str">
        <f aca="false">IF($A77=0,"",INDEX(BD_PLAN!I:I,$A77))</f>
        <v/>
      </c>
      <c r="K77" s="16" t="str">
        <f aca="false">IF($A77=0,"",IF($R77&lt;&gt;$R76,SUMIFS(BD_PLAN!$I$3:$I$312,BD_PLAN!$B$3:$B$312,$C$9,BD_PLAN!$C$3:$C$312,$R77),""))</f>
        <v/>
      </c>
      <c r="M77" s="10" t="str">
        <f aca="false">IF($Q77=0,"",IF($T77&lt;&gt;$T76,$T77,""))</f>
        <v/>
      </c>
      <c r="N77" s="12" t="str">
        <f aca="false">IF($Q77=0,"",IF(OR($T77&lt;&gt;$T76,$U77&lt;&gt;$U76),$U77,""))</f>
        <v/>
      </c>
      <c r="O77" s="12" t="str">
        <f aca="false">IF($Q77=0,"",INDEX(BD_INSPECCION!E:E,$Q77))</f>
        <v>INSPECCIONAR</v>
      </c>
      <c r="P77" s="13" t="str">
        <f aca="false">IF($Q77=0,"",INDEX(BD_INSPECCION!F:F,$Q77))</f>
        <v>RUIDOS Y RESPIRADERO</v>
      </c>
      <c r="Q77" s="1" t="n">
        <f aca="false">IFERROR(MATCH($C$9&amp;"|59",BD_INSPECCION!$G:$G,0),0)</f>
        <v>61</v>
      </c>
      <c r="R77" s="1" t="str">
        <f aca="false">IF($A77=0,"",INDEX(BD_PLAN!C:C,$A77))</f>
        <v/>
      </c>
      <c r="S77" s="1" t="str">
        <f aca="false">IF($A77=0,"",INDEX(BD_PLAN!D:D,$A77))</f>
        <v/>
      </c>
      <c r="T77" s="1" t="str">
        <f aca="false">IF($Q77=0,"",INDEX(BD_INSPECCION!C:C,$Q77))</f>
        <v>PM3 - 3000 KM</v>
      </c>
      <c r="U77" s="1" t="str">
        <f aca="false">IF($Q77=0,"",INDEX(BD_INSPECCION!D:D,$Q77))</f>
        <v>DIFERENCIAL</v>
      </c>
    </row>
    <row r="78" customFormat="false" ht="22.35" hidden="false" customHeight="false" outlineLevel="0" collapsed="false">
      <c r="A78" s="1" t="n">
        <f aca="false">IFERROR(MATCH($C$9&amp;"|60",BD_PLAN!$J:$J,0),0)</f>
        <v>0</v>
      </c>
      <c r="B78" s="10" t="str">
        <f aca="false">IF($A78=0,"",IF($R78&lt;&gt;$R77,LEFT($R78,FIND(" ",$R78)-1),""))</f>
        <v/>
      </c>
      <c r="C78" s="10" t="str">
        <f aca="false">IF($A78=0,"",IF($R78&lt;&gt;$R77,INDEX(BD_CICLO!$E:$E,MATCH($C$9&amp;"|"&amp;$R78,BD_CICLO!$G:$G,0))&amp;" "&amp;$F$6,""))</f>
        <v/>
      </c>
      <c r="D78" s="11" t="str">
        <f aca="false">IF($A78=0,"",IF($R78&lt;&gt;$R77,IFERROR(1/(1/SUMPRODUCT(MAX((REGISTRO!$C$3:$C$2002=$C$6)*(REGISTRO!$H$3:$H$2002=$R78)*REGISTRO!$B$3:$B$2002))),""),""))</f>
        <v/>
      </c>
      <c r="E78" s="12" t="str">
        <f aca="false">IF($A78=0,"",IF(OR($R78&lt;&gt;$R77,$S78&lt;&gt;$S77),$S78,""))</f>
        <v/>
      </c>
      <c r="F78" s="13" t="str">
        <f aca="false">IF($A78=0,"",INDEX(BD_PLAN!E:E,$A78))</f>
        <v/>
      </c>
      <c r="G78" s="14" t="str">
        <f aca="false">IF($A78=0,"",INDEX(BD_PLAN!F:F,$A78))</f>
        <v/>
      </c>
      <c r="H78" s="12" t="str">
        <f aca="false">IF($A78=0,"",INDEX(BD_PLAN!G:G,$A78))</f>
        <v/>
      </c>
      <c r="I78" s="15" t="str">
        <f aca="false">IF($A78=0,"",INDEX(BD_PLAN!H:H,$A78))</f>
        <v/>
      </c>
      <c r="J78" s="15" t="str">
        <f aca="false">IF($A78=0,"",INDEX(BD_PLAN!I:I,$A78))</f>
        <v/>
      </c>
      <c r="K78" s="16" t="str">
        <f aca="false">IF($A78=0,"",IF($R78&lt;&gt;$R77,SUMIFS(BD_PLAN!$I$3:$I$312,BD_PLAN!$B$3:$B$312,$C$9,BD_PLAN!$C$3:$C$312,$R78),""))</f>
        <v/>
      </c>
      <c r="M78" s="10" t="str">
        <f aca="false">IF($Q78=0,"",IF($T78&lt;&gt;$T77,$T78,""))</f>
        <v/>
      </c>
      <c r="N78" s="12" t="str">
        <f aca="false">IF($Q78=0,"",IF(OR($T78&lt;&gt;$T77,$U78&lt;&gt;$U77),$U78,""))</f>
        <v>EJES / RODAJES</v>
      </c>
      <c r="O78" s="12" t="str">
        <f aca="false">IF($Q78=0,"",INDEX(BD_INSPECCION!E:E,$Q78))</f>
        <v>INSPECCIONAR</v>
      </c>
      <c r="P78" s="13" t="str">
        <f aca="false">IF($Q78=0,"",INDEX(BD_INSPECCION!F:F,$Q78))</f>
        <v>PALIERES, RODAJES DE RUEDA Y RETENES (JUEGO, RUIDO Y FUGAS)</v>
      </c>
      <c r="Q78" s="1" t="n">
        <f aca="false">IFERROR(MATCH($C$9&amp;"|60",BD_INSPECCION!$G:$G,0),0)</f>
        <v>62</v>
      </c>
      <c r="R78" s="1" t="str">
        <f aca="false">IF($A78=0,"",INDEX(BD_PLAN!C:C,$A78))</f>
        <v/>
      </c>
      <c r="S78" s="1" t="str">
        <f aca="false">IF($A78=0,"",INDEX(BD_PLAN!D:D,$A78))</f>
        <v/>
      </c>
      <c r="T78" s="1" t="str">
        <f aca="false">IF($Q78=0,"",INDEX(BD_INSPECCION!C:C,$Q78))</f>
        <v>PM3 - 3000 KM</v>
      </c>
      <c r="U78" s="1" t="str">
        <f aca="false">IF($Q78=0,"",INDEX(BD_INSPECCION!D:D,$Q78))</f>
        <v>EJES / RODAJES</v>
      </c>
    </row>
    <row r="79" customFormat="false" ht="22.35" hidden="false" customHeight="false" outlineLevel="0" collapsed="false">
      <c r="A79" s="1" t="n">
        <f aca="false">IFERROR(MATCH($C$9&amp;"|61",BD_PLAN!$J:$J,0),0)</f>
        <v>0</v>
      </c>
      <c r="B79" s="10" t="str">
        <f aca="false">IF($A79=0,"",IF($R79&lt;&gt;$R78,LEFT($R79,FIND(" ",$R79)-1),""))</f>
        <v/>
      </c>
      <c r="C79" s="10" t="str">
        <f aca="false">IF($A79=0,"",IF($R79&lt;&gt;$R78,INDEX(BD_CICLO!$E:$E,MATCH($C$9&amp;"|"&amp;$R79,BD_CICLO!$G:$G,0))&amp;" "&amp;$F$6,""))</f>
        <v/>
      </c>
      <c r="D79" s="11" t="str">
        <f aca="false">IF($A79=0,"",IF($R79&lt;&gt;$R78,IFERROR(1/(1/SUMPRODUCT(MAX((REGISTRO!$C$3:$C$2002=$C$6)*(REGISTRO!$H$3:$H$2002=$R79)*REGISTRO!$B$3:$B$2002))),""),""))</f>
        <v/>
      </c>
      <c r="E79" s="12" t="str">
        <f aca="false">IF($A79=0,"",IF(OR($R79&lt;&gt;$R78,$S79&lt;&gt;$S78),$S79,""))</f>
        <v/>
      </c>
      <c r="F79" s="13" t="str">
        <f aca="false">IF($A79=0,"",INDEX(BD_PLAN!E:E,$A79))</f>
        <v/>
      </c>
      <c r="G79" s="14" t="str">
        <f aca="false">IF($A79=0,"",INDEX(BD_PLAN!F:F,$A79))</f>
        <v/>
      </c>
      <c r="H79" s="12" t="str">
        <f aca="false">IF($A79=0,"",INDEX(BD_PLAN!G:G,$A79))</f>
        <v/>
      </c>
      <c r="I79" s="15" t="str">
        <f aca="false">IF($A79=0,"",INDEX(BD_PLAN!H:H,$A79))</f>
        <v/>
      </c>
      <c r="J79" s="15" t="str">
        <f aca="false">IF($A79=0,"",INDEX(BD_PLAN!I:I,$A79))</f>
        <v/>
      </c>
      <c r="K79" s="16" t="str">
        <f aca="false">IF($A79=0,"",IF($R79&lt;&gt;$R78,SUMIFS(BD_PLAN!$I$3:$I$312,BD_PLAN!$B$3:$B$312,$C$9,BD_PLAN!$C$3:$C$312,$R79),""))</f>
        <v/>
      </c>
      <c r="M79" s="10" t="str">
        <f aca="false">IF($Q79=0,"",IF($T79&lt;&gt;$T78,$T79,""))</f>
        <v/>
      </c>
      <c r="N79" s="12" t="str">
        <f aca="false">IF($Q79=0,"",IF(OR($T79&lt;&gt;$T78,$U79&lt;&gt;$U78),$U79,""))</f>
        <v>FRENOS</v>
      </c>
      <c r="O79" s="12" t="str">
        <f aca="false">IF($Q79=0,"",INDEX(BD_INSPECCION!E:E,$Q79))</f>
        <v>INSPECCIONAR</v>
      </c>
      <c r="P79" s="13" t="str">
        <f aca="false">IF($Q79=0,"",INDEX(BD_INSPECCION!F:F,$Q79))</f>
        <v>ZAPATAS, TAMBORES, CABLES Y JUEGO LIBRE DE PALANCA Y PEDAL</v>
      </c>
      <c r="Q79" s="1" t="n">
        <f aca="false">IFERROR(MATCH($C$9&amp;"|61",BD_INSPECCION!$G:$G,0),0)</f>
        <v>63</v>
      </c>
      <c r="R79" s="1" t="str">
        <f aca="false">IF($A79=0,"",INDEX(BD_PLAN!C:C,$A79))</f>
        <v/>
      </c>
      <c r="S79" s="1" t="str">
        <f aca="false">IF($A79=0,"",INDEX(BD_PLAN!D:D,$A79))</f>
        <v/>
      </c>
      <c r="T79" s="1" t="str">
        <f aca="false">IF($Q79=0,"",INDEX(BD_INSPECCION!C:C,$Q79))</f>
        <v>PM3 - 3000 KM</v>
      </c>
      <c r="U79" s="1" t="str">
        <f aca="false">IF($Q79=0,"",INDEX(BD_INSPECCION!D:D,$Q79))</f>
        <v>FRENOS</v>
      </c>
    </row>
    <row r="80" customFormat="false" ht="22.35" hidden="false" customHeight="false" outlineLevel="0" collapsed="false">
      <c r="A80" s="1" t="n">
        <f aca="false">IFERROR(MATCH($C$9&amp;"|62",BD_PLAN!$J:$J,0),0)</f>
        <v>0</v>
      </c>
      <c r="B80" s="10" t="str">
        <f aca="false">IF($A80=0,"",IF($R80&lt;&gt;$R79,LEFT($R80,FIND(" ",$R80)-1),""))</f>
        <v/>
      </c>
      <c r="C80" s="10" t="str">
        <f aca="false">IF($A80=0,"",IF($R80&lt;&gt;$R79,INDEX(BD_CICLO!$E:$E,MATCH($C$9&amp;"|"&amp;$R80,BD_CICLO!$G:$G,0))&amp;" "&amp;$F$6,""))</f>
        <v/>
      </c>
      <c r="D80" s="11" t="str">
        <f aca="false">IF($A80=0,"",IF($R80&lt;&gt;$R79,IFERROR(1/(1/SUMPRODUCT(MAX((REGISTRO!$C$3:$C$2002=$C$6)*(REGISTRO!$H$3:$H$2002=$R80)*REGISTRO!$B$3:$B$2002))),""),""))</f>
        <v/>
      </c>
      <c r="E80" s="12" t="str">
        <f aca="false">IF($A80=0,"",IF(OR($R80&lt;&gt;$R79,$S80&lt;&gt;$S79),$S80,""))</f>
        <v/>
      </c>
      <c r="F80" s="13" t="str">
        <f aca="false">IF($A80=0,"",INDEX(BD_PLAN!E:E,$A80))</f>
        <v/>
      </c>
      <c r="G80" s="14" t="str">
        <f aca="false">IF($A80=0,"",INDEX(BD_PLAN!F:F,$A80))</f>
        <v/>
      </c>
      <c r="H80" s="12" t="str">
        <f aca="false">IF($A80=0,"",INDEX(BD_PLAN!G:G,$A80))</f>
        <v/>
      </c>
      <c r="I80" s="15" t="str">
        <f aca="false">IF($A80=0,"",INDEX(BD_PLAN!H:H,$A80))</f>
        <v/>
      </c>
      <c r="J80" s="15" t="str">
        <f aca="false">IF($A80=0,"",INDEX(BD_PLAN!I:I,$A80))</f>
        <v/>
      </c>
      <c r="K80" s="16" t="str">
        <f aca="false">IF($A80=0,"",IF($R80&lt;&gt;$R79,SUMIFS(BD_PLAN!$I$3:$I$312,BD_PLAN!$B$3:$B$312,$C$9,BD_PLAN!$C$3:$C$312,$R80),""))</f>
        <v/>
      </c>
      <c r="M80" s="10" t="str">
        <f aca="false">IF($Q80=0,"",IF($T80&lt;&gt;$T79,$T80,""))</f>
        <v/>
      </c>
      <c r="N80" s="12" t="str">
        <f aca="false">IF($Q80=0,"",IF(OR($T80&lt;&gt;$T79,$U80&lt;&gt;$U79),$U80,""))</f>
        <v>DIRECCIÓN</v>
      </c>
      <c r="O80" s="12" t="str">
        <f aca="false">IF($Q80=0,"",INDEX(BD_INSPECCION!E:E,$Q80))</f>
        <v>INSPECCIONAR</v>
      </c>
      <c r="P80" s="13" t="str">
        <f aca="false">IF($Q80=0,"",INDEX(BD_INSPECCION!F:F,$Q80))</f>
        <v>RODAJES DE DIRECCIÓN Y JUEGO DEL TIMÓN</v>
      </c>
      <c r="Q80" s="1" t="n">
        <f aca="false">IFERROR(MATCH($C$9&amp;"|62",BD_INSPECCION!$G:$G,0),0)</f>
        <v>64</v>
      </c>
      <c r="R80" s="1" t="str">
        <f aca="false">IF($A80=0,"",INDEX(BD_PLAN!C:C,$A80))</f>
        <v/>
      </c>
      <c r="S80" s="1" t="str">
        <f aca="false">IF($A80=0,"",INDEX(BD_PLAN!D:D,$A80))</f>
        <v/>
      </c>
      <c r="T80" s="1" t="str">
        <f aca="false">IF($Q80=0,"",INDEX(BD_INSPECCION!C:C,$Q80))</f>
        <v>PM3 - 3000 KM</v>
      </c>
      <c r="U80" s="1" t="str">
        <f aca="false">IF($Q80=0,"",INDEX(BD_INSPECCION!D:D,$Q80))</f>
        <v>DIRECCIÓN</v>
      </c>
    </row>
    <row r="81" customFormat="false" ht="15" hidden="false" customHeight="false" outlineLevel="0" collapsed="false">
      <c r="A81" s="1" t="n">
        <f aca="false">IFERROR(MATCH($C$9&amp;"|63",BD_PLAN!$J:$J,0),0)</f>
        <v>0</v>
      </c>
      <c r="B81" s="10" t="str">
        <f aca="false">IF($A81=0,"",IF($R81&lt;&gt;$R80,LEFT($R81,FIND(" ",$R81)-1),""))</f>
        <v/>
      </c>
      <c r="C81" s="10" t="str">
        <f aca="false">IF($A81=0,"",IF($R81&lt;&gt;$R80,INDEX(BD_CICLO!$E:$E,MATCH($C$9&amp;"|"&amp;$R81,BD_CICLO!$G:$G,0))&amp;" "&amp;$F$6,""))</f>
        <v/>
      </c>
      <c r="D81" s="11" t="str">
        <f aca="false">IF($A81=0,"",IF($R81&lt;&gt;$R80,IFERROR(1/(1/SUMPRODUCT(MAX((REGISTRO!$C$3:$C$2002=$C$6)*(REGISTRO!$H$3:$H$2002=$R81)*REGISTRO!$B$3:$B$2002))),""),""))</f>
        <v/>
      </c>
      <c r="E81" s="12" t="str">
        <f aca="false">IF($A81=0,"",IF(OR($R81&lt;&gt;$R80,$S81&lt;&gt;$S80),$S81,""))</f>
        <v/>
      </c>
      <c r="F81" s="13" t="str">
        <f aca="false">IF($A81=0,"",INDEX(BD_PLAN!E:E,$A81))</f>
        <v/>
      </c>
      <c r="G81" s="14" t="str">
        <f aca="false">IF($A81=0,"",INDEX(BD_PLAN!F:F,$A81))</f>
        <v/>
      </c>
      <c r="H81" s="12" t="str">
        <f aca="false">IF($A81=0,"",INDEX(BD_PLAN!G:G,$A81))</f>
        <v/>
      </c>
      <c r="I81" s="15" t="str">
        <f aca="false">IF($A81=0,"",INDEX(BD_PLAN!H:H,$A81))</f>
        <v/>
      </c>
      <c r="J81" s="15" t="str">
        <f aca="false">IF($A81=0,"",INDEX(BD_PLAN!I:I,$A81))</f>
        <v/>
      </c>
      <c r="K81" s="16" t="str">
        <f aca="false">IF($A81=0,"",IF($R81&lt;&gt;$R80,SUMIFS(BD_PLAN!$I$3:$I$312,BD_PLAN!$B$3:$B$312,$C$9,BD_PLAN!$C$3:$C$312,$R81),""))</f>
        <v/>
      </c>
      <c r="M81" s="10" t="str">
        <f aca="false">IF($Q81=0,"",IF($T81&lt;&gt;$T80,$T81,""))</f>
        <v/>
      </c>
      <c r="N81" s="12" t="str">
        <f aca="false">IF($Q81=0,"",IF(OR($T81&lt;&gt;$T80,$U81&lt;&gt;$U80),$U81,""))</f>
        <v/>
      </c>
      <c r="O81" s="12" t="str">
        <f aca="false">IF($Q81=0,"",INDEX(BD_INSPECCION!E:E,$Q81))</f>
        <v>LUBRICAR</v>
      </c>
      <c r="P81" s="13" t="str">
        <f aca="false">IF($Q81=0,"",INDEX(BD_INSPECCION!F:F,$Q81))</f>
        <v>RODAJES DE DIRECCIÓN</v>
      </c>
      <c r="Q81" s="1" t="n">
        <f aca="false">IFERROR(MATCH($C$9&amp;"|63",BD_INSPECCION!$G:$G,0),0)</f>
        <v>65</v>
      </c>
      <c r="R81" s="1" t="str">
        <f aca="false">IF($A81=0,"",INDEX(BD_PLAN!C:C,$A81))</f>
        <v/>
      </c>
      <c r="S81" s="1" t="str">
        <f aca="false">IF($A81=0,"",INDEX(BD_PLAN!D:D,$A81))</f>
        <v/>
      </c>
      <c r="T81" s="1" t="str">
        <f aca="false">IF($Q81=0,"",INDEX(BD_INSPECCION!C:C,$Q81))</f>
        <v>PM3 - 3000 KM</v>
      </c>
      <c r="U81" s="1" t="str">
        <f aca="false">IF($Q81=0,"",INDEX(BD_INSPECCION!D:D,$Q81))</f>
        <v>DIRECCIÓN</v>
      </c>
    </row>
    <row r="82" customFormat="false" ht="22.35" hidden="false" customHeight="false" outlineLevel="0" collapsed="false">
      <c r="A82" s="1" t="n">
        <f aca="false">IFERROR(MATCH($C$9&amp;"|64",BD_PLAN!$J:$J,0),0)</f>
        <v>0</v>
      </c>
      <c r="B82" s="10" t="str">
        <f aca="false">IF($A82=0,"",IF($R82&lt;&gt;$R81,LEFT($R82,FIND(" ",$R82)-1),""))</f>
        <v/>
      </c>
      <c r="C82" s="10" t="str">
        <f aca="false">IF($A82=0,"",IF($R82&lt;&gt;$R81,INDEX(BD_CICLO!$E:$E,MATCH($C$9&amp;"|"&amp;$R82,BD_CICLO!$G:$G,0))&amp;" "&amp;$F$6,""))</f>
        <v/>
      </c>
      <c r="D82" s="11" t="str">
        <f aca="false">IF($A82=0,"",IF($R82&lt;&gt;$R81,IFERROR(1/(1/SUMPRODUCT(MAX((REGISTRO!$C$3:$C$2002=$C$6)*(REGISTRO!$H$3:$H$2002=$R82)*REGISTRO!$B$3:$B$2002))),""),""))</f>
        <v/>
      </c>
      <c r="E82" s="12" t="str">
        <f aca="false">IF($A82=0,"",IF(OR($R82&lt;&gt;$R81,$S82&lt;&gt;$S81),$S82,""))</f>
        <v/>
      </c>
      <c r="F82" s="13" t="str">
        <f aca="false">IF($A82=0,"",INDEX(BD_PLAN!E:E,$A82))</f>
        <v/>
      </c>
      <c r="G82" s="14" t="str">
        <f aca="false">IF($A82=0,"",INDEX(BD_PLAN!F:F,$A82))</f>
        <v/>
      </c>
      <c r="H82" s="12" t="str">
        <f aca="false">IF($A82=0,"",INDEX(BD_PLAN!G:G,$A82))</f>
        <v/>
      </c>
      <c r="I82" s="15" t="str">
        <f aca="false">IF($A82=0,"",INDEX(BD_PLAN!H:H,$A82))</f>
        <v/>
      </c>
      <c r="J82" s="15" t="str">
        <f aca="false">IF($A82=0,"",INDEX(BD_PLAN!I:I,$A82))</f>
        <v/>
      </c>
      <c r="K82" s="16" t="str">
        <f aca="false">IF($A82=0,"",IF($R82&lt;&gt;$R81,SUMIFS(BD_PLAN!$I$3:$I$312,BD_PLAN!$B$3:$B$312,$C$9,BD_PLAN!$C$3:$C$312,$R82),""))</f>
        <v/>
      </c>
      <c r="M82" s="10" t="str">
        <f aca="false">IF($Q82=0,"",IF($T82&lt;&gt;$T81,$T82,""))</f>
        <v/>
      </c>
      <c r="N82" s="12" t="str">
        <f aca="false">IF($Q82=0,"",IF(OR($T82&lt;&gt;$T81,$U82&lt;&gt;$U81),$U82,""))</f>
        <v>SUSPENSIÓN DELANTERA</v>
      </c>
      <c r="O82" s="12" t="str">
        <f aca="false">IF($Q82=0,"",INDEX(BD_INSPECCION!E:E,$Q82))</f>
        <v>INSPECCIONAR</v>
      </c>
      <c r="P82" s="13" t="str">
        <f aca="false">IF($Q82=0,"",INDEX(BD_INSPECCION!F:F,$Q82))</f>
        <v>HORQUILLAS: FUGAS DE RETENES Y FUNCIONAMIENTO</v>
      </c>
      <c r="Q82" s="1" t="n">
        <f aca="false">IFERROR(MATCH($C$9&amp;"|64",BD_INSPECCION!$G:$G,0),0)</f>
        <v>66</v>
      </c>
      <c r="R82" s="1" t="str">
        <f aca="false">IF($A82=0,"",INDEX(BD_PLAN!C:C,$A82))</f>
        <v/>
      </c>
      <c r="S82" s="1" t="str">
        <f aca="false">IF($A82=0,"",INDEX(BD_PLAN!D:D,$A82))</f>
        <v/>
      </c>
      <c r="T82" s="1" t="str">
        <f aca="false">IF($Q82=0,"",INDEX(BD_INSPECCION!C:C,$Q82))</f>
        <v>PM3 - 3000 KM</v>
      </c>
      <c r="U82" s="1" t="str">
        <f aca="false">IF($Q82=0,"",INDEX(BD_INSPECCION!D:D,$Q82))</f>
        <v>SUSPENSIÓN DELANTERA</v>
      </c>
    </row>
    <row r="83" customFormat="false" ht="22.35" hidden="false" customHeight="false" outlineLevel="0" collapsed="false">
      <c r="A83" s="1" t="n">
        <f aca="false">IFERROR(MATCH($C$9&amp;"|65",BD_PLAN!$J:$J,0),0)</f>
        <v>0</v>
      </c>
      <c r="B83" s="10" t="str">
        <f aca="false">IF($A83=0,"",IF($R83&lt;&gt;$R82,LEFT($R83,FIND(" ",$R83)-1),""))</f>
        <v/>
      </c>
      <c r="C83" s="10" t="str">
        <f aca="false">IF($A83=0,"",IF($R83&lt;&gt;$R82,INDEX(BD_CICLO!$E:$E,MATCH($C$9&amp;"|"&amp;$R83,BD_CICLO!$G:$G,0))&amp;" "&amp;$F$6,""))</f>
        <v/>
      </c>
      <c r="D83" s="11" t="str">
        <f aca="false">IF($A83=0,"",IF($R83&lt;&gt;$R82,IFERROR(1/(1/SUMPRODUCT(MAX((REGISTRO!$C$3:$C$2002=$C$6)*(REGISTRO!$H$3:$H$2002=$R83)*REGISTRO!$B$3:$B$2002))),""),""))</f>
        <v/>
      </c>
      <c r="E83" s="12" t="str">
        <f aca="false">IF($A83=0,"",IF(OR($R83&lt;&gt;$R82,$S83&lt;&gt;$S82),$S83,""))</f>
        <v/>
      </c>
      <c r="F83" s="13" t="str">
        <f aca="false">IF($A83=0,"",INDEX(BD_PLAN!E:E,$A83))</f>
        <v/>
      </c>
      <c r="G83" s="14" t="str">
        <f aca="false">IF($A83=0,"",INDEX(BD_PLAN!F:F,$A83))</f>
        <v/>
      </c>
      <c r="H83" s="12" t="str">
        <f aca="false">IF($A83=0,"",INDEX(BD_PLAN!G:G,$A83))</f>
        <v/>
      </c>
      <c r="I83" s="15" t="str">
        <f aca="false">IF($A83=0,"",INDEX(BD_PLAN!H:H,$A83))</f>
        <v/>
      </c>
      <c r="J83" s="15" t="str">
        <f aca="false">IF($A83=0,"",INDEX(BD_PLAN!I:I,$A83))</f>
        <v/>
      </c>
      <c r="K83" s="16" t="str">
        <f aca="false">IF($A83=0,"",IF($R83&lt;&gt;$R82,SUMIFS(BD_PLAN!$I$3:$I$312,BD_PLAN!$B$3:$B$312,$C$9,BD_PLAN!$C$3:$C$312,$R83),""))</f>
        <v/>
      </c>
      <c r="M83" s="10" t="str">
        <f aca="false">IF($Q83=0,"",IF($T83&lt;&gt;$T82,$T83,""))</f>
        <v/>
      </c>
      <c r="N83" s="12" t="str">
        <f aca="false">IF($Q83=0,"",IF(OR($T83&lt;&gt;$T82,$U83&lt;&gt;$U82),$U83,""))</f>
        <v>SUSPENSIÓN TRASERA</v>
      </c>
      <c r="O83" s="12" t="str">
        <f aca="false">IF($Q83=0,"",INDEX(BD_INSPECCION!E:E,$Q83))</f>
        <v>INSPECCIONAR</v>
      </c>
      <c r="P83" s="13" t="str">
        <f aca="false">IF($Q83=0,"",INDEX(BD_INSPECCION!F:F,$Q83))</f>
        <v>MUELLES (HOJAS ROTAS), ABRAZADERAS, BUJES Y AMORTIGUADOR</v>
      </c>
      <c r="Q83" s="1" t="n">
        <f aca="false">IFERROR(MATCH($C$9&amp;"|65",BD_INSPECCION!$G:$G,0),0)</f>
        <v>67</v>
      </c>
      <c r="R83" s="1" t="str">
        <f aca="false">IF($A83=0,"",INDEX(BD_PLAN!C:C,$A83))</f>
        <v/>
      </c>
      <c r="S83" s="1" t="str">
        <f aca="false">IF($A83=0,"",INDEX(BD_PLAN!D:D,$A83))</f>
        <v/>
      </c>
      <c r="T83" s="1" t="str">
        <f aca="false">IF($Q83=0,"",INDEX(BD_INSPECCION!C:C,$Q83))</f>
        <v>PM3 - 3000 KM</v>
      </c>
      <c r="U83" s="1" t="str">
        <f aca="false">IF($Q83=0,"",INDEX(BD_INSPECCION!D:D,$Q83))</f>
        <v>SUSPENSIÓN TRASERA</v>
      </c>
    </row>
    <row r="84" customFormat="false" ht="15" hidden="false" customHeight="false" outlineLevel="0" collapsed="false">
      <c r="A84" s="1" t="n">
        <f aca="false">IFERROR(MATCH($C$9&amp;"|66",BD_PLAN!$J:$J,0),0)</f>
        <v>0</v>
      </c>
      <c r="B84" s="10" t="str">
        <f aca="false">IF($A84=0,"",IF($R84&lt;&gt;$R83,LEFT($R84,FIND(" ",$R84)-1),""))</f>
        <v/>
      </c>
      <c r="C84" s="10" t="str">
        <f aca="false">IF($A84=0,"",IF($R84&lt;&gt;$R83,INDEX(BD_CICLO!$E:$E,MATCH($C$9&amp;"|"&amp;$R84,BD_CICLO!$G:$G,0))&amp;" "&amp;$F$6,""))</f>
        <v/>
      </c>
      <c r="D84" s="11" t="str">
        <f aca="false">IF($A84=0,"",IF($R84&lt;&gt;$R83,IFERROR(1/(1/SUMPRODUCT(MAX((REGISTRO!$C$3:$C$2002=$C$6)*(REGISTRO!$H$3:$H$2002=$R84)*REGISTRO!$B$3:$B$2002))),""),""))</f>
        <v/>
      </c>
      <c r="E84" s="12" t="str">
        <f aca="false">IF($A84=0,"",IF(OR($R84&lt;&gt;$R83,$S84&lt;&gt;$S83),$S84,""))</f>
        <v/>
      </c>
      <c r="F84" s="13" t="str">
        <f aca="false">IF($A84=0,"",INDEX(BD_PLAN!E:E,$A84))</f>
        <v/>
      </c>
      <c r="G84" s="14" t="str">
        <f aca="false">IF($A84=0,"",INDEX(BD_PLAN!F:F,$A84))</f>
        <v/>
      </c>
      <c r="H84" s="12" t="str">
        <f aca="false">IF($A84=0,"",INDEX(BD_PLAN!G:G,$A84))</f>
        <v/>
      </c>
      <c r="I84" s="15" t="str">
        <f aca="false">IF($A84=0,"",INDEX(BD_PLAN!H:H,$A84))</f>
        <v/>
      </c>
      <c r="J84" s="15" t="str">
        <f aca="false">IF($A84=0,"",INDEX(BD_PLAN!I:I,$A84))</f>
        <v/>
      </c>
      <c r="K84" s="16" t="str">
        <f aca="false">IF($A84=0,"",IF($R84&lt;&gt;$R83,SUMIFS(BD_PLAN!$I$3:$I$312,BD_PLAN!$B$3:$B$312,$C$9,BD_PLAN!$C$3:$C$312,$R84),""))</f>
        <v/>
      </c>
      <c r="M84" s="10" t="str">
        <f aca="false">IF($Q84=0,"",IF($T84&lt;&gt;$T83,$T84,""))</f>
        <v/>
      </c>
      <c r="N84" s="12" t="str">
        <f aca="false">IF($Q84=0,"",IF(OR($T84&lt;&gt;$T83,$U84&lt;&gt;$U83),$U84,""))</f>
        <v>CONTROLES</v>
      </c>
      <c r="O84" s="12" t="str">
        <f aca="false">IF($Q84=0,"",INDEX(BD_INSPECCION!E:E,$Q84))</f>
        <v>LUBRICAR</v>
      </c>
      <c r="P84" s="13" t="str">
        <f aca="false">IF($Q84=0,"",INDEX(BD_INSPECCION!F:F,$Q84))</f>
        <v>MANIJAS Y CABLES DE FRENO, EMBRAGUE Y ACELERADOR</v>
      </c>
      <c r="Q84" s="1" t="n">
        <f aca="false">IFERROR(MATCH($C$9&amp;"|66",BD_INSPECCION!$G:$G,0),0)</f>
        <v>68</v>
      </c>
      <c r="R84" s="1" t="str">
        <f aca="false">IF($A84=0,"",INDEX(BD_PLAN!C:C,$A84))</f>
        <v/>
      </c>
      <c r="S84" s="1" t="str">
        <f aca="false">IF($A84=0,"",INDEX(BD_PLAN!D:D,$A84))</f>
        <v/>
      </c>
      <c r="T84" s="1" t="str">
        <f aca="false">IF($Q84=0,"",INDEX(BD_INSPECCION!C:C,$Q84))</f>
        <v>PM3 - 3000 KM</v>
      </c>
      <c r="U84" s="1" t="str">
        <f aca="false">IF($Q84=0,"",INDEX(BD_INSPECCION!D:D,$Q84))</f>
        <v>CONTROLES</v>
      </c>
    </row>
    <row r="85" customFormat="false" ht="22.35" hidden="false" customHeight="false" outlineLevel="0" collapsed="false">
      <c r="A85" s="1" t="n">
        <f aca="false">IFERROR(MATCH($C$9&amp;"|67",BD_PLAN!$J:$J,0),0)</f>
        <v>0</v>
      </c>
      <c r="B85" s="10" t="str">
        <f aca="false">IF($A85=0,"",IF($R85&lt;&gt;$R84,LEFT($R85,FIND(" ",$R85)-1),""))</f>
        <v/>
      </c>
      <c r="C85" s="10" t="str">
        <f aca="false">IF($A85=0,"",IF($R85&lt;&gt;$R84,INDEX(BD_CICLO!$E:$E,MATCH($C$9&amp;"|"&amp;$R85,BD_CICLO!$G:$G,0))&amp;" "&amp;$F$6,""))</f>
        <v/>
      </c>
      <c r="D85" s="11" t="str">
        <f aca="false">IF($A85=0,"",IF($R85&lt;&gt;$R84,IFERROR(1/(1/SUMPRODUCT(MAX((REGISTRO!$C$3:$C$2002=$C$6)*(REGISTRO!$H$3:$H$2002=$R85)*REGISTRO!$B$3:$B$2002))),""),""))</f>
        <v/>
      </c>
      <c r="E85" s="12" t="str">
        <f aca="false">IF($A85=0,"",IF(OR($R85&lt;&gt;$R84,$S85&lt;&gt;$S84),$S85,""))</f>
        <v/>
      </c>
      <c r="F85" s="13" t="str">
        <f aca="false">IF($A85=0,"",INDEX(BD_PLAN!E:E,$A85))</f>
        <v/>
      </c>
      <c r="G85" s="14" t="str">
        <f aca="false">IF($A85=0,"",INDEX(BD_PLAN!F:F,$A85))</f>
        <v/>
      </c>
      <c r="H85" s="12" t="str">
        <f aca="false">IF($A85=0,"",INDEX(BD_PLAN!G:G,$A85))</f>
        <v/>
      </c>
      <c r="I85" s="15" t="str">
        <f aca="false">IF($A85=0,"",INDEX(BD_PLAN!H:H,$A85))</f>
        <v/>
      </c>
      <c r="J85" s="15" t="str">
        <f aca="false">IF($A85=0,"",INDEX(BD_PLAN!I:I,$A85))</f>
        <v/>
      </c>
      <c r="K85" s="16" t="str">
        <f aca="false">IF($A85=0,"",IF($R85&lt;&gt;$R84,SUMIFS(BD_PLAN!$I$3:$I$312,BD_PLAN!$B$3:$B$312,$C$9,BD_PLAN!$C$3:$C$312,$R85),""))</f>
        <v/>
      </c>
      <c r="M85" s="10" t="str">
        <f aca="false">IF($Q85=0,"",IF($T85&lt;&gt;$T84,$T85,""))</f>
        <v/>
      </c>
      <c r="N85" s="12" t="str">
        <f aca="false">IF($Q85=0,"",IF(OR($T85&lt;&gt;$T84,$U85&lt;&gt;$U84),$U85,""))</f>
        <v>RUEDAS</v>
      </c>
      <c r="O85" s="12" t="str">
        <f aca="false">IF($Q85=0,"",INDEX(BD_INSPECCION!E:E,$Q85))</f>
        <v>INSPECCIONAR</v>
      </c>
      <c r="P85" s="13" t="str">
        <f aca="false">IF($Q85=0,"",INDEX(BD_INSPECCION!F:F,$Q85))</f>
        <v>PRESIÓN, DESGASTE DE LLANTAS Y AJUSTE DE TUERCAS</v>
      </c>
      <c r="Q85" s="1" t="n">
        <f aca="false">IFERROR(MATCH($C$9&amp;"|67",BD_INSPECCION!$G:$G,0),0)</f>
        <v>69</v>
      </c>
      <c r="R85" s="1" t="str">
        <f aca="false">IF($A85=0,"",INDEX(BD_PLAN!C:C,$A85))</f>
        <v/>
      </c>
      <c r="S85" s="1" t="str">
        <f aca="false">IF($A85=0,"",INDEX(BD_PLAN!D:D,$A85))</f>
        <v/>
      </c>
      <c r="T85" s="1" t="str">
        <f aca="false">IF($Q85=0,"",INDEX(BD_INSPECCION!C:C,$Q85))</f>
        <v>PM3 - 3000 KM</v>
      </c>
      <c r="U85" s="1" t="str">
        <f aca="false">IF($Q85=0,"",INDEX(BD_INSPECCION!D:D,$Q85))</f>
        <v>RUEDAS</v>
      </c>
    </row>
    <row r="86" customFormat="false" ht="22.35" hidden="false" customHeight="false" outlineLevel="0" collapsed="false">
      <c r="A86" s="1" t="n">
        <f aca="false">IFERROR(MATCH($C$9&amp;"|68",BD_PLAN!$J:$J,0),0)</f>
        <v>0</v>
      </c>
      <c r="B86" s="10" t="str">
        <f aca="false">IF($A86=0,"",IF($R86&lt;&gt;$R85,LEFT($R86,FIND(" ",$R86)-1),""))</f>
        <v/>
      </c>
      <c r="C86" s="10" t="str">
        <f aca="false">IF($A86=0,"",IF($R86&lt;&gt;$R85,INDEX(BD_CICLO!$E:$E,MATCH($C$9&amp;"|"&amp;$R86,BD_CICLO!$G:$G,0))&amp;" "&amp;$F$6,""))</f>
        <v/>
      </c>
      <c r="D86" s="11" t="str">
        <f aca="false">IF($A86=0,"",IF($R86&lt;&gt;$R85,IFERROR(1/(1/SUMPRODUCT(MAX((REGISTRO!$C$3:$C$2002=$C$6)*(REGISTRO!$H$3:$H$2002=$R86)*REGISTRO!$B$3:$B$2002))),""),""))</f>
        <v/>
      </c>
      <c r="E86" s="12" t="str">
        <f aca="false">IF($A86=0,"",IF(OR($R86&lt;&gt;$R85,$S86&lt;&gt;$S85),$S86,""))</f>
        <v/>
      </c>
      <c r="F86" s="13" t="str">
        <f aca="false">IF($A86=0,"",INDEX(BD_PLAN!E:E,$A86))</f>
        <v/>
      </c>
      <c r="G86" s="14" t="str">
        <f aca="false">IF($A86=0,"",INDEX(BD_PLAN!F:F,$A86))</f>
        <v/>
      </c>
      <c r="H86" s="12" t="str">
        <f aca="false">IF($A86=0,"",INDEX(BD_PLAN!G:G,$A86))</f>
        <v/>
      </c>
      <c r="I86" s="15" t="str">
        <f aca="false">IF($A86=0,"",INDEX(BD_PLAN!H:H,$A86))</f>
        <v/>
      </c>
      <c r="J86" s="15" t="str">
        <f aca="false">IF($A86=0,"",INDEX(BD_PLAN!I:I,$A86))</f>
        <v/>
      </c>
      <c r="K86" s="16" t="str">
        <f aca="false">IF($A86=0,"",IF($R86&lt;&gt;$R85,SUMIFS(BD_PLAN!$I$3:$I$312,BD_PLAN!$B$3:$B$312,$C$9,BD_PLAN!$C$3:$C$312,$R86),""))</f>
        <v/>
      </c>
      <c r="M86" s="10" t="str">
        <f aca="false">IF($Q86=0,"",IF($T86&lt;&gt;$T85,$T86,""))</f>
        <v/>
      </c>
      <c r="N86" s="12" t="str">
        <f aca="false">IF($Q86=0,"",IF(OR($T86&lt;&gt;$T85,$U86&lt;&gt;$U85),$U86,""))</f>
        <v>SISTEMA ELÉCTRICO</v>
      </c>
      <c r="O86" s="12" t="str">
        <f aca="false">IF($Q86=0,"",INDEX(BD_INSPECCION!E:E,$Q86))</f>
        <v>INSPECCIONAR</v>
      </c>
      <c r="P86" s="13" t="str">
        <f aca="false">IF($Q86=0,"",INDEX(BD_INSPECCION!F:F,$Q86))</f>
        <v>BATERÍA, BORNES, LUCES, CLAXON E INTERRUPTORES</v>
      </c>
      <c r="Q86" s="1" t="n">
        <f aca="false">IFERROR(MATCH($C$9&amp;"|68",BD_INSPECCION!$G:$G,0),0)</f>
        <v>70</v>
      </c>
      <c r="R86" s="1" t="str">
        <f aca="false">IF($A86=0,"",INDEX(BD_PLAN!C:C,$A86))</f>
        <v/>
      </c>
      <c r="S86" s="1" t="str">
        <f aca="false">IF($A86=0,"",INDEX(BD_PLAN!D:D,$A86))</f>
        <v/>
      </c>
      <c r="T86" s="1" t="str">
        <f aca="false">IF($Q86=0,"",INDEX(BD_INSPECCION!C:C,$Q86))</f>
        <v>PM3 - 3000 KM</v>
      </c>
      <c r="U86" s="1" t="str">
        <f aca="false">IF($Q86=0,"",INDEX(BD_INSPECCION!D:D,$Q86))</f>
        <v>SISTEMA ELÉCTRICO</v>
      </c>
    </row>
    <row r="87" customFormat="false" ht="22.35" hidden="false" customHeight="false" outlineLevel="0" collapsed="false">
      <c r="A87" s="1" t="n">
        <f aca="false">IFERROR(MATCH($C$9&amp;"|69",BD_PLAN!$J:$J,0),0)</f>
        <v>0</v>
      </c>
      <c r="B87" s="10" t="str">
        <f aca="false">IF($A87=0,"",IF($R87&lt;&gt;$R86,LEFT($R87,FIND(" ",$R87)-1),""))</f>
        <v/>
      </c>
      <c r="C87" s="10" t="str">
        <f aca="false">IF($A87=0,"",IF($R87&lt;&gt;$R86,INDEX(BD_CICLO!$E:$E,MATCH($C$9&amp;"|"&amp;$R87,BD_CICLO!$G:$G,0))&amp;" "&amp;$F$6,""))</f>
        <v/>
      </c>
      <c r="D87" s="11" t="str">
        <f aca="false">IF($A87=0,"",IF($R87&lt;&gt;$R86,IFERROR(1/(1/SUMPRODUCT(MAX((REGISTRO!$C$3:$C$2002=$C$6)*(REGISTRO!$H$3:$H$2002=$R87)*REGISTRO!$B$3:$B$2002))),""),""))</f>
        <v/>
      </c>
      <c r="E87" s="12" t="str">
        <f aca="false">IF($A87=0,"",IF(OR($R87&lt;&gt;$R86,$S87&lt;&gt;$S86),$S87,""))</f>
        <v/>
      </c>
      <c r="F87" s="13" t="str">
        <f aca="false">IF($A87=0,"",INDEX(BD_PLAN!E:E,$A87))</f>
        <v/>
      </c>
      <c r="G87" s="14" t="str">
        <f aca="false">IF($A87=0,"",INDEX(BD_PLAN!F:F,$A87))</f>
        <v/>
      </c>
      <c r="H87" s="12" t="str">
        <f aca="false">IF($A87=0,"",INDEX(BD_PLAN!G:G,$A87))</f>
        <v/>
      </c>
      <c r="I87" s="15" t="str">
        <f aca="false">IF($A87=0,"",INDEX(BD_PLAN!H:H,$A87))</f>
        <v/>
      </c>
      <c r="J87" s="15" t="str">
        <f aca="false">IF($A87=0,"",INDEX(BD_PLAN!I:I,$A87))</f>
        <v/>
      </c>
      <c r="K87" s="16" t="str">
        <f aca="false">IF($A87=0,"",IF($R87&lt;&gt;$R86,SUMIFS(BD_PLAN!$I$3:$I$312,BD_PLAN!$B$3:$B$312,$C$9,BD_PLAN!$C$3:$C$312,$R87),""))</f>
        <v/>
      </c>
      <c r="M87" s="10" t="str">
        <f aca="false">IF($Q87=0,"",IF($T87&lt;&gt;$T86,$T87,""))</f>
        <v/>
      </c>
      <c r="N87" s="12" t="str">
        <f aca="false">IF($Q87=0,"",IF(OR($T87&lt;&gt;$T86,$U87&lt;&gt;$U86),$U87,""))</f>
        <v>CHASIS / TOLVA</v>
      </c>
      <c r="O87" s="12" t="str">
        <f aca="false">IF($Q87=0,"",INDEX(BD_INSPECCION!E:E,$Q87))</f>
        <v>INSPECCIONAR</v>
      </c>
      <c r="P87" s="13" t="str">
        <f aca="false">IF($Q87=0,"",INDEX(BD_INSPECCION!F:F,$Q87))</f>
        <v>SOLDADURAS, PERNOS DE TOLVA Y BASTIDOR</v>
      </c>
      <c r="Q87" s="1" t="n">
        <f aca="false">IFERROR(MATCH($C$9&amp;"|69",BD_INSPECCION!$G:$G,0),0)</f>
        <v>71</v>
      </c>
      <c r="R87" s="1" t="str">
        <f aca="false">IF($A87=0,"",INDEX(BD_PLAN!C:C,$A87))</f>
        <v/>
      </c>
      <c r="S87" s="1" t="str">
        <f aca="false">IF($A87=0,"",INDEX(BD_PLAN!D:D,$A87))</f>
        <v/>
      </c>
      <c r="T87" s="1" t="str">
        <f aca="false">IF($Q87=0,"",INDEX(BD_INSPECCION!C:C,$Q87))</f>
        <v>PM3 - 3000 KM</v>
      </c>
      <c r="U87" s="1" t="str">
        <f aca="false">IF($Q87=0,"",INDEX(BD_INSPECCION!D:D,$Q87))</f>
        <v>CHASIS / TOLVA</v>
      </c>
    </row>
    <row r="88" customFormat="false" ht="22.35" hidden="false" customHeight="false" outlineLevel="0" collapsed="false">
      <c r="A88" s="1" t="n">
        <f aca="false">IFERROR(MATCH($C$9&amp;"|70",BD_PLAN!$J:$J,0),0)</f>
        <v>0</v>
      </c>
      <c r="B88" s="10" t="str">
        <f aca="false">IF($A88=0,"",IF($R88&lt;&gt;$R87,LEFT($R88,FIND(" ",$R88)-1),""))</f>
        <v/>
      </c>
      <c r="C88" s="10" t="str">
        <f aca="false">IF($A88=0,"",IF($R88&lt;&gt;$R87,INDEX(BD_CICLO!$E:$E,MATCH($C$9&amp;"|"&amp;$R88,BD_CICLO!$G:$G,0))&amp;" "&amp;$F$6,""))</f>
        <v/>
      </c>
      <c r="D88" s="11" t="str">
        <f aca="false">IF($A88=0,"",IF($R88&lt;&gt;$R87,IFERROR(1/(1/SUMPRODUCT(MAX((REGISTRO!$C$3:$C$2002=$C$6)*(REGISTRO!$H$3:$H$2002=$R88)*REGISTRO!$B$3:$B$2002))),""),""))</f>
        <v/>
      </c>
      <c r="E88" s="12" t="str">
        <f aca="false">IF($A88=0,"",IF(OR($R88&lt;&gt;$R87,$S88&lt;&gt;$S87),$S88,""))</f>
        <v/>
      </c>
      <c r="F88" s="13" t="str">
        <f aca="false">IF($A88=0,"",INDEX(BD_PLAN!E:E,$A88))</f>
        <v/>
      </c>
      <c r="G88" s="14" t="str">
        <f aca="false">IF($A88=0,"",INDEX(BD_PLAN!F:F,$A88))</f>
        <v/>
      </c>
      <c r="H88" s="12" t="str">
        <f aca="false">IF($A88=0,"",INDEX(BD_PLAN!G:G,$A88))</f>
        <v/>
      </c>
      <c r="I88" s="15" t="str">
        <f aca="false">IF($A88=0,"",INDEX(BD_PLAN!H:H,$A88))</f>
        <v/>
      </c>
      <c r="J88" s="15" t="str">
        <f aca="false">IF($A88=0,"",INDEX(BD_PLAN!I:I,$A88))</f>
        <v/>
      </c>
      <c r="K88" s="16" t="str">
        <f aca="false">IF($A88=0,"",IF($R88&lt;&gt;$R87,SUMIFS(BD_PLAN!$I$3:$I$312,BD_PLAN!$B$3:$B$312,$C$9,BD_PLAN!$C$3:$C$312,$R88),""))</f>
        <v/>
      </c>
      <c r="M88" s="10" t="str">
        <f aca="false">IF($Q88=0,"",IF($T88&lt;&gt;$T87,$T88,""))</f>
        <v>PM4 - 4000 KM</v>
      </c>
      <c r="N88" s="12" t="str">
        <f aca="false">IF($Q88=0,"",IF(OR($T88&lt;&gt;$T87,$U88&lt;&gt;$U87),$U88,""))</f>
        <v>MOTOR</v>
      </c>
      <c r="O88" s="12" t="str">
        <f aca="false">IF($Q88=0,"",INDEX(BD_INSPECCION!E:E,$Q88))</f>
        <v>INSPECCIONAR</v>
      </c>
      <c r="P88" s="13" t="str">
        <f aca="false">IF($Q88=0,"",INDEX(BD_INSPECCION!F:F,$Q88))</f>
        <v>LUZ DE VÁLVULAS (REGULAR SI ES NECESARIO)</v>
      </c>
      <c r="Q88" s="1" t="n">
        <f aca="false">IFERROR(MATCH($C$9&amp;"|70",BD_INSPECCION!$G:$G,0),0)</f>
        <v>72</v>
      </c>
      <c r="R88" s="1" t="str">
        <f aca="false">IF($A88=0,"",INDEX(BD_PLAN!C:C,$A88))</f>
        <v/>
      </c>
      <c r="S88" s="1" t="str">
        <f aca="false">IF($A88=0,"",INDEX(BD_PLAN!D:D,$A88))</f>
        <v/>
      </c>
      <c r="T88" s="1" t="str">
        <f aca="false">IF($Q88=0,"",INDEX(BD_INSPECCION!C:C,$Q88))</f>
        <v>PM4 - 4000 KM</v>
      </c>
      <c r="U88" s="1" t="str">
        <f aca="false">IF($Q88=0,"",INDEX(BD_INSPECCION!D:D,$Q88))</f>
        <v>MOTOR</v>
      </c>
    </row>
    <row r="89" customFormat="false" ht="22.35" hidden="false" customHeight="false" outlineLevel="0" collapsed="false">
      <c r="A89" s="1" t="n">
        <f aca="false">IFERROR(MATCH($C$9&amp;"|71",BD_PLAN!$J:$J,0),0)</f>
        <v>0</v>
      </c>
      <c r="B89" s="10" t="str">
        <f aca="false">IF($A89=0,"",IF($R89&lt;&gt;$R88,LEFT($R89,FIND(" ",$R89)-1),""))</f>
        <v/>
      </c>
      <c r="C89" s="10" t="str">
        <f aca="false">IF($A89=0,"",IF($R89&lt;&gt;$R88,INDEX(BD_CICLO!$E:$E,MATCH($C$9&amp;"|"&amp;$R89,BD_CICLO!$G:$G,0))&amp;" "&amp;$F$6,""))</f>
        <v/>
      </c>
      <c r="D89" s="11" t="str">
        <f aca="false">IF($A89=0,"",IF($R89&lt;&gt;$R88,IFERROR(1/(1/SUMPRODUCT(MAX((REGISTRO!$C$3:$C$2002=$C$6)*(REGISTRO!$H$3:$H$2002=$R89)*REGISTRO!$B$3:$B$2002))),""),""))</f>
        <v/>
      </c>
      <c r="E89" s="12" t="str">
        <f aca="false">IF($A89=0,"",IF(OR($R89&lt;&gt;$R88,$S89&lt;&gt;$S88),$S89,""))</f>
        <v/>
      </c>
      <c r="F89" s="13" t="str">
        <f aca="false">IF($A89=0,"",INDEX(BD_PLAN!E:E,$A89))</f>
        <v/>
      </c>
      <c r="G89" s="14" t="str">
        <f aca="false">IF($A89=0,"",INDEX(BD_PLAN!F:F,$A89))</f>
        <v/>
      </c>
      <c r="H89" s="12" t="str">
        <f aca="false">IF($A89=0,"",INDEX(BD_PLAN!G:G,$A89))</f>
        <v/>
      </c>
      <c r="I89" s="15" t="str">
        <f aca="false">IF($A89=0,"",INDEX(BD_PLAN!H:H,$A89))</f>
        <v/>
      </c>
      <c r="J89" s="15" t="str">
        <f aca="false">IF($A89=0,"",INDEX(BD_PLAN!I:I,$A89))</f>
        <v/>
      </c>
      <c r="K89" s="16" t="str">
        <f aca="false">IF($A89=0,"",IF($R89&lt;&gt;$R88,SUMIFS(BD_PLAN!$I$3:$I$312,BD_PLAN!$B$3:$B$312,$C$9,BD_PLAN!$C$3:$C$312,$R89),""))</f>
        <v/>
      </c>
      <c r="M89" s="10" t="str">
        <f aca="false">IF($Q89=0,"",IF($T89&lt;&gt;$T88,$T89,""))</f>
        <v/>
      </c>
      <c r="N89" s="12" t="str">
        <f aca="false">IF($Q89=0,"",IF(OR($T89&lt;&gt;$T88,$U89&lt;&gt;$U88),$U89,""))</f>
        <v/>
      </c>
      <c r="O89" s="12" t="str">
        <f aca="false">IF($Q89=0,"",INDEX(BD_INSPECCION!E:E,$Q89))</f>
        <v>INSPECCIONAR</v>
      </c>
      <c r="P89" s="13" t="str">
        <f aca="false">IF($Q89=0,"",INDEX(BD_INSPECCION!F:F,$Q89))</f>
        <v>VELOCIDAD DE RALENTÍ</v>
      </c>
      <c r="Q89" s="1" t="n">
        <f aca="false">IFERROR(MATCH($C$9&amp;"|71",BD_INSPECCION!$G:$G,0),0)</f>
        <v>73</v>
      </c>
      <c r="R89" s="1" t="str">
        <f aca="false">IF($A89=0,"",INDEX(BD_PLAN!C:C,$A89))</f>
        <v/>
      </c>
      <c r="S89" s="1" t="str">
        <f aca="false">IF($A89=0,"",INDEX(BD_PLAN!D:D,$A89))</f>
        <v/>
      </c>
      <c r="T89" s="1" t="str">
        <f aca="false">IF($Q89=0,"",INDEX(BD_INSPECCION!C:C,$Q89))</f>
        <v>PM4 - 4000 KM</v>
      </c>
      <c r="U89" s="1" t="str">
        <f aca="false">IF($Q89=0,"",INDEX(BD_INSPECCION!D:D,$Q89))</f>
        <v>MOTOR</v>
      </c>
    </row>
    <row r="90" customFormat="false" ht="22.35" hidden="false" customHeight="false" outlineLevel="0" collapsed="false">
      <c r="A90" s="1" t="n">
        <f aca="false">IFERROR(MATCH($C$9&amp;"|72",BD_PLAN!$J:$J,0),0)</f>
        <v>0</v>
      </c>
      <c r="B90" s="10" t="str">
        <f aca="false">IF($A90=0,"",IF($R90&lt;&gt;$R89,LEFT($R90,FIND(" ",$R90)-1),""))</f>
        <v/>
      </c>
      <c r="C90" s="10" t="str">
        <f aca="false">IF($A90=0,"",IF($R90&lt;&gt;$R89,INDEX(BD_CICLO!$E:$E,MATCH($C$9&amp;"|"&amp;$R90,BD_CICLO!$G:$G,0))&amp;" "&amp;$F$6,""))</f>
        <v/>
      </c>
      <c r="D90" s="11" t="str">
        <f aca="false">IF($A90=0,"",IF($R90&lt;&gt;$R89,IFERROR(1/(1/SUMPRODUCT(MAX((REGISTRO!$C$3:$C$2002=$C$6)*(REGISTRO!$H$3:$H$2002=$R90)*REGISTRO!$B$3:$B$2002))),""),""))</f>
        <v/>
      </c>
      <c r="E90" s="12" t="str">
        <f aca="false">IF($A90=0,"",IF(OR($R90&lt;&gt;$R89,$S90&lt;&gt;$S89),$S90,""))</f>
        <v/>
      </c>
      <c r="F90" s="13" t="str">
        <f aca="false">IF($A90=0,"",INDEX(BD_PLAN!E:E,$A90))</f>
        <v/>
      </c>
      <c r="G90" s="14" t="str">
        <f aca="false">IF($A90=0,"",INDEX(BD_PLAN!F:F,$A90))</f>
        <v/>
      </c>
      <c r="H90" s="12" t="str">
        <f aca="false">IF($A90=0,"",INDEX(BD_PLAN!G:G,$A90))</f>
        <v/>
      </c>
      <c r="I90" s="15" t="str">
        <f aca="false">IF($A90=0,"",INDEX(BD_PLAN!H:H,$A90))</f>
        <v/>
      </c>
      <c r="J90" s="15" t="str">
        <f aca="false">IF($A90=0,"",INDEX(BD_PLAN!I:I,$A90))</f>
        <v/>
      </c>
      <c r="K90" s="16" t="str">
        <f aca="false">IF($A90=0,"",IF($R90&lt;&gt;$R89,SUMIFS(BD_PLAN!$I$3:$I$312,BD_PLAN!$B$3:$B$312,$C$9,BD_PLAN!$C$3:$C$312,$R90),""))</f>
        <v/>
      </c>
      <c r="M90" s="10" t="str">
        <f aca="false">IF($Q90=0,"",IF($T90&lt;&gt;$T89,$T90,""))</f>
        <v/>
      </c>
      <c r="N90" s="12" t="str">
        <f aca="false">IF($Q90=0,"",IF(OR($T90&lt;&gt;$T89,$U90&lt;&gt;$U89),$U90,""))</f>
        <v/>
      </c>
      <c r="O90" s="12" t="str">
        <f aca="false">IF($Q90=0,"",INDEX(BD_INSPECCION!E:E,$Q90))</f>
        <v>INSPECCIONAR</v>
      </c>
      <c r="P90" s="13" t="str">
        <f aca="false">IF($Q90=0,"",INDEX(BD_INSPECCION!F:F,$Q90))</f>
        <v>FUGAS DE ACEITE Y ESTADO DE EMPAQUES</v>
      </c>
      <c r="Q90" s="1" t="n">
        <f aca="false">IFERROR(MATCH($C$9&amp;"|72",BD_INSPECCION!$G:$G,0),0)</f>
        <v>74</v>
      </c>
      <c r="R90" s="1" t="str">
        <f aca="false">IF($A90=0,"",INDEX(BD_PLAN!C:C,$A90))</f>
        <v/>
      </c>
      <c r="S90" s="1" t="str">
        <f aca="false">IF($A90=0,"",INDEX(BD_PLAN!D:D,$A90))</f>
        <v/>
      </c>
      <c r="T90" s="1" t="str">
        <f aca="false">IF($Q90=0,"",INDEX(BD_INSPECCION!C:C,$Q90))</f>
        <v>PM4 - 4000 KM</v>
      </c>
      <c r="U90" s="1" t="str">
        <f aca="false">IF($Q90=0,"",INDEX(BD_INSPECCION!D:D,$Q90))</f>
        <v>MOTOR</v>
      </c>
    </row>
    <row r="91" customFormat="false" ht="15" hidden="false" customHeight="false" outlineLevel="0" collapsed="false">
      <c r="A91" s="1" t="n">
        <f aca="false">IFERROR(MATCH($C$9&amp;"|73",BD_PLAN!$J:$J,0),0)</f>
        <v>0</v>
      </c>
      <c r="B91" s="10" t="str">
        <f aca="false">IF($A91=0,"",IF($R91&lt;&gt;$R90,LEFT($R91,FIND(" ",$R91)-1),""))</f>
        <v/>
      </c>
      <c r="C91" s="10" t="str">
        <f aca="false">IF($A91=0,"",IF($R91&lt;&gt;$R90,INDEX(BD_CICLO!$E:$E,MATCH($C$9&amp;"|"&amp;$R91,BD_CICLO!$G:$G,0))&amp;" "&amp;$F$6,""))</f>
        <v/>
      </c>
      <c r="D91" s="11" t="str">
        <f aca="false">IF($A91=0,"",IF($R91&lt;&gt;$R90,IFERROR(1/(1/SUMPRODUCT(MAX((REGISTRO!$C$3:$C$2002=$C$6)*(REGISTRO!$H$3:$H$2002=$R91)*REGISTRO!$B$3:$B$2002))),""),""))</f>
        <v/>
      </c>
      <c r="E91" s="12" t="str">
        <f aca="false">IF($A91=0,"",IF(OR($R91&lt;&gt;$R90,$S91&lt;&gt;$S90),$S91,""))</f>
        <v/>
      </c>
      <c r="F91" s="13" t="str">
        <f aca="false">IF($A91=0,"",INDEX(BD_PLAN!E:E,$A91))</f>
        <v/>
      </c>
      <c r="G91" s="14" t="str">
        <f aca="false">IF($A91=0,"",INDEX(BD_PLAN!F:F,$A91))</f>
        <v/>
      </c>
      <c r="H91" s="12" t="str">
        <f aca="false">IF($A91=0,"",INDEX(BD_PLAN!G:G,$A91))</f>
        <v/>
      </c>
      <c r="I91" s="15" t="str">
        <f aca="false">IF($A91=0,"",INDEX(BD_PLAN!H:H,$A91))</f>
        <v/>
      </c>
      <c r="J91" s="15" t="str">
        <f aca="false">IF($A91=0,"",INDEX(BD_PLAN!I:I,$A91))</f>
        <v/>
      </c>
      <c r="K91" s="16" t="str">
        <f aca="false">IF($A91=0,"",IF($R91&lt;&gt;$R90,SUMIFS(BD_PLAN!$I$3:$I$312,BD_PLAN!$B$3:$B$312,$C$9,BD_PLAN!$C$3:$C$312,$R91),""))</f>
        <v/>
      </c>
      <c r="M91" s="10" t="str">
        <f aca="false">IF($Q91=0,"",IF($T91&lt;&gt;$T90,$T91,""))</f>
        <v/>
      </c>
      <c r="N91" s="12" t="str">
        <f aca="false">IF($Q91=0,"",IF(OR($T91&lt;&gt;$T90,$U91&lt;&gt;$U90),$U91,""))</f>
        <v/>
      </c>
      <c r="O91" s="12" t="str">
        <f aca="false">IF($Q91=0,"",INDEX(BD_INSPECCION!E:E,$Q91))</f>
        <v>LIMPIAR</v>
      </c>
      <c r="P91" s="13" t="str">
        <f aca="false">IF($Q91=0,"",INDEX(BD_INSPECCION!F:F,$Q91))</f>
        <v>MALLA (COLADOR) DE ACEITE</v>
      </c>
      <c r="Q91" s="1" t="n">
        <f aca="false">IFERROR(MATCH($C$9&amp;"|73",BD_INSPECCION!$G:$G,0),0)</f>
        <v>75</v>
      </c>
      <c r="R91" s="1" t="str">
        <f aca="false">IF($A91=0,"",INDEX(BD_PLAN!C:C,$A91))</f>
        <v/>
      </c>
      <c r="S91" s="1" t="str">
        <f aca="false">IF($A91=0,"",INDEX(BD_PLAN!D:D,$A91))</f>
        <v/>
      </c>
      <c r="T91" s="1" t="str">
        <f aca="false">IF($Q91=0,"",INDEX(BD_INSPECCION!C:C,$Q91))</f>
        <v>PM4 - 4000 KM</v>
      </c>
      <c r="U91" s="1" t="str">
        <f aca="false">IF($Q91=0,"",INDEX(BD_INSPECCION!D:D,$Q91))</f>
        <v>MOTOR</v>
      </c>
    </row>
    <row r="92" customFormat="false" ht="22.35" hidden="false" customHeight="false" outlineLevel="0" collapsed="false">
      <c r="A92" s="1" t="n">
        <f aca="false">IFERROR(MATCH($C$9&amp;"|74",BD_PLAN!$J:$J,0),0)</f>
        <v>0</v>
      </c>
      <c r="B92" s="10" t="str">
        <f aca="false">IF($A92=0,"",IF($R92&lt;&gt;$R91,LEFT($R92,FIND(" ",$R92)-1),""))</f>
        <v/>
      </c>
      <c r="C92" s="10" t="str">
        <f aca="false">IF($A92=0,"",IF($R92&lt;&gt;$R91,INDEX(BD_CICLO!$E:$E,MATCH($C$9&amp;"|"&amp;$R92,BD_CICLO!$G:$G,0))&amp;" "&amp;$F$6,""))</f>
        <v/>
      </c>
      <c r="D92" s="11" t="str">
        <f aca="false">IF($A92=0,"",IF($R92&lt;&gt;$R91,IFERROR(1/(1/SUMPRODUCT(MAX((REGISTRO!$C$3:$C$2002=$C$6)*(REGISTRO!$H$3:$H$2002=$R92)*REGISTRO!$B$3:$B$2002))),""),""))</f>
        <v/>
      </c>
      <c r="E92" s="12" t="str">
        <f aca="false">IF($A92=0,"",IF(OR($R92&lt;&gt;$R91,$S92&lt;&gt;$S91),$S92,""))</f>
        <v/>
      </c>
      <c r="F92" s="13" t="str">
        <f aca="false">IF($A92=0,"",INDEX(BD_PLAN!E:E,$A92))</f>
        <v/>
      </c>
      <c r="G92" s="14" t="str">
        <f aca="false">IF($A92=0,"",INDEX(BD_PLAN!F:F,$A92))</f>
        <v/>
      </c>
      <c r="H92" s="12" t="str">
        <f aca="false">IF($A92=0,"",INDEX(BD_PLAN!G:G,$A92))</f>
        <v/>
      </c>
      <c r="I92" s="15" t="str">
        <f aca="false">IF($A92=0,"",INDEX(BD_PLAN!H:H,$A92))</f>
        <v/>
      </c>
      <c r="J92" s="15" t="str">
        <f aca="false">IF($A92=0,"",INDEX(BD_PLAN!I:I,$A92))</f>
        <v/>
      </c>
      <c r="K92" s="16" t="str">
        <f aca="false">IF($A92=0,"",IF($R92&lt;&gt;$R91,SUMIFS(BD_PLAN!$I$3:$I$312,BD_PLAN!$B$3:$B$312,$C$9,BD_PLAN!$C$3:$C$312,$R92),""))</f>
        <v/>
      </c>
      <c r="M92" s="10" t="str">
        <f aca="false">IF($Q92=0,"",IF($T92&lt;&gt;$T91,$T92,""))</f>
        <v/>
      </c>
      <c r="N92" s="12" t="str">
        <f aca="false">IF($Q92=0,"",IF(OR($T92&lt;&gt;$T91,$U92&lt;&gt;$U91),$U92,""))</f>
        <v>COMBUSTIBLE</v>
      </c>
      <c r="O92" s="12" t="str">
        <f aca="false">IF($Q92=0,"",INDEX(BD_INSPECCION!E:E,$Q92))</f>
        <v>INSPECCIONAR</v>
      </c>
      <c r="P92" s="13" t="str">
        <f aca="false">IF($Q92=0,"",INDEX(BD_INSPECCION!F:F,$Q92))</f>
        <v>MANGUERA DE COMBUSTIBLE (GRIETAS Y FUGAS)</v>
      </c>
      <c r="Q92" s="1" t="n">
        <f aca="false">IFERROR(MATCH($C$9&amp;"|74",BD_INSPECCION!$G:$G,0),0)</f>
        <v>76</v>
      </c>
      <c r="R92" s="1" t="str">
        <f aca="false">IF($A92=0,"",INDEX(BD_PLAN!C:C,$A92))</f>
        <v/>
      </c>
      <c r="S92" s="1" t="str">
        <f aca="false">IF($A92=0,"",INDEX(BD_PLAN!D:D,$A92))</f>
        <v/>
      </c>
      <c r="T92" s="1" t="str">
        <f aca="false">IF($Q92=0,"",INDEX(BD_INSPECCION!C:C,$Q92))</f>
        <v>PM4 - 4000 KM</v>
      </c>
      <c r="U92" s="1" t="str">
        <f aca="false">IF($Q92=0,"",INDEX(BD_INSPECCION!D:D,$Q92))</f>
        <v>COMBUSTIBLE</v>
      </c>
    </row>
    <row r="93" customFormat="false" ht="22.35" hidden="false" customHeight="false" outlineLevel="0" collapsed="false">
      <c r="A93" s="1" t="n">
        <f aca="false">IFERROR(MATCH($C$9&amp;"|75",BD_PLAN!$J:$J,0),0)</f>
        <v>0</v>
      </c>
      <c r="B93" s="10" t="str">
        <f aca="false">IF($A93=0,"",IF($R93&lt;&gt;$R92,LEFT($R93,FIND(" ",$R93)-1),""))</f>
        <v/>
      </c>
      <c r="C93" s="10" t="str">
        <f aca="false">IF($A93=0,"",IF($R93&lt;&gt;$R92,INDEX(BD_CICLO!$E:$E,MATCH($C$9&amp;"|"&amp;$R93,BD_CICLO!$G:$G,0))&amp;" "&amp;$F$6,""))</f>
        <v/>
      </c>
      <c r="D93" s="11" t="str">
        <f aca="false">IF($A93=0,"",IF($R93&lt;&gt;$R92,IFERROR(1/(1/SUMPRODUCT(MAX((REGISTRO!$C$3:$C$2002=$C$6)*(REGISTRO!$H$3:$H$2002=$R93)*REGISTRO!$B$3:$B$2002))),""),""))</f>
        <v/>
      </c>
      <c r="E93" s="12" t="str">
        <f aca="false">IF($A93=0,"",IF(OR($R93&lt;&gt;$R92,$S93&lt;&gt;$S92),$S93,""))</f>
        <v/>
      </c>
      <c r="F93" s="13" t="str">
        <f aca="false">IF($A93=0,"",INDEX(BD_PLAN!E:E,$A93))</f>
        <v/>
      </c>
      <c r="G93" s="14" t="str">
        <f aca="false">IF($A93=0,"",INDEX(BD_PLAN!F:F,$A93))</f>
        <v/>
      </c>
      <c r="H93" s="12" t="str">
        <f aca="false">IF($A93=0,"",INDEX(BD_PLAN!G:G,$A93))</f>
        <v/>
      </c>
      <c r="I93" s="15" t="str">
        <f aca="false">IF($A93=0,"",INDEX(BD_PLAN!H:H,$A93))</f>
        <v/>
      </c>
      <c r="J93" s="15" t="str">
        <f aca="false">IF($A93=0,"",INDEX(BD_PLAN!I:I,$A93))</f>
        <v/>
      </c>
      <c r="K93" s="16" t="str">
        <f aca="false">IF($A93=0,"",IF($R93&lt;&gt;$R92,SUMIFS(BD_PLAN!$I$3:$I$312,BD_PLAN!$B$3:$B$312,$C$9,BD_PLAN!$C$3:$C$312,$R93),""))</f>
        <v/>
      </c>
      <c r="M93" s="10" t="str">
        <f aca="false">IF($Q93=0,"",IF($T93&lt;&gt;$T92,$T93,""))</f>
        <v/>
      </c>
      <c r="N93" s="12" t="str">
        <f aca="false">IF($Q93=0,"",IF(OR($T93&lt;&gt;$T92,$U93&lt;&gt;$U92),$U93,""))</f>
        <v/>
      </c>
      <c r="O93" s="12" t="str">
        <f aca="false">IF($Q93=0,"",INDEX(BD_INSPECCION!E:E,$Q93))</f>
        <v>INSPECCIONAR</v>
      </c>
      <c r="P93" s="13" t="str">
        <f aca="false">IF($Q93=0,"",INDEX(BD_INSPECCION!F:F,$Q93))</f>
        <v>FUNCIONAMIENTO DEL ACELERADOR Y CHOKE</v>
      </c>
      <c r="Q93" s="1" t="n">
        <f aca="false">IFERROR(MATCH($C$9&amp;"|75",BD_INSPECCION!$G:$G,0),0)</f>
        <v>77</v>
      </c>
      <c r="R93" s="1" t="str">
        <f aca="false">IF($A93=0,"",INDEX(BD_PLAN!C:C,$A93))</f>
        <v/>
      </c>
      <c r="S93" s="1" t="str">
        <f aca="false">IF($A93=0,"",INDEX(BD_PLAN!D:D,$A93))</f>
        <v/>
      </c>
      <c r="T93" s="1" t="str">
        <f aca="false">IF($Q93=0,"",INDEX(BD_INSPECCION!C:C,$Q93))</f>
        <v>PM4 - 4000 KM</v>
      </c>
      <c r="U93" s="1" t="str">
        <f aca="false">IF($Q93=0,"",INDEX(BD_INSPECCION!D:D,$Q93))</f>
        <v>COMBUSTIBLE</v>
      </c>
    </row>
    <row r="94" customFormat="false" ht="22.35" hidden="false" customHeight="false" outlineLevel="0" collapsed="false">
      <c r="A94" s="1" t="n">
        <f aca="false">IFERROR(MATCH($C$9&amp;"|76",BD_PLAN!$J:$J,0),0)</f>
        <v>0</v>
      </c>
      <c r="B94" s="10" t="str">
        <f aca="false">IF($A94=0,"",IF($R94&lt;&gt;$R93,LEFT($R94,FIND(" ",$R94)-1),""))</f>
        <v/>
      </c>
      <c r="C94" s="10" t="str">
        <f aca="false">IF($A94=0,"",IF($R94&lt;&gt;$R93,INDEX(BD_CICLO!$E:$E,MATCH($C$9&amp;"|"&amp;$R94,BD_CICLO!$G:$G,0))&amp;" "&amp;$F$6,""))</f>
        <v/>
      </c>
      <c r="D94" s="11" t="str">
        <f aca="false">IF($A94=0,"",IF($R94&lt;&gt;$R93,IFERROR(1/(1/SUMPRODUCT(MAX((REGISTRO!$C$3:$C$2002=$C$6)*(REGISTRO!$H$3:$H$2002=$R94)*REGISTRO!$B$3:$B$2002))),""),""))</f>
        <v/>
      </c>
      <c r="E94" s="12" t="str">
        <f aca="false">IF($A94=0,"",IF(OR($R94&lt;&gt;$R93,$S94&lt;&gt;$S93),$S94,""))</f>
        <v/>
      </c>
      <c r="F94" s="13" t="str">
        <f aca="false">IF($A94=0,"",INDEX(BD_PLAN!E:E,$A94))</f>
        <v/>
      </c>
      <c r="G94" s="14" t="str">
        <f aca="false">IF($A94=0,"",INDEX(BD_PLAN!F:F,$A94))</f>
        <v/>
      </c>
      <c r="H94" s="12" t="str">
        <f aca="false">IF($A94=0,"",INDEX(BD_PLAN!G:G,$A94))</f>
        <v/>
      </c>
      <c r="I94" s="15" t="str">
        <f aca="false">IF($A94=0,"",INDEX(BD_PLAN!H:H,$A94))</f>
        <v/>
      </c>
      <c r="J94" s="15" t="str">
        <f aca="false">IF($A94=0,"",INDEX(BD_PLAN!I:I,$A94))</f>
        <v/>
      </c>
      <c r="K94" s="16" t="str">
        <f aca="false">IF($A94=0,"",IF($R94&lt;&gt;$R93,SUMIFS(BD_PLAN!$I$3:$I$312,BD_PLAN!$B$3:$B$312,$C$9,BD_PLAN!$C$3:$C$312,$R94),""))</f>
        <v/>
      </c>
      <c r="M94" s="10" t="str">
        <f aca="false">IF($Q94=0,"",IF($T94&lt;&gt;$T93,$T94,""))</f>
        <v/>
      </c>
      <c r="N94" s="12" t="str">
        <f aca="false">IF($Q94=0,"",IF(OR($T94&lt;&gt;$T93,$U94&lt;&gt;$U93),$U94,""))</f>
        <v>TRANSMISIÓN</v>
      </c>
      <c r="O94" s="12" t="str">
        <f aca="false">IF($Q94=0,"",INDEX(BD_INSPECCION!E:E,$Q94))</f>
        <v>INSPECCIONAR</v>
      </c>
      <c r="P94" s="13" t="str">
        <f aca="false">IF($Q94=0,"",INDEX(BD_INSPECCION!F:F,$Q94))</f>
        <v>EMBRAGUE (JUEGO LIBRE DEL CABLE) Y CAMBIOS</v>
      </c>
      <c r="Q94" s="1" t="n">
        <f aca="false">IFERROR(MATCH($C$9&amp;"|76",BD_INSPECCION!$G:$G,0),0)</f>
        <v>78</v>
      </c>
      <c r="R94" s="1" t="str">
        <f aca="false">IF($A94=0,"",INDEX(BD_PLAN!C:C,$A94))</f>
        <v/>
      </c>
      <c r="S94" s="1" t="str">
        <f aca="false">IF($A94=0,"",INDEX(BD_PLAN!D:D,$A94))</f>
        <v/>
      </c>
      <c r="T94" s="1" t="str">
        <f aca="false">IF($Q94=0,"",INDEX(BD_INSPECCION!C:C,$Q94))</f>
        <v>PM4 - 4000 KM</v>
      </c>
      <c r="U94" s="1" t="str">
        <f aca="false">IF($Q94=0,"",INDEX(BD_INSPECCION!D:D,$Q94))</f>
        <v>TRANSMISIÓN</v>
      </c>
    </row>
    <row r="95" customFormat="false" ht="22.35" hidden="false" customHeight="false" outlineLevel="0" collapsed="false">
      <c r="A95" s="1" t="n">
        <f aca="false">IFERROR(MATCH($C$9&amp;"|77",BD_PLAN!$J:$J,0),0)</f>
        <v>0</v>
      </c>
      <c r="B95" s="10" t="str">
        <f aca="false">IF($A95=0,"",IF($R95&lt;&gt;$R94,LEFT($R95,FIND(" ",$R95)-1),""))</f>
        <v/>
      </c>
      <c r="C95" s="10" t="str">
        <f aca="false">IF($A95=0,"",IF($R95&lt;&gt;$R94,INDEX(BD_CICLO!$E:$E,MATCH($C$9&amp;"|"&amp;$R95,BD_CICLO!$G:$G,0))&amp;" "&amp;$F$6,""))</f>
        <v/>
      </c>
      <c r="D95" s="11" t="str">
        <f aca="false">IF($A95=0,"",IF($R95&lt;&gt;$R94,IFERROR(1/(1/SUMPRODUCT(MAX((REGISTRO!$C$3:$C$2002=$C$6)*(REGISTRO!$H$3:$H$2002=$R95)*REGISTRO!$B$3:$B$2002))),""),""))</f>
        <v/>
      </c>
      <c r="E95" s="12" t="str">
        <f aca="false">IF($A95=0,"",IF(OR($R95&lt;&gt;$R94,$S95&lt;&gt;$S94),$S95,""))</f>
        <v/>
      </c>
      <c r="F95" s="13" t="str">
        <f aca="false">IF($A95=0,"",INDEX(BD_PLAN!E:E,$A95))</f>
        <v/>
      </c>
      <c r="G95" s="14" t="str">
        <f aca="false">IF($A95=0,"",INDEX(BD_PLAN!F:F,$A95))</f>
        <v/>
      </c>
      <c r="H95" s="12" t="str">
        <f aca="false">IF($A95=0,"",INDEX(BD_PLAN!G:G,$A95))</f>
        <v/>
      </c>
      <c r="I95" s="15" t="str">
        <f aca="false">IF($A95=0,"",INDEX(BD_PLAN!H:H,$A95))</f>
        <v/>
      </c>
      <c r="J95" s="15" t="str">
        <f aca="false">IF($A95=0,"",INDEX(BD_PLAN!I:I,$A95))</f>
        <v/>
      </c>
      <c r="K95" s="16" t="str">
        <f aca="false">IF($A95=0,"",IF($R95&lt;&gt;$R94,SUMIFS(BD_PLAN!$I$3:$I$312,BD_PLAN!$B$3:$B$312,$C$9,BD_PLAN!$C$3:$C$312,$R95),""))</f>
        <v/>
      </c>
      <c r="M95" s="10" t="str">
        <f aca="false">IF($Q95=0,"",IF($T95&lt;&gt;$T94,$T95,""))</f>
        <v/>
      </c>
      <c r="N95" s="12" t="str">
        <f aca="false">IF($Q95=0,"",IF(OR($T95&lt;&gt;$T94,$U95&lt;&gt;$U94),$U95,""))</f>
        <v>CARDÁN</v>
      </c>
      <c r="O95" s="12" t="str">
        <f aca="false">IF($Q95=0,"",INDEX(BD_INSPECCION!E:E,$Q95))</f>
        <v>INSPECCIONAR</v>
      </c>
      <c r="P95" s="13" t="str">
        <f aca="false">IF($Q95=0,"",INDEX(BD_INSPECCION!F:F,$Q95))</f>
        <v>CRUCETAS (JUEGO) Y GUARDAPOLVOS</v>
      </c>
      <c r="Q95" s="1" t="n">
        <f aca="false">IFERROR(MATCH($C$9&amp;"|77",BD_INSPECCION!$G:$G,0),0)</f>
        <v>79</v>
      </c>
      <c r="R95" s="1" t="str">
        <f aca="false">IF($A95=0,"",INDEX(BD_PLAN!C:C,$A95))</f>
        <v/>
      </c>
      <c r="S95" s="1" t="str">
        <f aca="false">IF($A95=0,"",INDEX(BD_PLAN!D:D,$A95))</f>
        <v/>
      </c>
      <c r="T95" s="1" t="str">
        <f aca="false">IF($Q95=0,"",INDEX(BD_INSPECCION!C:C,$Q95))</f>
        <v>PM4 - 4000 KM</v>
      </c>
      <c r="U95" s="1" t="str">
        <f aca="false">IF($Q95=0,"",INDEX(BD_INSPECCION!D:D,$Q95))</f>
        <v>CARDÁN</v>
      </c>
    </row>
    <row r="96" customFormat="false" ht="15" hidden="false" customHeight="false" outlineLevel="0" collapsed="false">
      <c r="A96" s="1" t="n">
        <f aca="false">IFERROR(MATCH($C$9&amp;"|78",BD_PLAN!$J:$J,0),0)</f>
        <v>0</v>
      </c>
      <c r="B96" s="10" t="str">
        <f aca="false">IF($A96=0,"",IF($R96&lt;&gt;$R95,LEFT($R96,FIND(" ",$R96)-1),""))</f>
        <v/>
      </c>
      <c r="C96" s="10" t="str">
        <f aca="false">IF($A96=0,"",IF($R96&lt;&gt;$R95,INDEX(BD_CICLO!$E:$E,MATCH($C$9&amp;"|"&amp;$R96,BD_CICLO!$G:$G,0))&amp;" "&amp;$F$6,""))</f>
        <v/>
      </c>
      <c r="D96" s="11" t="str">
        <f aca="false">IF($A96=0,"",IF($R96&lt;&gt;$R95,IFERROR(1/(1/SUMPRODUCT(MAX((REGISTRO!$C$3:$C$2002=$C$6)*(REGISTRO!$H$3:$H$2002=$R96)*REGISTRO!$B$3:$B$2002))),""),""))</f>
        <v/>
      </c>
      <c r="E96" s="12" t="str">
        <f aca="false">IF($A96=0,"",IF(OR($R96&lt;&gt;$R95,$S96&lt;&gt;$S95),$S96,""))</f>
        <v/>
      </c>
      <c r="F96" s="13" t="str">
        <f aca="false">IF($A96=0,"",INDEX(BD_PLAN!E:E,$A96))</f>
        <v/>
      </c>
      <c r="G96" s="14" t="str">
        <f aca="false">IF($A96=0,"",INDEX(BD_PLAN!F:F,$A96))</f>
        <v/>
      </c>
      <c r="H96" s="12" t="str">
        <f aca="false">IF($A96=0,"",INDEX(BD_PLAN!G:G,$A96))</f>
        <v/>
      </c>
      <c r="I96" s="15" t="str">
        <f aca="false">IF($A96=0,"",INDEX(BD_PLAN!H:H,$A96))</f>
        <v/>
      </c>
      <c r="J96" s="15" t="str">
        <f aca="false">IF($A96=0,"",INDEX(BD_PLAN!I:I,$A96))</f>
        <v/>
      </c>
      <c r="K96" s="16" t="str">
        <f aca="false">IF($A96=0,"",IF($R96&lt;&gt;$R95,SUMIFS(BD_PLAN!$I$3:$I$312,BD_PLAN!$B$3:$B$312,$C$9,BD_PLAN!$C$3:$C$312,$R96),""))</f>
        <v/>
      </c>
      <c r="M96" s="10" t="str">
        <f aca="false">IF($Q96=0,"",IF($T96&lt;&gt;$T95,$T96,""))</f>
        <v/>
      </c>
      <c r="N96" s="12" t="str">
        <f aca="false">IF($Q96=0,"",IF(OR($T96&lt;&gt;$T95,$U96&lt;&gt;$U95),$U96,""))</f>
        <v/>
      </c>
      <c r="O96" s="12" t="str">
        <f aca="false">IF($Q96=0,"",INDEX(BD_INSPECCION!E:E,$Q96))</f>
        <v>LUBRICAR</v>
      </c>
      <c r="P96" s="13" t="str">
        <f aca="false">IF($Q96=0,"",INDEX(BD_INSPECCION!F:F,$Q96))</f>
        <v>CRUCETAS Y ESTRIADO DEL CARDÁN</v>
      </c>
      <c r="Q96" s="1" t="n">
        <f aca="false">IFERROR(MATCH($C$9&amp;"|78",BD_INSPECCION!$G:$G,0),0)</f>
        <v>80</v>
      </c>
      <c r="R96" s="1" t="str">
        <f aca="false">IF($A96=0,"",INDEX(BD_PLAN!C:C,$A96))</f>
        <v/>
      </c>
      <c r="S96" s="1" t="str">
        <f aca="false">IF($A96=0,"",INDEX(BD_PLAN!D:D,$A96))</f>
        <v/>
      </c>
      <c r="T96" s="1" t="str">
        <f aca="false">IF($Q96=0,"",INDEX(BD_INSPECCION!C:C,$Q96))</f>
        <v>PM4 - 4000 KM</v>
      </c>
      <c r="U96" s="1" t="str">
        <f aca="false">IF($Q96=0,"",INDEX(BD_INSPECCION!D:D,$Q96))</f>
        <v>CARDÁN</v>
      </c>
    </row>
    <row r="97" customFormat="false" ht="22.35" hidden="false" customHeight="false" outlineLevel="0" collapsed="false">
      <c r="A97" s="1" t="n">
        <f aca="false">IFERROR(MATCH($C$9&amp;"|79",BD_PLAN!$J:$J,0),0)</f>
        <v>0</v>
      </c>
      <c r="B97" s="10" t="str">
        <f aca="false">IF($A97=0,"",IF($R97&lt;&gt;$R96,LEFT($R97,FIND(" ",$R97)-1),""))</f>
        <v/>
      </c>
      <c r="C97" s="10" t="str">
        <f aca="false">IF($A97=0,"",IF($R97&lt;&gt;$R96,INDEX(BD_CICLO!$E:$E,MATCH($C$9&amp;"|"&amp;$R97,BD_CICLO!$G:$G,0))&amp;" "&amp;$F$6,""))</f>
        <v/>
      </c>
      <c r="D97" s="11" t="str">
        <f aca="false">IF($A97=0,"",IF($R97&lt;&gt;$R96,IFERROR(1/(1/SUMPRODUCT(MAX((REGISTRO!$C$3:$C$2002=$C$6)*(REGISTRO!$H$3:$H$2002=$R97)*REGISTRO!$B$3:$B$2002))),""),""))</f>
        <v/>
      </c>
      <c r="E97" s="12" t="str">
        <f aca="false">IF($A97=0,"",IF(OR($R97&lt;&gt;$R96,$S97&lt;&gt;$S96),$S97,""))</f>
        <v/>
      </c>
      <c r="F97" s="13" t="str">
        <f aca="false">IF($A97=0,"",INDEX(BD_PLAN!E:E,$A97))</f>
        <v/>
      </c>
      <c r="G97" s="14" t="str">
        <f aca="false">IF($A97=0,"",INDEX(BD_PLAN!F:F,$A97))</f>
        <v/>
      </c>
      <c r="H97" s="12" t="str">
        <f aca="false">IF($A97=0,"",INDEX(BD_PLAN!G:G,$A97))</f>
        <v/>
      </c>
      <c r="I97" s="15" t="str">
        <f aca="false">IF($A97=0,"",INDEX(BD_PLAN!H:H,$A97))</f>
        <v/>
      </c>
      <c r="J97" s="15" t="str">
        <f aca="false">IF($A97=0,"",INDEX(BD_PLAN!I:I,$A97))</f>
        <v/>
      </c>
      <c r="K97" s="16" t="str">
        <f aca="false">IF($A97=0,"",IF($R97&lt;&gt;$R96,SUMIFS(BD_PLAN!$I$3:$I$312,BD_PLAN!$B$3:$B$312,$C$9,BD_PLAN!$C$3:$C$312,$R97),""))</f>
        <v/>
      </c>
      <c r="M97" s="10" t="str">
        <f aca="false">IF($Q97=0,"",IF($T97&lt;&gt;$T96,$T97,""))</f>
        <v/>
      </c>
      <c r="N97" s="12" t="str">
        <f aca="false">IF($Q97=0,"",IF(OR($T97&lt;&gt;$T96,$U97&lt;&gt;$U96),$U97,""))</f>
        <v>DIFERENCIAL</v>
      </c>
      <c r="O97" s="12" t="str">
        <f aca="false">IF($Q97=0,"",INDEX(BD_INSPECCION!E:E,$Q97))</f>
        <v>INSPECCIONAR</v>
      </c>
      <c r="P97" s="13" t="str">
        <f aca="false">IF($Q97=0,"",INDEX(BD_INSPECCION!F:F,$Q97))</f>
        <v>NIVEL DE ACEITE Y FUGAS</v>
      </c>
      <c r="Q97" s="1" t="n">
        <f aca="false">IFERROR(MATCH($C$9&amp;"|79",BD_INSPECCION!$G:$G,0),0)</f>
        <v>81</v>
      </c>
      <c r="R97" s="1" t="str">
        <f aca="false">IF($A97=0,"",INDEX(BD_PLAN!C:C,$A97))</f>
        <v/>
      </c>
      <c r="S97" s="1" t="str">
        <f aca="false">IF($A97=0,"",INDEX(BD_PLAN!D:D,$A97))</f>
        <v/>
      </c>
      <c r="T97" s="1" t="str">
        <f aca="false">IF($Q97=0,"",INDEX(BD_INSPECCION!C:C,$Q97))</f>
        <v>PM4 - 4000 KM</v>
      </c>
      <c r="U97" s="1" t="str">
        <f aca="false">IF($Q97=0,"",INDEX(BD_INSPECCION!D:D,$Q97))</f>
        <v>DIFERENCIAL</v>
      </c>
    </row>
    <row r="98" customFormat="false" ht="22.35" hidden="false" customHeight="false" outlineLevel="0" collapsed="false">
      <c r="A98" s="1" t="n">
        <f aca="false">IFERROR(MATCH($C$9&amp;"|80",BD_PLAN!$J:$J,0),0)</f>
        <v>0</v>
      </c>
      <c r="B98" s="10" t="str">
        <f aca="false">IF($A98=0,"",IF($R98&lt;&gt;$R97,LEFT($R98,FIND(" ",$R98)-1),""))</f>
        <v/>
      </c>
      <c r="C98" s="10" t="str">
        <f aca="false">IF($A98=0,"",IF($R98&lt;&gt;$R97,INDEX(BD_CICLO!$E:$E,MATCH($C$9&amp;"|"&amp;$R98,BD_CICLO!$G:$G,0))&amp;" "&amp;$F$6,""))</f>
        <v/>
      </c>
      <c r="D98" s="11" t="str">
        <f aca="false">IF($A98=0,"",IF($R98&lt;&gt;$R97,IFERROR(1/(1/SUMPRODUCT(MAX((REGISTRO!$C$3:$C$2002=$C$6)*(REGISTRO!$H$3:$H$2002=$R98)*REGISTRO!$B$3:$B$2002))),""),""))</f>
        <v/>
      </c>
      <c r="E98" s="12" t="str">
        <f aca="false">IF($A98=0,"",IF(OR($R98&lt;&gt;$R97,$S98&lt;&gt;$S97),$S98,""))</f>
        <v/>
      </c>
      <c r="F98" s="13" t="str">
        <f aca="false">IF($A98=0,"",INDEX(BD_PLAN!E:E,$A98))</f>
        <v/>
      </c>
      <c r="G98" s="14" t="str">
        <f aca="false">IF($A98=0,"",INDEX(BD_PLAN!F:F,$A98))</f>
        <v/>
      </c>
      <c r="H98" s="12" t="str">
        <f aca="false">IF($A98=0,"",INDEX(BD_PLAN!G:G,$A98))</f>
        <v/>
      </c>
      <c r="I98" s="15" t="str">
        <f aca="false">IF($A98=0,"",INDEX(BD_PLAN!H:H,$A98))</f>
        <v/>
      </c>
      <c r="J98" s="15" t="str">
        <f aca="false">IF($A98=0,"",INDEX(BD_PLAN!I:I,$A98))</f>
        <v/>
      </c>
      <c r="K98" s="16" t="str">
        <f aca="false">IF($A98=0,"",IF($R98&lt;&gt;$R97,SUMIFS(BD_PLAN!$I$3:$I$312,BD_PLAN!$B$3:$B$312,$C$9,BD_PLAN!$C$3:$C$312,$R98),""))</f>
        <v/>
      </c>
      <c r="M98" s="10" t="str">
        <f aca="false">IF($Q98=0,"",IF($T98&lt;&gt;$T97,$T98,""))</f>
        <v/>
      </c>
      <c r="N98" s="12" t="str">
        <f aca="false">IF($Q98=0,"",IF(OR($T98&lt;&gt;$T97,$U98&lt;&gt;$U97),$U98,""))</f>
        <v/>
      </c>
      <c r="O98" s="12" t="str">
        <f aca="false">IF($Q98=0,"",INDEX(BD_INSPECCION!E:E,$Q98))</f>
        <v>INSPECCIONAR</v>
      </c>
      <c r="P98" s="13" t="str">
        <f aca="false">IF($Q98=0,"",INDEX(BD_INSPECCION!F:F,$Q98))</f>
        <v>RUIDOS Y RESPIRADERO</v>
      </c>
      <c r="Q98" s="1" t="n">
        <f aca="false">IFERROR(MATCH($C$9&amp;"|80",BD_INSPECCION!$G:$G,0),0)</f>
        <v>82</v>
      </c>
      <c r="R98" s="1" t="str">
        <f aca="false">IF($A98=0,"",INDEX(BD_PLAN!C:C,$A98))</f>
        <v/>
      </c>
      <c r="S98" s="1" t="str">
        <f aca="false">IF($A98=0,"",INDEX(BD_PLAN!D:D,$A98))</f>
        <v/>
      </c>
      <c r="T98" s="1" t="str">
        <f aca="false">IF($Q98=0,"",INDEX(BD_INSPECCION!C:C,$Q98))</f>
        <v>PM4 - 4000 KM</v>
      </c>
      <c r="U98" s="1" t="str">
        <f aca="false">IF($Q98=0,"",INDEX(BD_INSPECCION!D:D,$Q98))</f>
        <v>DIFERENCIAL</v>
      </c>
    </row>
    <row r="99" customFormat="false" ht="22.35" hidden="false" customHeight="false" outlineLevel="0" collapsed="false">
      <c r="A99" s="1"/>
      <c r="M99" s="10" t="str">
        <f aca="false">IF($Q99=0,"",IF($T99&lt;&gt;$T98,$T99,""))</f>
        <v/>
      </c>
      <c r="N99" s="12" t="str">
        <f aca="false">IF($Q99=0,"",IF(OR($T99&lt;&gt;$T98,$U99&lt;&gt;$U98),$U99,""))</f>
        <v>EJES / RODAJES</v>
      </c>
      <c r="O99" s="12" t="str">
        <f aca="false">IF($Q99=0,"",INDEX(BD_INSPECCION!E:E,$Q99))</f>
        <v>INSPECCIONAR</v>
      </c>
      <c r="P99" s="13" t="str">
        <f aca="false">IF($Q99=0,"",INDEX(BD_INSPECCION!F:F,$Q99))</f>
        <v>PALIERES, RODAJES DE RUEDA Y RETENES (JUEGO, RUIDO Y FUGAS)</v>
      </c>
      <c r="Q99" s="1" t="n">
        <f aca="false">IFERROR(MATCH($C$9&amp;"|81",BD_INSPECCION!$G:$G,0),0)</f>
        <v>83</v>
      </c>
      <c r="R99" s="1"/>
      <c r="S99" s="1"/>
      <c r="T99" s="1" t="str">
        <f aca="false">IF($Q99=0,"",INDEX(BD_INSPECCION!C:C,$Q99))</f>
        <v>PM4 - 4000 KM</v>
      </c>
      <c r="U99" s="1" t="str">
        <f aca="false">IF($Q99=0,"",INDEX(BD_INSPECCION!D:D,$Q99))</f>
        <v>EJES / RODAJES</v>
      </c>
    </row>
    <row r="100" customFormat="false" ht="22.35" hidden="false" customHeight="false" outlineLevel="0" collapsed="false">
      <c r="A100" s="1"/>
      <c r="M100" s="10" t="str">
        <f aca="false">IF($Q100=0,"",IF($T100&lt;&gt;$T99,$T100,""))</f>
        <v/>
      </c>
      <c r="N100" s="12" t="str">
        <f aca="false">IF($Q100=0,"",IF(OR($T100&lt;&gt;$T99,$U100&lt;&gt;$U99),$U100,""))</f>
        <v>FRENOS</v>
      </c>
      <c r="O100" s="12" t="str">
        <f aca="false">IF($Q100=0,"",INDEX(BD_INSPECCION!E:E,$Q100))</f>
        <v>INSPECCIONAR</v>
      </c>
      <c r="P100" s="13" t="str">
        <f aca="false">IF($Q100=0,"",INDEX(BD_INSPECCION!F:F,$Q100))</f>
        <v>ZAPATAS, TAMBORES, CABLES Y JUEGO LIBRE DE PALANCA Y PEDAL</v>
      </c>
      <c r="Q100" s="1" t="n">
        <f aca="false">IFERROR(MATCH($C$9&amp;"|82",BD_INSPECCION!$G:$G,0),0)</f>
        <v>84</v>
      </c>
      <c r="R100" s="1"/>
      <c r="S100" s="1"/>
      <c r="T100" s="1" t="str">
        <f aca="false">IF($Q100=0,"",INDEX(BD_INSPECCION!C:C,$Q100))</f>
        <v>PM4 - 4000 KM</v>
      </c>
      <c r="U100" s="1" t="str">
        <f aca="false">IF($Q100=0,"",INDEX(BD_INSPECCION!D:D,$Q100))</f>
        <v>FRENOS</v>
      </c>
    </row>
    <row r="101" customFormat="false" ht="22.35" hidden="false" customHeight="false" outlineLevel="0" collapsed="false">
      <c r="A101" s="1"/>
      <c r="M101" s="10" t="str">
        <f aca="false">IF($Q101=0,"",IF($T101&lt;&gt;$T100,$T101,""))</f>
        <v/>
      </c>
      <c r="N101" s="12" t="str">
        <f aca="false">IF($Q101=0,"",IF(OR($T101&lt;&gt;$T100,$U101&lt;&gt;$U100),$U101,""))</f>
        <v>DIRECCIÓN</v>
      </c>
      <c r="O101" s="12" t="str">
        <f aca="false">IF($Q101=0,"",INDEX(BD_INSPECCION!E:E,$Q101))</f>
        <v>INSPECCIONAR</v>
      </c>
      <c r="P101" s="13" t="str">
        <f aca="false">IF($Q101=0,"",INDEX(BD_INSPECCION!F:F,$Q101))</f>
        <v>RODAJES DE DIRECCIÓN Y JUEGO DEL TIMÓN</v>
      </c>
      <c r="Q101" s="1" t="n">
        <f aca="false">IFERROR(MATCH($C$9&amp;"|83",BD_INSPECCION!$G:$G,0),0)</f>
        <v>85</v>
      </c>
      <c r="R101" s="1"/>
      <c r="S101" s="1"/>
      <c r="T101" s="1" t="str">
        <f aca="false">IF($Q101=0,"",INDEX(BD_INSPECCION!C:C,$Q101))</f>
        <v>PM4 - 4000 KM</v>
      </c>
      <c r="U101" s="1" t="str">
        <f aca="false">IF($Q101=0,"",INDEX(BD_INSPECCION!D:D,$Q101))</f>
        <v>DIRECCIÓN</v>
      </c>
    </row>
    <row r="102" customFormat="false" ht="15" hidden="false" customHeight="false" outlineLevel="0" collapsed="false">
      <c r="A102" s="1"/>
      <c r="M102" s="10" t="str">
        <f aca="false">IF($Q102=0,"",IF($T102&lt;&gt;$T101,$T102,""))</f>
        <v/>
      </c>
      <c r="N102" s="12" t="str">
        <f aca="false">IF($Q102=0,"",IF(OR($T102&lt;&gt;$T101,$U102&lt;&gt;$U101),$U102,""))</f>
        <v/>
      </c>
      <c r="O102" s="12" t="str">
        <f aca="false">IF($Q102=0,"",INDEX(BD_INSPECCION!E:E,$Q102))</f>
        <v>LUBRICAR</v>
      </c>
      <c r="P102" s="13" t="str">
        <f aca="false">IF($Q102=0,"",INDEX(BD_INSPECCION!F:F,$Q102))</f>
        <v>RODAJES DE DIRECCIÓN</v>
      </c>
      <c r="Q102" s="1" t="n">
        <f aca="false">IFERROR(MATCH($C$9&amp;"|84",BD_INSPECCION!$G:$G,0),0)</f>
        <v>86</v>
      </c>
      <c r="R102" s="1"/>
      <c r="S102" s="1"/>
      <c r="T102" s="1" t="str">
        <f aca="false">IF($Q102=0,"",INDEX(BD_INSPECCION!C:C,$Q102))</f>
        <v>PM4 - 4000 KM</v>
      </c>
      <c r="U102" s="1" t="str">
        <f aca="false">IF($Q102=0,"",INDEX(BD_INSPECCION!D:D,$Q102))</f>
        <v>DIRECCIÓN</v>
      </c>
    </row>
    <row r="103" customFormat="false" ht="22.35" hidden="false" customHeight="false" outlineLevel="0" collapsed="false">
      <c r="A103" s="1"/>
      <c r="M103" s="10" t="str">
        <f aca="false">IF($Q103=0,"",IF($T103&lt;&gt;$T102,$T103,""))</f>
        <v/>
      </c>
      <c r="N103" s="12" t="str">
        <f aca="false">IF($Q103=0,"",IF(OR($T103&lt;&gt;$T102,$U103&lt;&gt;$U102),$U103,""))</f>
        <v>SUSPENSIÓN DELANTERA</v>
      </c>
      <c r="O103" s="12" t="str">
        <f aca="false">IF($Q103=0,"",INDEX(BD_INSPECCION!E:E,$Q103))</f>
        <v>INSPECCIONAR</v>
      </c>
      <c r="P103" s="13" t="str">
        <f aca="false">IF($Q103=0,"",INDEX(BD_INSPECCION!F:F,$Q103))</f>
        <v>HORQUILLAS: FUGAS DE RETENES Y FUNCIONAMIENTO</v>
      </c>
      <c r="Q103" s="1" t="n">
        <f aca="false">IFERROR(MATCH($C$9&amp;"|85",BD_INSPECCION!$G:$G,0),0)</f>
        <v>87</v>
      </c>
      <c r="R103" s="1"/>
      <c r="S103" s="1"/>
      <c r="T103" s="1" t="str">
        <f aca="false">IF($Q103=0,"",INDEX(BD_INSPECCION!C:C,$Q103))</f>
        <v>PM4 - 4000 KM</v>
      </c>
      <c r="U103" s="1" t="str">
        <f aca="false">IF($Q103=0,"",INDEX(BD_INSPECCION!D:D,$Q103))</f>
        <v>SUSPENSIÓN DELANTERA</v>
      </c>
    </row>
    <row r="104" customFormat="false" ht="22.35" hidden="false" customHeight="false" outlineLevel="0" collapsed="false">
      <c r="A104" s="1"/>
      <c r="M104" s="10" t="str">
        <f aca="false">IF($Q104=0,"",IF($T104&lt;&gt;$T103,$T104,""))</f>
        <v/>
      </c>
      <c r="N104" s="12" t="str">
        <f aca="false">IF($Q104=0,"",IF(OR($T104&lt;&gt;$T103,$U104&lt;&gt;$U103),$U104,""))</f>
        <v>SUSPENSIÓN TRASERA</v>
      </c>
      <c r="O104" s="12" t="str">
        <f aca="false">IF($Q104=0,"",INDEX(BD_INSPECCION!E:E,$Q104))</f>
        <v>INSPECCIONAR</v>
      </c>
      <c r="P104" s="13" t="str">
        <f aca="false">IF($Q104=0,"",INDEX(BD_INSPECCION!F:F,$Q104))</f>
        <v>MUELLES (HOJAS ROTAS), ABRAZADERAS, BUJES Y AMORTIGUADOR</v>
      </c>
      <c r="Q104" s="1" t="n">
        <f aca="false">IFERROR(MATCH($C$9&amp;"|86",BD_INSPECCION!$G:$G,0),0)</f>
        <v>88</v>
      </c>
      <c r="R104" s="1"/>
      <c r="S104" s="1"/>
      <c r="T104" s="1" t="str">
        <f aca="false">IF($Q104=0,"",INDEX(BD_INSPECCION!C:C,$Q104))</f>
        <v>PM4 - 4000 KM</v>
      </c>
      <c r="U104" s="1" t="str">
        <f aca="false">IF($Q104=0,"",INDEX(BD_INSPECCION!D:D,$Q104))</f>
        <v>SUSPENSIÓN TRASERA</v>
      </c>
    </row>
    <row r="105" customFormat="false" ht="15" hidden="false" customHeight="false" outlineLevel="0" collapsed="false">
      <c r="A105" s="1"/>
      <c r="M105" s="10" t="str">
        <f aca="false">IF($Q105=0,"",IF($T105&lt;&gt;$T104,$T105,""))</f>
        <v/>
      </c>
      <c r="N105" s="12" t="str">
        <f aca="false">IF($Q105=0,"",IF(OR($T105&lt;&gt;$T104,$U105&lt;&gt;$U104),$U105,""))</f>
        <v>CONTROLES</v>
      </c>
      <c r="O105" s="12" t="str">
        <f aca="false">IF($Q105=0,"",INDEX(BD_INSPECCION!E:E,$Q105))</f>
        <v>LUBRICAR</v>
      </c>
      <c r="P105" s="13" t="str">
        <f aca="false">IF($Q105=0,"",INDEX(BD_INSPECCION!F:F,$Q105))</f>
        <v>MANIJAS Y CABLES DE FRENO, EMBRAGUE Y ACELERADOR</v>
      </c>
      <c r="Q105" s="1" t="n">
        <f aca="false">IFERROR(MATCH($C$9&amp;"|87",BD_INSPECCION!$G:$G,0),0)</f>
        <v>89</v>
      </c>
      <c r="R105" s="1"/>
      <c r="S105" s="1"/>
      <c r="T105" s="1" t="str">
        <f aca="false">IF($Q105=0,"",INDEX(BD_INSPECCION!C:C,$Q105))</f>
        <v>PM4 - 4000 KM</v>
      </c>
      <c r="U105" s="1" t="str">
        <f aca="false">IF($Q105=0,"",INDEX(BD_INSPECCION!D:D,$Q105))</f>
        <v>CONTROLES</v>
      </c>
    </row>
    <row r="106" customFormat="false" ht="22.35" hidden="false" customHeight="false" outlineLevel="0" collapsed="false">
      <c r="A106" s="1"/>
      <c r="M106" s="10" t="str">
        <f aca="false">IF($Q106=0,"",IF($T106&lt;&gt;$T105,$T106,""))</f>
        <v/>
      </c>
      <c r="N106" s="12" t="str">
        <f aca="false">IF($Q106=0,"",IF(OR($T106&lt;&gt;$T105,$U106&lt;&gt;$U105),$U106,""))</f>
        <v>RUEDAS</v>
      </c>
      <c r="O106" s="12" t="str">
        <f aca="false">IF($Q106=0,"",INDEX(BD_INSPECCION!E:E,$Q106))</f>
        <v>INSPECCIONAR</v>
      </c>
      <c r="P106" s="13" t="str">
        <f aca="false">IF($Q106=0,"",INDEX(BD_INSPECCION!F:F,$Q106))</f>
        <v>PRESIÓN, DESGASTE DE LLANTAS Y AJUSTE DE TUERCAS</v>
      </c>
      <c r="Q106" s="1" t="n">
        <f aca="false">IFERROR(MATCH($C$9&amp;"|88",BD_INSPECCION!$G:$G,0),0)</f>
        <v>90</v>
      </c>
      <c r="R106" s="1"/>
      <c r="S106" s="1"/>
      <c r="T106" s="1" t="str">
        <f aca="false">IF($Q106=0,"",INDEX(BD_INSPECCION!C:C,$Q106))</f>
        <v>PM4 - 4000 KM</v>
      </c>
      <c r="U106" s="1" t="str">
        <f aca="false">IF($Q106=0,"",INDEX(BD_INSPECCION!D:D,$Q106))</f>
        <v>RUEDAS</v>
      </c>
    </row>
    <row r="107" customFormat="false" ht="22.35" hidden="false" customHeight="false" outlineLevel="0" collapsed="false">
      <c r="A107" s="1"/>
      <c r="M107" s="10" t="str">
        <f aca="false">IF($Q107=0,"",IF($T107&lt;&gt;$T106,$T107,""))</f>
        <v/>
      </c>
      <c r="N107" s="12" t="str">
        <f aca="false">IF($Q107=0,"",IF(OR($T107&lt;&gt;$T106,$U107&lt;&gt;$U106),$U107,""))</f>
        <v>SISTEMA ELÉCTRICO</v>
      </c>
      <c r="O107" s="12" t="str">
        <f aca="false">IF($Q107=0,"",INDEX(BD_INSPECCION!E:E,$Q107))</f>
        <v>INSPECCIONAR</v>
      </c>
      <c r="P107" s="13" t="str">
        <f aca="false">IF($Q107=0,"",INDEX(BD_INSPECCION!F:F,$Q107))</f>
        <v>BATERÍA, BORNES, LUCES, CLAXON E INTERRUPTORES</v>
      </c>
      <c r="Q107" s="1" t="n">
        <f aca="false">IFERROR(MATCH($C$9&amp;"|89",BD_INSPECCION!$G:$G,0),0)</f>
        <v>91</v>
      </c>
      <c r="R107" s="1"/>
      <c r="S107" s="1"/>
      <c r="T107" s="1" t="str">
        <f aca="false">IF($Q107=0,"",INDEX(BD_INSPECCION!C:C,$Q107))</f>
        <v>PM4 - 4000 KM</v>
      </c>
      <c r="U107" s="1" t="str">
        <f aca="false">IF($Q107=0,"",INDEX(BD_INSPECCION!D:D,$Q107))</f>
        <v>SISTEMA ELÉCTRICO</v>
      </c>
    </row>
    <row r="108" customFormat="false" ht="22.35" hidden="false" customHeight="false" outlineLevel="0" collapsed="false">
      <c r="A108" s="1"/>
      <c r="M108" s="10" t="str">
        <f aca="false">IF($Q108=0,"",IF($T108&lt;&gt;$T107,$T108,""))</f>
        <v/>
      </c>
      <c r="N108" s="12" t="str">
        <f aca="false">IF($Q108=0,"",IF(OR($T108&lt;&gt;$T107,$U108&lt;&gt;$U107),$U108,""))</f>
        <v>CHASIS / TOLVA</v>
      </c>
      <c r="O108" s="12" t="str">
        <f aca="false">IF($Q108=0,"",INDEX(BD_INSPECCION!E:E,$Q108))</f>
        <v>INSPECCIONAR</v>
      </c>
      <c r="P108" s="13" t="str">
        <f aca="false">IF($Q108=0,"",INDEX(BD_INSPECCION!F:F,$Q108))</f>
        <v>SOLDADURAS, PERNOS DE TOLVA Y BASTIDOR</v>
      </c>
      <c r="Q108" s="1" t="n">
        <f aca="false">IFERROR(MATCH($C$9&amp;"|90",BD_INSPECCION!$G:$G,0),0)</f>
        <v>92</v>
      </c>
      <c r="R108" s="1"/>
      <c r="S108" s="1"/>
      <c r="T108" s="1" t="str">
        <f aca="false">IF($Q108=0,"",INDEX(BD_INSPECCION!C:C,$Q108))</f>
        <v>PM4 - 4000 KM</v>
      </c>
      <c r="U108" s="1" t="str">
        <f aca="false">IF($Q108=0,"",INDEX(BD_INSPECCION!D:D,$Q108))</f>
        <v>CHASIS / TOLVA</v>
      </c>
    </row>
    <row r="109" customFormat="false" ht="22.35" hidden="false" customHeight="false" outlineLevel="0" collapsed="false">
      <c r="A109" s="1"/>
      <c r="M109" s="10" t="str">
        <f aca="false">IF($Q109=0,"",IF($T109&lt;&gt;$T108,$T109,""))</f>
        <v>PM5 - 5000 KM</v>
      </c>
      <c r="N109" s="12" t="str">
        <f aca="false">IF($Q109=0,"",IF(OR($T109&lt;&gt;$T108,$U109&lt;&gt;$U108),$U109,""))</f>
        <v>MOTOR</v>
      </c>
      <c r="O109" s="12" t="str">
        <f aca="false">IF($Q109=0,"",INDEX(BD_INSPECCION!E:E,$Q109))</f>
        <v>INSPECCIONAR</v>
      </c>
      <c r="P109" s="13" t="str">
        <f aca="false">IF($Q109=0,"",INDEX(BD_INSPECCION!F:F,$Q109))</f>
        <v>LUZ DE VÁLVULAS (REGULAR SI ES NECESARIO)</v>
      </c>
      <c r="Q109" s="1" t="n">
        <f aca="false">IFERROR(MATCH($C$9&amp;"|91",BD_INSPECCION!$G:$G,0),0)</f>
        <v>93</v>
      </c>
      <c r="R109" s="1"/>
      <c r="S109" s="1"/>
      <c r="T109" s="1" t="str">
        <f aca="false">IF($Q109=0,"",INDEX(BD_INSPECCION!C:C,$Q109))</f>
        <v>PM5 - 5000 KM</v>
      </c>
      <c r="U109" s="1" t="str">
        <f aca="false">IF($Q109=0,"",INDEX(BD_INSPECCION!D:D,$Q109))</f>
        <v>MOTOR</v>
      </c>
    </row>
    <row r="110" customFormat="false" ht="22.35" hidden="false" customHeight="false" outlineLevel="0" collapsed="false">
      <c r="A110" s="1"/>
      <c r="M110" s="10" t="str">
        <f aca="false">IF($Q110=0,"",IF($T110&lt;&gt;$T109,$T110,""))</f>
        <v/>
      </c>
      <c r="N110" s="12" t="str">
        <f aca="false">IF($Q110=0,"",IF(OR($T110&lt;&gt;$T109,$U110&lt;&gt;$U109),$U110,""))</f>
        <v/>
      </c>
      <c r="O110" s="12" t="str">
        <f aca="false">IF($Q110=0,"",INDEX(BD_INSPECCION!E:E,$Q110))</f>
        <v>INSPECCIONAR</v>
      </c>
      <c r="P110" s="13" t="str">
        <f aca="false">IF($Q110=0,"",INDEX(BD_INSPECCION!F:F,$Q110))</f>
        <v>VELOCIDAD DE RALENTÍ</v>
      </c>
      <c r="Q110" s="1" t="n">
        <f aca="false">IFERROR(MATCH($C$9&amp;"|92",BD_INSPECCION!$G:$G,0),0)</f>
        <v>94</v>
      </c>
      <c r="R110" s="1"/>
      <c r="S110" s="1"/>
      <c r="T110" s="1" t="str">
        <f aca="false">IF($Q110=0,"",INDEX(BD_INSPECCION!C:C,$Q110))</f>
        <v>PM5 - 5000 KM</v>
      </c>
      <c r="U110" s="1" t="str">
        <f aca="false">IF($Q110=0,"",INDEX(BD_INSPECCION!D:D,$Q110))</f>
        <v>MOTOR</v>
      </c>
    </row>
    <row r="111" customFormat="false" ht="22.35" hidden="false" customHeight="false" outlineLevel="0" collapsed="false">
      <c r="A111" s="1"/>
      <c r="M111" s="10" t="str">
        <f aca="false">IF($Q111=0,"",IF($T111&lt;&gt;$T110,$T111,""))</f>
        <v/>
      </c>
      <c r="N111" s="12" t="str">
        <f aca="false">IF($Q111=0,"",IF(OR($T111&lt;&gt;$T110,$U111&lt;&gt;$U110),$U111,""))</f>
        <v/>
      </c>
      <c r="O111" s="12" t="str">
        <f aca="false">IF($Q111=0,"",INDEX(BD_INSPECCION!E:E,$Q111))</f>
        <v>INSPECCIONAR</v>
      </c>
      <c r="P111" s="13" t="str">
        <f aca="false">IF($Q111=0,"",INDEX(BD_INSPECCION!F:F,$Q111))</f>
        <v>FUGAS DE ACEITE Y ESTADO DE EMPAQUES</v>
      </c>
      <c r="Q111" s="1" t="n">
        <f aca="false">IFERROR(MATCH($C$9&amp;"|93",BD_INSPECCION!$G:$G,0),0)</f>
        <v>95</v>
      </c>
      <c r="R111" s="1"/>
      <c r="S111" s="1"/>
      <c r="T111" s="1" t="str">
        <f aca="false">IF($Q111=0,"",INDEX(BD_INSPECCION!C:C,$Q111))</f>
        <v>PM5 - 5000 KM</v>
      </c>
      <c r="U111" s="1" t="str">
        <f aca="false">IF($Q111=0,"",INDEX(BD_INSPECCION!D:D,$Q111))</f>
        <v>MOTOR</v>
      </c>
    </row>
    <row r="112" customFormat="false" ht="15" hidden="false" customHeight="false" outlineLevel="0" collapsed="false">
      <c r="A112" s="1"/>
      <c r="M112" s="10" t="str">
        <f aca="false">IF($Q112=0,"",IF($T112&lt;&gt;$T111,$T112,""))</f>
        <v/>
      </c>
      <c r="N112" s="12" t="str">
        <f aca="false">IF($Q112=0,"",IF(OR($T112&lt;&gt;$T111,$U112&lt;&gt;$U111),$U112,""))</f>
        <v/>
      </c>
      <c r="O112" s="12" t="str">
        <f aca="false">IF($Q112=0,"",INDEX(BD_INSPECCION!E:E,$Q112))</f>
        <v>LIMPIAR</v>
      </c>
      <c r="P112" s="13" t="str">
        <f aca="false">IF($Q112=0,"",INDEX(BD_INSPECCION!F:F,$Q112))</f>
        <v>MALLA (COLADOR) DE ACEITE</v>
      </c>
      <c r="Q112" s="1" t="n">
        <f aca="false">IFERROR(MATCH($C$9&amp;"|94",BD_INSPECCION!$G:$G,0),0)</f>
        <v>96</v>
      </c>
      <c r="R112" s="1"/>
      <c r="S112" s="1"/>
      <c r="T112" s="1" t="str">
        <f aca="false">IF($Q112=0,"",INDEX(BD_INSPECCION!C:C,$Q112))</f>
        <v>PM5 - 5000 KM</v>
      </c>
      <c r="U112" s="1" t="str">
        <f aca="false">IF($Q112=0,"",INDEX(BD_INSPECCION!D:D,$Q112))</f>
        <v>MOTOR</v>
      </c>
    </row>
    <row r="113" customFormat="false" ht="15" hidden="false" customHeight="false" outlineLevel="0" collapsed="false">
      <c r="A113" s="1"/>
      <c r="M113" s="10" t="str">
        <f aca="false">IF($Q113=0,"",IF($T113&lt;&gt;$T112,$T113,""))</f>
        <v/>
      </c>
      <c r="N113" s="12" t="str">
        <f aca="false">IF($Q113=0,"",IF(OR($T113&lt;&gt;$T112,$U113&lt;&gt;$U112),$U113,""))</f>
        <v>ADMISIÓN DE AIRE</v>
      </c>
      <c r="O113" s="12" t="str">
        <f aca="false">IF($Q113=0,"",INDEX(BD_INSPECCION!E:E,$Q113))</f>
        <v>LIMPIAR</v>
      </c>
      <c r="P113" s="13" t="str">
        <f aca="false">IF($Q113=0,"",INDEX(BD_INSPECCION!F:F,$Q113))</f>
        <v>FILTRO DE AIRE</v>
      </c>
      <c r="Q113" s="1" t="n">
        <f aca="false">IFERROR(MATCH($C$9&amp;"|95",BD_INSPECCION!$G:$G,0),0)</f>
        <v>97</v>
      </c>
      <c r="R113" s="1"/>
      <c r="S113" s="1"/>
      <c r="T113" s="1" t="str">
        <f aca="false">IF($Q113=0,"",INDEX(BD_INSPECCION!C:C,$Q113))</f>
        <v>PM5 - 5000 KM</v>
      </c>
      <c r="U113" s="1" t="str">
        <f aca="false">IF($Q113=0,"",INDEX(BD_INSPECCION!D:D,$Q113))</f>
        <v>ADMISIÓN DE AIRE</v>
      </c>
    </row>
    <row r="114" customFormat="false" ht="22.35" hidden="false" customHeight="false" outlineLevel="0" collapsed="false">
      <c r="A114" s="1"/>
      <c r="M114" s="10" t="str">
        <f aca="false">IF($Q114=0,"",IF($T114&lt;&gt;$T113,$T114,""))</f>
        <v/>
      </c>
      <c r="N114" s="12" t="str">
        <f aca="false">IF($Q114=0,"",IF(OR($T114&lt;&gt;$T113,$U114&lt;&gt;$U113),$U114,""))</f>
        <v>COMBUSTIBLE</v>
      </c>
      <c r="O114" s="12" t="str">
        <f aca="false">IF($Q114=0,"",INDEX(BD_INSPECCION!E:E,$Q114))</f>
        <v>INSPECCIONAR</v>
      </c>
      <c r="P114" s="13" t="str">
        <f aca="false">IF($Q114=0,"",INDEX(BD_INSPECCION!F:F,$Q114))</f>
        <v>MANGUERA DE COMBUSTIBLE (GRIETAS Y FUGAS)</v>
      </c>
      <c r="Q114" s="1" t="n">
        <f aca="false">IFERROR(MATCH($C$9&amp;"|96",BD_INSPECCION!$G:$G,0),0)</f>
        <v>98</v>
      </c>
      <c r="R114" s="1"/>
      <c r="S114" s="1"/>
      <c r="T114" s="1" t="str">
        <f aca="false">IF($Q114=0,"",INDEX(BD_INSPECCION!C:C,$Q114))</f>
        <v>PM5 - 5000 KM</v>
      </c>
      <c r="U114" s="1" t="str">
        <f aca="false">IF($Q114=0,"",INDEX(BD_INSPECCION!D:D,$Q114))</f>
        <v>COMBUSTIBLE</v>
      </c>
    </row>
    <row r="115" customFormat="false" ht="22.35" hidden="false" customHeight="false" outlineLevel="0" collapsed="false">
      <c r="A115" s="1"/>
      <c r="M115" s="10" t="str">
        <f aca="false">IF($Q115=0,"",IF($T115&lt;&gt;$T114,$T115,""))</f>
        <v/>
      </c>
      <c r="N115" s="12" t="str">
        <f aca="false">IF($Q115=0,"",IF(OR($T115&lt;&gt;$T114,$U115&lt;&gt;$U114),$U115,""))</f>
        <v/>
      </c>
      <c r="O115" s="12" t="str">
        <f aca="false">IF($Q115=0,"",INDEX(BD_INSPECCION!E:E,$Q115))</f>
        <v>INSPECCIONAR</v>
      </c>
      <c r="P115" s="13" t="str">
        <f aca="false">IF($Q115=0,"",INDEX(BD_INSPECCION!F:F,$Q115))</f>
        <v>FUNCIONAMIENTO DEL ACELERADOR Y CHOKE</v>
      </c>
      <c r="Q115" s="1" t="n">
        <f aca="false">IFERROR(MATCH($C$9&amp;"|97",BD_INSPECCION!$G:$G,0),0)</f>
        <v>99</v>
      </c>
      <c r="R115" s="1"/>
      <c r="S115" s="1"/>
      <c r="T115" s="1" t="str">
        <f aca="false">IF($Q115=0,"",INDEX(BD_INSPECCION!C:C,$Q115))</f>
        <v>PM5 - 5000 KM</v>
      </c>
      <c r="U115" s="1" t="str">
        <f aca="false">IF($Q115=0,"",INDEX(BD_INSPECCION!D:D,$Q115))</f>
        <v>COMBUSTIBLE</v>
      </c>
    </row>
    <row r="116" customFormat="false" ht="22.35" hidden="false" customHeight="false" outlineLevel="0" collapsed="false">
      <c r="A116" s="1"/>
      <c r="M116" s="10" t="str">
        <f aca="false">IF($Q116=0,"",IF($T116&lt;&gt;$T115,$T116,""))</f>
        <v/>
      </c>
      <c r="N116" s="12" t="str">
        <f aca="false">IF($Q116=0,"",IF(OR($T116&lt;&gt;$T115,$U116&lt;&gt;$U115),$U116,""))</f>
        <v>ENCENDIDO</v>
      </c>
      <c r="O116" s="12" t="str">
        <f aca="false">IF($Q116=0,"",INDEX(BD_INSPECCION!E:E,$Q116))</f>
        <v>INSPECCIONAR</v>
      </c>
      <c r="P116" s="13" t="str">
        <f aca="false">IF($Q116=0,"",INDEX(BD_INSPECCION!F:F,$Q116))</f>
        <v>BUJÍA: LIMPIAR Y CALIBRAR</v>
      </c>
      <c r="Q116" s="1" t="n">
        <f aca="false">IFERROR(MATCH($C$9&amp;"|98",BD_INSPECCION!$G:$G,0),0)</f>
        <v>100</v>
      </c>
      <c r="R116" s="1"/>
      <c r="S116" s="1"/>
      <c r="T116" s="1" t="str">
        <f aca="false">IF($Q116=0,"",INDEX(BD_INSPECCION!C:C,$Q116))</f>
        <v>PM5 - 5000 KM</v>
      </c>
      <c r="U116" s="1" t="str">
        <f aca="false">IF($Q116=0,"",INDEX(BD_INSPECCION!D:D,$Q116))</f>
        <v>ENCENDIDO</v>
      </c>
    </row>
    <row r="117" customFormat="false" ht="22.35" hidden="false" customHeight="false" outlineLevel="0" collapsed="false">
      <c r="A117" s="1"/>
      <c r="M117" s="10" t="str">
        <f aca="false">IF($Q117=0,"",IF($T117&lt;&gt;$T116,$T117,""))</f>
        <v/>
      </c>
      <c r="N117" s="12" t="str">
        <f aca="false">IF($Q117=0,"",IF(OR($T117&lt;&gt;$T116,$U117&lt;&gt;$U116),$U117,""))</f>
        <v>TRANSMISIÓN</v>
      </c>
      <c r="O117" s="12" t="str">
        <f aca="false">IF($Q117=0,"",INDEX(BD_INSPECCION!E:E,$Q117))</f>
        <v>INSPECCIONAR</v>
      </c>
      <c r="P117" s="13" t="str">
        <f aca="false">IF($Q117=0,"",INDEX(BD_INSPECCION!F:F,$Q117))</f>
        <v>EMBRAGUE (JUEGO LIBRE DEL CABLE) Y CAMBIOS</v>
      </c>
      <c r="Q117" s="1" t="n">
        <f aca="false">IFERROR(MATCH($C$9&amp;"|99",BD_INSPECCION!$G:$G,0),0)</f>
        <v>101</v>
      </c>
      <c r="R117" s="1"/>
      <c r="S117" s="1"/>
      <c r="T117" s="1" t="str">
        <f aca="false">IF($Q117=0,"",INDEX(BD_INSPECCION!C:C,$Q117))</f>
        <v>PM5 - 5000 KM</v>
      </c>
      <c r="U117" s="1" t="str">
        <f aca="false">IF($Q117=0,"",INDEX(BD_INSPECCION!D:D,$Q117))</f>
        <v>TRANSMISIÓN</v>
      </c>
    </row>
    <row r="118" customFormat="false" ht="22.35" hidden="false" customHeight="false" outlineLevel="0" collapsed="false">
      <c r="A118" s="1"/>
      <c r="M118" s="10" t="str">
        <f aca="false">IF($Q118=0,"",IF($T118&lt;&gt;$T117,$T118,""))</f>
        <v/>
      </c>
      <c r="N118" s="12" t="str">
        <f aca="false">IF($Q118=0,"",IF(OR($T118&lt;&gt;$T117,$U118&lt;&gt;$U117),$U118,""))</f>
        <v>CARDÁN</v>
      </c>
      <c r="O118" s="12" t="str">
        <f aca="false">IF($Q118=0,"",INDEX(BD_INSPECCION!E:E,$Q118))</f>
        <v>INSPECCIONAR</v>
      </c>
      <c r="P118" s="13" t="str">
        <f aca="false">IF($Q118=0,"",INDEX(BD_INSPECCION!F:F,$Q118))</f>
        <v>CRUCETAS (JUEGO) Y GUARDAPOLVOS</v>
      </c>
      <c r="Q118" s="1" t="n">
        <f aca="false">IFERROR(MATCH($C$9&amp;"|100",BD_INSPECCION!$G:$G,0),0)</f>
        <v>102</v>
      </c>
      <c r="R118" s="1"/>
      <c r="S118" s="1"/>
      <c r="T118" s="1" t="str">
        <f aca="false">IF($Q118=0,"",INDEX(BD_INSPECCION!C:C,$Q118))</f>
        <v>PM5 - 5000 KM</v>
      </c>
      <c r="U118" s="1" t="str">
        <f aca="false">IF($Q118=0,"",INDEX(BD_INSPECCION!D:D,$Q118))</f>
        <v>CARDÁN</v>
      </c>
    </row>
    <row r="119" customFormat="false" ht="15" hidden="false" customHeight="false" outlineLevel="0" collapsed="false">
      <c r="A119" s="1"/>
      <c r="M119" s="10" t="str">
        <f aca="false">IF($Q119=0,"",IF($T119&lt;&gt;$T118,$T119,""))</f>
        <v/>
      </c>
      <c r="N119" s="12" t="str">
        <f aca="false">IF($Q119=0,"",IF(OR($T119&lt;&gt;$T118,$U119&lt;&gt;$U118),$U119,""))</f>
        <v/>
      </c>
      <c r="O119" s="12" t="str">
        <f aca="false">IF($Q119=0,"",INDEX(BD_INSPECCION!E:E,$Q119))</f>
        <v>LUBRICAR</v>
      </c>
      <c r="P119" s="13" t="str">
        <f aca="false">IF($Q119=0,"",INDEX(BD_INSPECCION!F:F,$Q119))</f>
        <v>CRUCETAS Y ESTRIADO DEL CARDÁN</v>
      </c>
      <c r="Q119" s="1" t="n">
        <f aca="false">IFERROR(MATCH($C$9&amp;"|101",BD_INSPECCION!$G:$G,0),0)</f>
        <v>103</v>
      </c>
      <c r="R119" s="1"/>
      <c r="S119" s="1"/>
      <c r="T119" s="1" t="str">
        <f aca="false">IF($Q119=0,"",INDEX(BD_INSPECCION!C:C,$Q119))</f>
        <v>PM5 - 5000 KM</v>
      </c>
      <c r="U119" s="1" t="str">
        <f aca="false">IF($Q119=0,"",INDEX(BD_INSPECCION!D:D,$Q119))</f>
        <v>CARDÁN</v>
      </c>
    </row>
    <row r="120" customFormat="false" ht="22.35" hidden="false" customHeight="false" outlineLevel="0" collapsed="false">
      <c r="A120" s="1"/>
      <c r="M120" s="10" t="str">
        <f aca="false">IF($Q120=0,"",IF($T120&lt;&gt;$T119,$T120,""))</f>
        <v/>
      </c>
      <c r="N120" s="12" t="str">
        <f aca="false">IF($Q120=0,"",IF(OR($T120&lt;&gt;$T119,$U120&lt;&gt;$U119),$U120,""))</f>
        <v>DIFERENCIAL</v>
      </c>
      <c r="O120" s="12" t="str">
        <f aca="false">IF($Q120=0,"",INDEX(BD_INSPECCION!E:E,$Q120))</f>
        <v>INSPECCIONAR</v>
      </c>
      <c r="P120" s="13" t="str">
        <f aca="false">IF($Q120=0,"",INDEX(BD_INSPECCION!F:F,$Q120))</f>
        <v>NIVEL DE ACEITE Y FUGAS</v>
      </c>
      <c r="Q120" s="1" t="n">
        <f aca="false">IFERROR(MATCH($C$9&amp;"|102",BD_INSPECCION!$G:$G,0),0)</f>
        <v>104</v>
      </c>
      <c r="R120" s="1"/>
      <c r="S120" s="1"/>
      <c r="T120" s="1" t="str">
        <f aca="false">IF($Q120=0,"",INDEX(BD_INSPECCION!C:C,$Q120))</f>
        <v>PM5 - 5000 KM</v>
      </c>
      <c r="U120" s="1" t="str">
        <f aca="false">IF($Q120=0,"",INDEX(BD_INSPECCION!D:D,$Q120))</f>
        <v>DIFERENCIAL</v>
      </c>
    </row>
    <row r="121" customFormat="false" ht="22.35" hidden="false" customHeight="false" outlineLevel="0" collapsed="false">
      <c r="A121" s="1"/>
      <c r="M121" s="10" t="str">
        <f aca="false">IF($Q121=0,"",IF($T121&lt;&gt;$T120,$T121,""))</f>
        <v/>
      </c>
      <c r="N121" s="12" t="str">
        <f aca="false">IF($Q121=0,"",IF(OR($T121&lt;&gt;$T120,$U121&lt;&gt;$U120),$U121,""))</f>
        <v/>
      </c>
      <c r="O121" s="12" t="str">
        <f aca="false">IF($Q121=0,"",INDEX(BD_INSPECCION!E:E,$Q121))</f>
        <v>INSPECCIONAR</v>
      </c>
      <c r="P121" s="13" t="str">
        <f aca="false">IF($Q121=0,"",INDEX(BD_INSPECCION!F:F,$Q121))</f>
        <v>RUIDOS Y RESPIRADERO</v>
      </c>
      <c r="Q121" s="1" t="n">
        <f aca="false">IFERROR(MATCH($C$9&amp;"|103",BD_INSPECCION!$G:$G,0),0)</f>
        <v>105</v>
      </c>
      <c r="R121" s="1"/>
      <c r="S121" s="1"/>
      <c r="T121" s="1" t="str">
        <f aca="false">IF($Q121=0,"",INDEX(BD_INSPECCION!C:C,$Q121))</f>
        <v>PM5 - 5000 KM</v>
      </c>
      <c r="U121" s="1" t="str">
        <f aca="false">IF($Q121=0,"",INDEX(BD_INSPECCION!D:D,$Q121))</f>
        <v>DIFERENCIAL</v>
      </c>
    </row>
    <row r="122" customFormat="false" ht="22.35" hidden="false" customHeight="false" outlineLevel="0" collapsed="false">
      <c r="A122" s="1"/>
      <c r="M122" s="10" t="str">
        <f aca="false">IF($Q122=0,"",IF($T122&lt;&gt;$T121,$T122,""))</f>
        <v/>
      </c>
      <c r="N122" s="12" t="str">
        <f aca="false">IF($Q122=0,"",IF(OR($T122&lt;&gt;$T121,$U122&lt;&gt;$U121),$U122,""))</f>
        <v>EJES / RODAJES</v>
      </c>
      <c r="O122" s="12" t="str">
        <f aca="false">IF($Q122=0,"",INDEX(BD_INSPECCION!E:E,$Q122))</f>
        <v>INSPECCIONAR</v>
      </c>
      <c r="P122" s="13" t="str">
        <f aca="false">IF($Q122=0,"",INDEX(BD_INSPECCION!F:F,$Q122))</f>
        <v>PALIERES, RODAJES DE RUEDA Y RETENES (JUEGO, RUIDO Y FUGAS)</v>
      </c>
      <c r="Q122" s="1" t="n">
        <f aca="false">IFERROR(MATCH($C$9&amp;"|104",BD_INSPECCION!$G:$G,0),0)</f>
        <v>106</v>
      </c>
      <c r="R122" s="1"/>
      <c r="S122" s="1"/>
      <c r="T122" s="1" t="str">
        <f aca="false">IF($Q122=0,"",INDEX(BD_INSPECCION!C:C,$Q122))</f>
        <v>PM5 - 5000 KM</v>
      </c>
      <c r="U122" s="1" t="str">
        <f aca="false">IF($Q122=0,"",INDEX(BD_INSPECCION!D:D,$Q122))</f>
        <v>EJES / RODAJES</v>
      </c>
    </row>
    <row r="123" customFormat="false" ht="22.35" hidden="false" customHeight="false" outlineLevel="0" collapsed="false">
      <c r="A123" s="1"/>
      <c r="M123" s="10" t="str">
        <f aca="false">IF($Q123=0,"",IF($T123&lt;&gt;$T122,$T123,""))</f>
        <v/>
      </c>
      <c r="N123" s="12" t="str">
        <f aca="false">IF($Q123=0,"",IF(OR($T123&lt;&gt;$T122,$U123&lt;&gt;$U122),$U123,""))</f>
        <v>FRENOS</v>
      </c>
      <c r="O123" s="12" t="str">
        <f aca="false">IF($Q123=0,"",INDEX(BD_INSPECCION!E:E,$Q123))</f>
        <v>INSPECCIONAR</v>
      </c>
      <c r="P123" s="13" t="str">
        <f aca="false">IF($Q123=0,"",INDEX(BD_INSPECCION!F:F,$Q123))</f>
        <v>ZAPATAS, TAMBORES, CABLES Y JUEGO LIBRE DE PALANCA Y PEDAL</v>
      </c>
      <c r="Q123" s="1" t="n">
        <f aca="false">IFERROR(MATCH($C$9&amp;"|105",BD_INSPECCION!$G:$G,0),0)</f>
        <v>107</v>
      </c>
      <c r="R123" s="1"/>
      <c r="S123" s="1"/>
      <c r="T123" s="1" t="str">
        <f aca="false">IF($Q123=0,"",INDEX(BD_INSPECCION!C:C,$Q123))</f>
        <v>PM5 - 5000 KM</v>
      </c>
      <c r="U123" s="1" t="str">
        <f aca="false">IF($Q123=0,"",INDEX(BD_INSPECCION!D:D,$Q123))</f>
        <v>FRENOS</v>
      </c>
    </row>
    <row r="124" customFormat="false" ht="22.35" hidden="false" customHeight="false" outlineLevel="0" collapsed="false">
      <c r="A124" s="1"/>
      <c r="M124" s="10" t="str">
        <f aca="false">IF($Q124=0,"",IF($T124&lt;&gt;$T123,$T124,""))</f>
        <v/>
      </c>
      <c r="N124" s="12" t="str">
        <f aca="false">IF($Q124=0,"",IF(OR($T124&lt;&gt;$T123,$U124&lt;&gt;$U123),$U124,""))</f>
        <v>DIRECCIÓN</v>
      </c>
      <c r="O124" s="12" t="str">
        <f aca="false">IF($Q124=0,"",INDEX(BD_INSPECCION!E:E,$Q124))</f>
        <v>INSPECCIONAR</v>
      </c>
      <c r="P124" s="13" t="str">
        <f aca="false">IF($Q124=0,"",INDEX(BD_INSPECCION!F:F,$Q124))</f>
        <v>RODAJES DE DIRECCIÓN Y JUEGO DEL TIMÓN</v>
      </c>
      <c r="Q124" s="1" t="n">
        <f aca="false">IFERROR(MATCH($C$9&amp;"|106",BD_INSPECCION!$G:$G,0),0)</f>
        <v>108</v>
      </c>
      <c r="R124" s="1"/>
      <c r="S124" s="1"/>
      <c r="T124" s="1" t="str">
        <f aca="false">IF($Q124=0,"",INDEX(BD_INSPECCION!C:C,$Q124))</f>
        <v>PM5 - 5000 KM</v>
      </c>
      <c r="U124" s="1" t="str">
        <f aca="false">IF($Q124=0,"",INDEX(BD_INSPECCION!D:D,$Q124))</f>
        <v>DIRECCIÓN</v>
      </c>
    </row>
    <row r="125" customFormat="false" ht="15" hidden="false" customHeight="false" outlineLevel="0" collapsed="false">
      <c r="A125" s="1"/>
      <c r="M125" s="10" t="str">
        <f aca="false">IF($Q125=0,"",IF($T125&lt;&gt;$T124,$T125,""))</f>
        <v/>
      </c>
      <c r="N125" s="12" t="str">
        <f aca="false">IF($Q125=0,"",IF(OR($T125&lt;&gt;$T124,$U125&lt;&gt;$U124),$U125,""))</f>
        <v/>
      </c>
      <c r="O125" s="12" t="str">
        <f aca="false">IF($Q125=0,"",INDEX(BD_INSPECCION!E:E,$Q125))</f>
        <v>LUBRICAR</v>
      </c>
      <c r="P125" s="13" t="str">
        <f aca="false">IF($Q125=0,"",INDEX(BD_INSPECCION!F:F,$Q125))</f>
        <v>RODAJES DE DIRECCIÓN</v>
      </c>
      <c r="Q125" s="1" t="n">
        <f aca="false">IFERROR(MATCH($C$9&amp;"|107",BD_INSPECCION!$G:$G,0),0)</f>
        <v>109</v>
      </c>
      <c r="R125" s="1"/>
      <c r="S125" s="1"/>
      <c r="T125" s="1" t="str">
        <f aca="false">IF($Q125=0,"",INDEX(BD_INSPECCION!C:C,$Q125))</f>
        <v>PM5 - 5000 KM</v>
      </c>
      <c r="U125" s="1" t="str">
        <f aca="false">IF($Q125=0,"",INDEX(BD_INSPECCION!D:D,$Q125))</f>
        <v>DIRECCIÓN</v>
      </c>
    </row>
    <row r="126" customFormat="false" ht="22.35" hidden="false" customHeight="false" outlineLevel="0" collapsed="false">
      <c r="A126" s="1"/>
      <c r="M126" s="10" t="str">
        <f aca="false">IF($Q126=0,"",IF($T126&lt;&gt;$T125,$T126,""))</f>
        <v/>
      </c>
      <c r="N126" s="12" t="str">
        <f aca="false">IF($Q126=0,"",IF(OR($T126&lt;&gt;$T125,$U126&lt;&gt;$U125),$U126,""))</f>
        <v>SUSPENSIÓN DELANTERA</v>
      </c>
      <c r="O126" s="12" t="str">
        <f aca="false">IF($Q126=0,"",INDEX(BD_INSPECCION!E:E,$Q126))</f>
        <v>INSPECCIONAR</v>
      </c>
      <c r="P126" s="13" t="str">
        <f aca="false">IF($Q126=0,"",INDEX(BD_INSPECCION!F:F,$Q126))</f>
        <v>HORQUILLAS: FUGAS DE RETENES Y FUNCIONAMIENTO</v>
      </c>
      <c r="Q126" s="1" t="n">
        <f aca="false">IFERROR(MATCH($C$9&amp;"|108",BD_INSPECCION!$G:$G,0),0)</f>
        <v>110</v>
      </c>
      <c r="R126" s="1"/>
      <c r="S126" s="1"/>
      <c r="T126" s="1" t="str">
        <f aca="false">IF($Q126=0,"",INDEX(BD_INSPECCION!C:C,$Q126))</f>
        <v>PM5 - 5000 KM</v>
      </c>
      <c r="U126" s="1" t="str">
        <f aca="false">IF($Q126=0,"",INDEX(BD_INSPECCION!D:D,$Q126))</f>
        <v>SUSPENSIÓN DELANTERA</v>
      </c>
    </row>
    <row r="127" customFormat="false" ht="22.35" hidden="false" customHeight="false" outlineLevel="0" collapsed="false">
      <c r="A127" s="1"/>
      <c r="M127" s="10" t="str">
        <f aca="false">IF($Q127=0,"",IF($T127&lt;&gt;$T126,$T127,""))</f>
        <v/>
      </c>
      <c r="N127" s="12" t="str">
        <f aca="false">IF($Q127=0,"",IF(OR($T127&lt;&gt;$T126,$U127&lt;&gt;$U126),$U127,""))</f>
        <v>SUSPENSIÓN TRASERA</v>
      </c>
      <c r="O127" s="12" t="str">
        <f aca="false">IF($Q127=0,"",INDEX(BD_INSPECCION!E:E,$Q127))</f>
        <v>INSPECCIONAR</v>
      </c>
      <c r="P127" s="13" t="str">
        <f aca="false">IF($Q127=0,"",INDEX(BD_INSPECCION!F:F,$Q127))</f>
        <v>MUELLES (HOJAS ROTAS), ABRAZADERAS, BUJES Y AMORTIGUADOR</v>
      </c>
      <c r="Q127" s="1" t="n">
        <f aca="false">IFERROR(MATCH($C$9&amp;"|109",BD_INSPECCION!$G:$G,0),0)</f>
        <v>111</v>
      </c>
      <c r="R127" s="1"/>
      <c r="S127" s="1"/>
      <c r="T127" s="1" t="str">
        <f aca="false">IF($Q127=0,"",INDEX(BD_INSPECCION!C:C,$Q127))</f>
        <v>PM5 - 5000 KM</v>
      </c>
      <c r="U127" s="1" t="str">
        <f aca="false">IF($Q127=0,"",INDEX(BD_INSPECCION!D:D,$Q127))</f>
        <v>SUSPENSIÓN TRASERA</v>
      </c>
    </row>
    <row r="128" customFormat="false" ht="15" hidden="false" customHeight="false" outlineLevel="0" collapsed="false">
      <c r="A128" s="1"/>
      <c r="M128" s="10" t="str">
        <f aca="false">IF($Q128=0,"",IF($T128&lt;&gt;$T127,$T128,""))</f>
        <v/>
      </c>
      <c r="N128" s="12" t="str">
        <f aca="false">IF($Q128=0,"",IF(OR($T128&lt;&gt;$T127,$U128&lt;&gt;$U127),$U128,""))</f>
        <v>CONTROLES</v>
      </c>
      <c r="O128" s="12" t="str">
        <f aca="false">IF($Q128=0,"",INDEX(BD_INSPECCION!E:E,$Q128))</f>
        <v>LUBRICAR</v>
      </c>
      <c r="P128" s="13" t="str">
        <f aca="false">IF($Q128=0,"",INDEX(BD_INSPECCION!F:F,$Q128))</f>
        <v>MANIJAS Y CABLES DE FRENO, EMBRAGUE Y ACELERADOR</v>
      </c>
      <c r="Q128" s="1" t="n">
        <f aca="false">IFERROR(MATCH($C$9&amp;"|110",BD_INSPECCION!$G:$G,0),0)</f>
        <v>112</v>
      </c>
      <c r="R128" s="1"/>
      <c r="S128" s="1"/>
      <c r="T128" s="1" t="str">
        <f aca="false">IF($Q128=0,"",INDEX(BD_INSPECCION!C:C,$Q128))</f>
        <v>PM5 - 5000 KM</v>
      </c>
      <c r="U128" s="1" t="str">
        <f aca="false">IF($Q128=0,"",INDEX(BD_INSPECCION!D:D,$Q128))</f>
        <v>CONTROLES</v>
      </c>
    </row>
    <row r="129" customFormat="false" ht="22.35" hidden="false" customHeight="false" outlineLevel="0" collapsed="false">
      <c r="A129" s="1"/>
      <c r="M129" s="10" t="str">
        <f aca="false">IF($Q129=0,"",IF($T129&lt;&gt;$T128,$T129,""))</f>
        <v/>
      </c>
      <c r="N129" s="12" t="str">
        <f aca="false">IF($Q129=0,"",IF(OR($T129&lt;&gt;$T128,$U129&lt;&gt;$U128),$U129,""))</f>
        <v>RUEDAS</v>
      </c>
      <c r="O129" s="12" t="str">
        <f aca="false">IF($Q129=0,"",INDEX(BD_INSPECCION!E:E,$Q129))</f>
        <v>INSPECCIONAR</v>
      </c>
      <c r="P129" s="13" t="str">
        <f aca="false">IF($Q129=0,"",INDEX(BD_INSPECCION!F:F,$Q129))</f>
        <v>PRESIÓN, DESGASTE DE LLANTAS Y AJUSTE DE TUERCAS</v>
      </c>
      <c r="Q129" s="1" t="n">
        <f aca="false">IFERROR(MATCH($C$9&amp;"|111",BD_INSPECCION!$G:$G,0),0)</f>
        <v>113</v>
      </c>
      <c r="R129" s="1"/>
      <c r="S129" s="1"/>
      <c r="T129" s="1" t="str">
        <f aca="false">IF($Q129=0,"",INDEX(BD_INSPECCION!C:C,$Q129))</f>
        <v>PM5 - 5000 KM</v>
      </c>
      <c r="U129" s="1" t="str">
        <f aca="false">IF($Q129=0,"",INDEX(BD_INSPECCION!D:D,$Q129))</f>
        <v>RUEDAS</v>
      </c>
    </row>
    <row r="130" customFormat="false" ht="22.35" hidden="false" customHeight="false" outlineLevel="0" collapsed="false">
      <c r="A130" s="1"/>
      <c r="M130" s="10" t="str">
        <f aca="false">IF($Q130=0,"",IF($T130&lt;&gt;$T129,$T130,""))</f>
        <v/>
      </c>
      <c r="N130" s="12" t="str">
        <f aca="false">IF($Q130=0,"",IF(OR($T130&lt;&gt;$T129,$U130&lt;&gt;$U129),$U130,""))</f>
        <v>SISTEMA ELÉCTRICO</v>
      </c>
      <c r="O130" s="12" t="str">
        <f aca="false">IF($Q130=0,"",INDEX(BD_INSPECCION!E:E,$Q130))</f>
        <v>INSPECCIONAR</v>
      </c>
      <c r="P130" s="13" t="str">
        <f aca="false">IF($Q130=0,"",INDEX(BD_INSPECCION!F:F,$Q130))</f>
        <v>BATERÍA, BORNES, LUCES, CLAXON E INTERRUPTORES</v>
      </c>
      <c r="Q130" s="1" t="n">
        <f aca="false">IFERROR(MATCH($C$9&amp;"|112",BD_INSPECCION!$G:$G,0),0)</f>
        <v>114</v>
      </c>
      <c r="R130" s="1"/>
      <c r="S130" s="1"/>
      <c r="T130" s="1" t="str">
        <f aca="false">IF($Q130=0,"",INDEX(BD_INSPECCION!C:C,$Q130))</f>
        <v>PM5 - 5000 KM</v>
      </c>
      <c r="U130" s="1" t="str">
        <f aca="false">IF($Q130=0,"",INDEX(BD_INSPECCION!D:D,$Q130))</f>
        <v>SISTEMA ELÉCTRICO</v>
      </c>
    </row>
    <row r="131" customFormat="false" ht="22.35" hidden="false" customHeight="false" outlineLevel="0" collapsed="false">
      <c r="A131" s="1"/>
      <c r="M131" s="10" t="str">
        <f aca="false">IF($Q131=0,"",IF($T131&lt;&gt;$T130,$T131,""))</f>
        <v/>
      </c>
      <c r="N131" s="12" t="str">
        <f aca="false">IF($Q131=0,"",IF(OR($T131&lt;&gt;$T130,$U131&lt;&gt;$U130),$U131,""))</f>
        <v>CHASIS / TOLVA</v>
      </c>
      <c r="O131" s="12" t="str">
        <f aca="false">IF($Q131=0,"",INDEX(BD_INSPECCION!E:E,$Q131))</f>
        <v>INSPECCIONAR</v>
      </c>
      <c r="P131" s="13" t="str">
        <f aca="false">IF($Q131=0,"",INDEX(BD_INSPECCION!F:F,$Q131))</f>
        <v>SOLDADURAS, PERNOS DE TOLVA Y BASTIDOR</v>
      </c>
      <c r="Q131" s="1" t="n">
        <f aca="false">IFERROR(MATCH($C$9&amp;"|113",BD_INSPECCION!$G:$G,0),0)</f>
        <v>115</v>
      </c>
      <c r="R131" s="1"/>
      <c r="S131" s="1"/>
      <c r="T131" s="1" t="str">
        <f aca="false">IF($Q131=0,"",INDEX(BD_INSPECCION!C:C,$Q131))</f>
        <v>PM5 - 5000 KM</v>
      </c>
      <c r="U131" s="1" t="str">
        <f aca="false">IF($Q131=0,"",INDEX(BD_INSPECCION!D:D,$Q131))</f>
        <v>CHASIS / TOLVA</v>
      </c>
    </row>
    <row r="132" customFormat="false" ht="22.35" hidden="false" customHeight="false" outlineLevel="0" collapsed="false">
      <c r="A132" s="1"/>
      <c r="M132" s="10" t="str">
        <f aca="false">IF($Q132=0,"",IF($T132&lt;&gt;$T131,$T132,""))</f>
        <v>PM6 - 6000 KM</v>
      </c>
      <c r="N132" s="12" t="str">
        <f aca="false">IF($Q132=0,"",IF(OR($T132&lt;&gt;$T131,$U132&lt;&gt;$U131),$U132,""))</f>
        <v>MOTOR</v>
      </c>
      <c r="O132" s="12" t="str">
        <f aca="false">IF($Q132=0,"",INDEX(BD_INSPECCION!E:E,$Q132))</f>
        <v>INSPECCIONAR</v>
      </c>
      <c r="P132" s="13" t="str">
        <f aca="false">IF($Q132=0,"",INDEX(BD_INSPECCION!F:F,$Q132))</f>
        <v>LUZ DE VÁLVULAS (REGULAR SI ES NECESARIO)</v>
      </c>
      <c r="Q132" s="1" t="n">
        <f aca="false">IFERROR(MATCH($C$9&amp;"|114",BD_INSPECCION!$G:$G,0),0)</f>
        <v>116</v>
      </c>
      <c r="R132" s="1"/>
      <c r="S132" s="1"/>
      <c r="T132" s="1" t="str">
        <f aca="false">IF($Q132=0,"",INDEX(BD_INSPECCION!C:C,$Q132))</f>
        <v>PM6 - 6000 KM</v>
      </c>
      <c r="U132" s="1" t="str">
        <f aca="false">IF($Q132=0,"",INDEX(BD_INSPECCION!D:D,$Q132))</f>
        <v>MOTOR</v>
      </c>
    </row>
    <row r="133" customFormat="false" ht="22.35" hidden="false" customHeight="false" outlineLevel="0" collapsed="false">
      <c r="A133" s="1"/>
      <c r="M133" s="10" t="str">
        <f aca="false">IF($Q133=0,"",IF($T133&lt;&gt;$T132,$T133,""))</f>
        <v/>
      </c>
      <c r="N133" s="12" t="str">
        <f aca="false">IF($Q133=0,"",IF(OR($T133&lt;&gt;$T132,$U133&lt;&gt;$U132),$U133,""))</f>
        <v/>
      </c>
      <c r="O133" s="12" t="str">
        <f aca="false">IF($Q133=0,"",INDEX(BD_INSPECCION!E:E,$Q133))</f>
        <v>INSPECCIONAR</v>
      </c>
      <c r="P133" s="13" t="str">
        <f aca="false">IF($Q133=0,"",INDEX(BD_INSPECCION!F:F,$Q133))</f>
        <v>VELOCIDAD DE RALENTÍ</v>
      </c>
      <c r="Q133" s="1" t="n">
        <f aca="false">IFERROR(MATCH($C$9&amp;"|115",BD_INSPECCION!$G:$G,0),0)</f>
        <v>117</v>
      </c>
      <c r="R133" s="1"/>
      <c r="S133" s="1"/>
      <c r="T133" s="1" t="str">
        <f aca="false">IF($Q133=0,"",INDEX(BD_INSPECCION!C:C,$Q133))</f>
        <v>PM6 - 6000 KM</v>
      </c>
      <c r="U133" s="1" t="str">
        <f aca="false">IF($Q133=0,"",INDEX(BD_INSPECCION!D:D,$Q133))</f>
        <v>MOTOR</v>
      </c>
    </row>
    <row r="134" customFormat="false" ht="22.35" hidden="false" customHeight="false" outlineLevel="0" collapsed="false">
      <c r="A134" s="1"/>
      <c r="M134" s="10" t="str">
        <f aca="false">IF($Q134=0,"",IF($T134&lt;&gt;$T133,$T134,""))</f>
        <v/>
      </c>
      <c r="N134" s="12" t="str">
        <f aca="false">IF($Q134=0,"",IF(OR($T134&lt;&gt;$T133,$U134&lt;&gt;$U133),$U134,""))</f>
        <v/>
      </c>
      <c r="O134" s="12" t="str">
        <f aca="false">IF($Q134=0,"",INDEX(BD_INSPECCION!E:E,$Q134))</f>
        <v>INSPECCIONAR</v>
      </c>
      <c r="P134" s="13" t="str">
        <f aca="false">IF($Q134=0,"",INDEX(BD_INSPECCION!F:F,$Q134))</f>
        <v>FUGAS DE ACEITE Y ESTADO DE EMPAQUES</v>
      </c>
      <c r="Q134" s="1" t="n">
        <f aca="false">IFERROR(MATCH($C$9&amp;"|116",BD_INSPECCION!$G:$G,0),0)</f>
        <v>118</v>
      </c>
      <c r="R134" s="1"/>
      <c r="S134" s="1"/>
      <c r="T134" s="1" t="str">
        <f aca="false">IF($Q134=0,"",INDEX(BD_INSPECCION!C:C,$Q134))</f>
        <v>PM6 - 6000 KM</v>
      </c>
      <c r="U134" s="1" t="str">
        <f aca="false">IF($Q134=0,"",INDEX(BD_INSPECCION!D:D,$Q134))</f>
        <v>MOTOR</v>
      </c>
    </row>
    <row r="135" customFormat="false" ht="15" hidden="false" customHeight="false" outlineLevel="0" collapsed="false">
      <c r="A135" s="1"/>
      <c r="M135" s="10" t="str">
        <f aca="false">IF($Q135=0,"",IF($T135&lt;&gt;$T134,$T135,""))</f>
        <v/>
      </c>
      <c r="N135" s="12" t="str">
        <f aca="false">IF($Q135=0,"",IF(OR($T135&lt;&gt;$T134,$U135&lt;&gt;$U134),$U135,""))</f>
        <v/>
      </c>
      <c r="O135" s="12" t="str">
        <f aca="false">IF($Q135=0,"",INDEX(BD_INSPECCION!E:E,$Q135))</f>
        <v>LIMPIAR</v>
      </c>
      <c r="P135" s="13" t="str">
        <f aca="false">IF($Q135=0,"",INDEX(BD_INSPECCION!F:F,$Q135))</f>
        <v>MALLA (COLADOR) DE ACEITE</v>
      </c>
      <c r="Q135" s="1" t="n">
        <f aca="false">IFERROR(MATCH($C$9&amp;"|117",BD_INSPECCION!$G:$G,0),0)</f>
        <v>119</v>
      </c>
      <c r="R135" s="1"/>
      <c r="S135" s="1"/>
      <c r="T135" s="1" t="str">
        <f aca="false">IF($Q135=0,"",INDEX(BD_INSPECCION!C:C,$Q135))</f>
        <v>PM6 - 6000 KM</v>
      </c>
      <c r="U135" s="1" t="str">
        <f aca="false">IF($Q135=0,"",INDEX(BD_INSPECCION!D:D,$Q135))</f>
        <v>MOTOR</v>
      </c>
    </row>
    <row r="136" customFormat="false" ht="22.35" hidden="false" customHeight="false" outlineLevel="0" collapsed="false">
      <c r="A136" s="1"/>
      <c r="M136" s="10" t="str">
        <f aca="false">IF($Q136=0,"",IF($T136&lt;&gt;$T135,$T136,""))</f>
        <v/>
      </c>
      <c r="N136" s="12" t="str">
        <f aca="false">IF($Q136=0,"",IF(OR($T136&lt;&gt;$T135,$U136&lt;&gt;$U135),$U136,""))</f>
        <v>COMBUSTIBLE</v>
      </c>
      <c r="O136" s="12" t="str">
        <f aca="false">IF($Q136=0,"",INDEX(BD_INSPECCION!E:E,$Q136))</f>
        <v>INSPECCIONAR</v>
      </c>
      <c r="P136" s="13" t="str">
        <f aca="false">IF($Q136=0,"",INDEX(BD_INSPECCION!F:F,$Q136))</f>
        <v>MANGUERA DE COMBUSTIBLE (GRIETAS Y FUGAS)</v>
      </c>
      <c r="Q136" s="1" t="n">
        <f aca="false">IFERROR(MATCH($C$9&amp;"|118",BD_INSPECCION!$G:$G,0),0)</f>
        <v>120</v>
      </c>
      <c r="R136" s="1"/>
      <c r="S136" s="1"/>
      <c r="T136" s="1" t="str">
        <f aca="false">IF($Q136=0,"",INDEX(BD_INSPECCION!C:C,$Q136))</f>
        <v>PM6 - 6000 KM</v>
      </c>
      <c r="U136" s="1" t="str">
        <f aca="false">IF($Q136=0,"",INDEX(BD_INSPECCION!D:D,$Q136))</f>
        <v>COMBUSTIBLE</v>
      </c>
    </row>
    <row r="137" customFormat="false" ht="22.35" hidden="false" customHeight="false" outlineLevel="0" collapsed="false">
      <c r="A137" s="1"/>
      <c r="M137" s="10" t="str">
        <f aca="false">IF($Q137=0,"",IF($T137&lt;&gt;$T136,$T137,""))</f>
        <v/>
      </c>
      <c r="N137" s="12" t="str">
        <f aca="false">IF($Q137=0,"",IF(OR($T137&lt;&gt;$T136,$U137&lt;&gt;$U136),$U137,""))</f>
        <v/>
      </c>
      <c r="O137" s="12" t="str">
        <f aca="false">IF($Q137=0,"",INDEX(BD_INSPECCION!E:E,$Q137))</f>
        <v>INSPECCIONAR</v>
      </c>
      <c r="P137" s="13" t="str">
        <f aca="false">IF($Q137=0,"",INDEX(BD_INSPECCION!F:F,$Q137))</f>
        <v>FUNCIONAMIENTO DEL ACELERADOR Y CHOKE</v>
      </c>
      <c r="Q137" s="1" t="n">
        <f aca="false">IFERROR(MATCH($C$9&amp;"|119",BD_INSPECCION!$G:$G,0),0)</f>
        <v>121</v>
      </c>
      <c r="R137" s="1"/>
      <c r="S137" s="1"/>
      <c r="T137" s="1" t="str">
        <f aca="false">IF($Q137=0,"",INDEX(BD_INSPECCION!C:C,$Q137))</f>
        <v>PM6 - 6000 KM</v>
      </c>
      <c r="U137" s="1" t="str">
        <f aca="false">IF($Q137=0,"",INDEX(BD_INSPECCION!D:D,$Q137))</f>
        <v>COMBUSTIBLE</v>
      </c>
    </row>
    <row r="138" customFormat="false" ht="22.35" hidden="false" customHeight="false" outlineLevel="0" collapsed="false">
      <c r="A138" s="1"/>
      <c r="M138" s="10" t="str">
        <f aca="false">IF($Q138=0,"",IF($T138&lt;&gt;$T137,$T138,""))</f>
        <v/>
      </c>
      <c r="N138" s="12" t="str">
        <f aca="false">IF($Q138=0,"",IF(OR($T138&lt;&gt;$T137,$U138&lt;&gt;$U137),$U138,""))</f>
        <v>TRANSMISIÓN</v>
      </c>
      <c r="O138" s="12" t="str">
        <f aca="false">IF($Q138=0,"",INDEX(BD_INSPECCION!E:E,$Q138))</f>
        <v>INSPECCIONAR</v>
      </c>
      <c r="P138" s="13" t="str">
        <f aca="false">IF($Q138=0,"",INDEX(BD_INSPECCION!F:F,$Q138))</f>
        <v>EMBRAGUE (JUEGO LIBRE DEL CABLE) Y CAMBIOS</v>
      </c>
      <c r="Q138" s="1" t="n">
        <f aca="false">IFERROR(MATCH($C$9&amp;"|120",BD_INSPECCION!$G:$G,0),0)</f>
        <v>122</v>
      </c>
      <c r="R138" s="1"/>
      <c r="S138" s="1"/>
      <c r="T138" s="1" t="str">
        <f aca="false">IF($Q138=0,"",INDEX(BD_INSPECCION!C:C,$Q138))</f>
        <v>PM6 - 6000 KM</v>
      </c>
      <c r="U138" s="1" t="str">
        <f aca="false">IF($Q138=0,"",INDEX(BD_INSPECCION!D:D,$Q138))</f>
        <v>TRANSMISIÓN</v>
      </c>
    </row>
    <row r="139" customFormat="false" ht="22.35" hidden="false" customHeight="false" outlineLevel="0" collapsed="false">
      <c r="A139" s="1"/>
      <c r="M139" s="10" t="str">
        <f aca="false">IF($Q139=0,"",IF($T139&lt;&gt;$T138,$T139,""))</f>
        <v/>
      </c>
      <c r="N139" s="12" t="str">
        <f aca="false">IF($Q139=0,"",IF(OR($T139&lt;&gt;$T138,$U139&lt;&gt;$U138),$U139,""))</f>
        <v>CARDÁN</v>
      </c>
      <c r="O139" s="12" t="str">
        <f aca="false">IF($Q139=0,"",INDEX(BD_INSPECCION!E:E,$Q139))</f>
        <v>INSPECCIONAR</v>
      </c>
      <c r="P139" s="13" t="str">
        <f aca="false">IF($Q139=0,"",INDEX(BD_INSPECCION!F:F,$Q139))</f>
        <v>CRUCETAS (JUEGO) Y GUARDAPOLVOS</v>
      </c>
      <c r="Q139" s="1" t="n">
        <f aca="false">IFERROR(MATCH($C$9&amp;"|121",BD_INSPECCION!$G:$G,0),0)</f>
        <v>123</v>
      </c>
      <c r="R139" s="1"/>
      <c r="S139" s="1"/>
      <c r="T139" s="1" t="str">
        <f aca="false">IF($Q139=0,"",INDEX(BD_INSPECCION!C:C,$Q139))</f>
        <v>PM6 - 6000 KM</v>
      </c>
      <c r="U139" s="1" t="str">
        <f aca="false">IF($Q139=0,"",INDEX(BD_INSPECCION!D:D,$Q139))</f>
        <v>CARDÁN</v>
      </c>
    </row>
    <row r="140" customFormat="false" ht="15" hidden="false" customHeight="false" outlineLevel="0" collapsed="false">
      <c r="A140" s="1"/>
      <c r="M140" s="10" t="str">
        <f aca="false">IF($Q140=0,"",IF($T140&lt;&gt;$T139,$T140,""))</f>
        <v/>
      </c>
      <c r="N140" s="12" t="str">
        <f aca="false">IF($Q140=0,"",IF(OR($T140&lt;&gt;$T139,$U140&lt;&gt;$U139),$U140,""))</f>
        <v/>
      </c>
      <c r="O140" s="12" t="str">
        <f aca="false">IF($Q140=0,"",INDEX(BD_INSPECCION!E:E,$Q140))</f>
        <v>LUBRICAR</v>
      </c>
      <c r="P140" s="13" t="str">
        <f aca="false">IF($Q140=0,"",INDEX(BD_INSPECCION!F:F,$Q140))</f>
        <v>CRUCETAS Y ESTRIADO DEL CARDÁN</v>
      </c>
      <c r="Q140" s="1" t="n">
        <f aca="false">IFERROR(MATCH($C$9&amp;"|122",BD_INSPECCION!$G:$G,0),0)</f>
        <v>124</v>
      </c>
      <c r="R140" s="1"/>
      <c r="S140" s="1"/>
      <c r="T140" s="1" t="str">
        <f aca="false">IF($Q140=0,"",INDEX(BD_INSPECCION!C:C,$Q140))</f>
        <v>PM6 - 6000 KM</v>
      </c>
      <c r="U140" s="1" t="str">
        <f aca="false">IF($Q140=0,"",INDEX(BD_INSPECCION!D:D,$Q140))</f>
        <v>CARDÁN</v>
      </c>
    </row>
    <row r="141" customFormat="false" ht="22.35" hidden="false" customHeight="false" outlineLevel="0" collapsed="false">
      <c r="A141" s="1"/>
      <c r="M141" s="10" t="str">
        <f aca="false">IF($Q141=0,"",IF($T141&lt;&gt;$T140,$T141,""))</f>
        <v/>
      </c>
      <c r="N141" s="12" t="str">
        <f aca="false">IF($Q141=0,"",IF(OR($T141&lt;&gt;$T140,$U141&lt;&gt;$U140),$U141,""))</f>
        <v>DIFERENCIAL</v>
      </c>
      <c r="O141" s="12" t="str">
        <f aca="false">IF($Q141=0,"",INDEX(BD_INSPECCION!E:E,$Q141))</f>
        <v>INSPECCIONAR</v>
      </c>
      <c r="P141" s="13" t="str">
        <f aca="false">IF($Q141=0,"",INDEX(BD_INSPECCION!F:F,$Q141))</f>
        <v>RUIDOS Y RESPIRADERO</v>
      </c>
      <c r="Q141" s="1" t="n">
        <f aca="false">IFERROR(MATCH($C$9&amp;"|123",BD_INSPECCION!$G:$G,0),0)</f>
        <v>125</v>
      </c>
      <c r="R141" s="1"/>
      <c r="S141" s="1"/>
      <c r="T141" s="1" t="str">
        <f aca="false">IF($Q141=0,"",INDEX(BD_INSPECCION!C:C,$Q141))</f>
        <v>PM6 - 6000 KM</v>
      </c>
      <c r="U141" s="1" t="str">
        <f aca="false">IF($Q141=0,"",INDEX(BD_INSPECCION!D:D,$Q141))</f>
        <v>DIFERENCIAL</v>
      </c>
    </row>
    <row r="142" customFormat="false" ht="22.35" hidden="false" customHeight="false" outlineLevel="0" collapsed="false">
      <c r="A142" s="1"/>
      <c r="M142" s="10" t="str">
        <f aca="false">IF($Q142=0,"",IF($T142&lt;&gt;$T141,$T142,""))</f>
        <v/>
      </c>
      <c r="N142" s="12" t="str">
        <f aca="false">IF($Q142=0,"",IF(OR($T142&lt;&gt;$T141,$U142&lt;&gt;$U141),$U142,""))</f>
        <v>EJES / RODAJES</v>
      </c>
      <c r="O142" s="12" t="str">
        <f aca="false">IF($Q142=0,"",INDEX(BD_INSPECCION!E:E,$Q142))</f>
        <v>INSPECCIONAR</v>
      </c>
      <c r="P142" s="13" t="str">
        <f aca="false">IF($Q142=0,"",INDEX(BD_INSPECCION!F:F,$Q142))</f>
        <v>PALIERES, RODAJES DE RUEDA Y RETENES (JUEGO, RUIDO Y FUGAS)</v>
      </c>
      <c r="Q142" s="1" t="n">
        <f aca="false">IFERROR(MATCH($C$9&amp;"|124",BD_INSPECCION!$G:$G,0),0)</f>
        <v>126</v>
      </c>
      <c r="R142" s="1"/>
      <c r="S142" s="1"/>
      <c r="T142" s="1" t="str">
        <f aca="false">IF($Q142=0,"",INDEX(BD_INSPECCION!C:C,$Q142))</f>
        <v>PM6 - 6000 KM</v>
      </c>
      <c r="U142" s="1" t="str">
        <f aca="false">IF($Q142=0,"",INDEX(BD_INSPECCION!D:D,$Q142))</f>
        <v>EJES / RODAJES</v>
      </c>
    </row>
    <row r="143" customFormat="false" ht="22.35" hidden="false" customHeight="false" outlineLevel="0" collapsed="false">
      <c r="A143" s="1"/>
      <c r="M143" s="10" t="str">
        <f aca="false">IF($Q143=0,"",IF($T143&lt;&gt;$T142,$T143,""))</f>
        <v/>
      </c>
      <c r="N143" s="12" t="str">
        <f aca="false">IF($Q143=0,"",IF(OR($T143&lt;&gt;$T142,$U143&lt;&gt;$U142),$U143,""))</f>
        <v>FRENOS</v>
      </c>
      <c r="O143" s="12" t="str">
        <f aca="false">IF($Q143=0,"",INDEX(BD_INSPECCION!E:E,$Q143))</f>
        <v>INSPECCIONAR</v>
      </c>
      <c r="P143" s="13" t="str">
        <f aca="false">IF($Q143=0,"",INDEX(BD_INSPECCION!F:F,$Q143))</f>
        <v>ZAPATAS, TAMBORES, CABLES Y JUEGO LIBRE DE PALANCA Y PEDAL</v>
      </c>
      <c r="Q143" s="1" t="n">
        <f aca="false">IFERROR(MATCH($C$9&amp;"|125",BD_INSPECCION!$G:$G,0),0)</f>
        <v>127</v>
      </c>
      <c r="R143" s="1"/>
      <c r="S143" s="1"/>
      <c r="T143" s="1" t="str">
        <f aca="false">IF($Q143=0,"",INDEX(BD_INSPECCION!C:C,$Q143))</f>
        <v>PM6 - 6000 KM</v>
      </c>
      <c r="U143" s="1" t="str">
        <f aca="false">IF($Q143=0,"",INDEX(BD_INSPECCION!D:D,$Q143))</f>
        <v>FRENOS</v>
      </c>
    </row>
    <row r="144" customFormat="false" ht="22.35" hidden="false" customHeight="false" outlineLevel="0" collapsed="false">
      <c r="A144" s="1"/>
      <c r="M144" s="10" t="str">
        <f aca="false">IF($Q144=0,"",IF($T144&lt;&gt;$T143,$T144,""))</f>
        <v/>
      </c>
      <c r="N144" s="12" t="str">
        <f aca="false">IF($Q144=0,"",IF(OR($T144&lt;&gt;$T143,$U144&lt;&gt;$U143),$U144,""))</f>
        <v>DIRECCIÓN</v>
      </c>
      <c r="O144" s="12" t="str">
        <f aca="false">IF($Q144=0,"",INDEX(BD_INSPECCION!E:E,$Q144))</f>
        <v>INSPECCIONAR</v>
      </c>
      <c r="P144" s="13" t="str">
        <f aca="false">IF($Q144=0,"",INDEX(BD_INSPECCION!F:F,$Q144))</f>
        <v>RODAJES DE DIRECCIÓN Y JUEGO DEL TIMÓN</v>
      </c>
      <c r="Q144" s="1" t="n">
        <f aca="false">IFERROR(MATCH($C$9&amp;"|126",BD_INSPECCION!$G:$G,0),0)</f>
        <v>128</v>
      </c>
      <c r="R144" s="1"/>
      <c r="S144" s="1"/>
      <c r="T144" s="1" t="str">
        <f aca="false">IF($Q144=0,"",INDEX(BD_INSPECCION!C:C,$Q144))</f>
        <v>PM6 - 6000 KM</v>
      </c>
      <c r="U144" s="1" t="str">
        <f aca="false">IF($Q144=0,"",INDEX(BD_INSPECCION!D:D,$Q144))</f>
        <v>DIRECCIÓN</v>
      </c>
    </row>
    <row r="145" customFormat="false" ht="15" hidden="false" customHeight="false" outlineLevel="0" collapsed="false">
      <c r="A145" s="1"/>
      <c r="M145" s="10" t="str">
        <f aca="false">IF($Q145=0,"",IF($T145&lt;&gt;$T144,$T145,""))</f>
        <v/>
      </c>
      <c r="N145" s="12" t="str">
        <f aca="false">IF($Q145=0,"",IF(OR($T145&lt;&gt;$T144,$U145&lt;&gt;$U144),$U145,""))</f>
        <v/>
      </c>
      <c r="O145" s="12" t="str">
        <f aca="false">IF($Q145=0,"",INDEX(BD_INSPECCION!E:E,$Q145))</f>
        <v>LUBRICAR</v>
      </c>
      <c r="P145" s="13" t="str">
        <f aca="false">IF($Q145=0,"",INDEX(BD_INSPECCION!F:F,$Q145))</f>
        <v>RODAJES DE DIRECCIÓN</v>
      </c>
      <c r="Q145" s="1" t="n">
        <f aca="false">IFERROR(MATCH($C$9&amp;"|127",BD_INSPECCION!$G:$G,0),0)</f>
        <v>129</v>
      </c>
      <c r="R145" s="1"/>
      <c r="S145" s="1"/>
      <c r="T145" s="1" t="str">
        <f aca="false">IF($Q145=0,"",INDEX(BD_INSPECCION!C:C,$Q145))</f>
        <v>PM6 - 6000 KM</v>
      </c>
      <c r="U145" s="1" t="str">
        <f aca="false">IF($Q145=0,"",INDEX(BD_INSPECCION!D:D,$Q145))</f>
        <v>DIRECCIÓN</v>
      </c>
    </row>
    <row r="146" customFormat="false" ht="22.35" hidden="false" customHeight="false" outlineLevel="0" collapsed="false">
      <c r="A146" s="1"/>
      <c r="M146" s="10" t="str">
        <f aca="false">IF($Q146=0,"",IF($T146&lt;&gt;$T145,$T146,""))</f>
        <v/>
      </c>
      <c r="N146" s="12" t="str">
        <f aca="false">IF($Q146=0,"",IF(OR($T146&lt;&gt;$T145,$U146&lt;&gt;$U145),$U146,""))</f>
        <v>SUSPENSIÓN DELANTERA</v>
      </c>
      <c r="O146" s="12" t="str">
        <f aca="false">IF($Q146=0,"",INDEX(BD_INSPECCION!E:E,$Q146))</f>
        <v>INSPECCIONAR</v>
      </c>
      <c r="P146" s="13" t="str">
        <f aca="false">IF($Q146=0,"",INDEX(BD_INSPECCION!F:F,$Q146))</f>
        <v>HORQUILLAS: FUGAS DE RETENES Y FUNCIONAMIENTO</v>
      </c>
      <c r="Q146" s="1" t="n">
        <f aca="false">IFERROR(MATCH($C$9&amp;"|128",BD_INSPECCION!$G:$G,0),0)</f>
        <v>130</v>
      </c>
      <c r="R146" s="1"/>
      <c r="S146" s="1"/>
      <c r="T146" s="1" t="str">
        <f aca="false">IF($Q146=0,"",INDEX(BD_INSPECCION!C:C,$Q146))</f>
        <v>PM6 - 6000 KM</v>
      </c>
      <c r="U146" s="1" t="str">
        <f aca="false">IF($Q146=0,"",INDEX(BD_INSPECCION!D:D,$Q146))</f>
        <v>SUSPENSIÓN DELANTERA</v>
      </c>
    </row>
    <row r="147" customFormat="false" ht="22.35" hidden="false" customHeight="false" outlineLevel="0" collapsed="false">
      <c r="A147" s="1"/>
      <c r="M147" s="10" t="str">
        <f aca="false">IF($Q147=0,"",IF($T147&lt;&gt;$T146,$T147,""))</f>
        <v/>
      </c>
      <c r="N147" s="12" t="str">
        <f aca="false">IF($Q147=0,"",IF(OR($T147&lt;&gt;$T146,$U147&lt;&gt;$U146),$U147,""))</f>
        <v>SUSPENSIÓN TRASERA</v>
      </c>
      <c r="O147" s="12" t="str">
        <f aca="false">IF($Q147=0,"",INDEX(BD_INSPECCION!E:E,$Q147))</f>
        <v>INSPECCIONAR</v>
      </c>
      <c r="P147" s="13" t="str">
        <f aca="false">IF($Q147=0,"",INDEX(BD_INSPECCION!F:F,$Q147))</f>
        <v>MUELLES (HOJAS ROTAS), ABRAZADERAS, BUJES Y AMORTIGUADOR</v>
      </c>
      <c r="Q147" s="1" t="n">
        <f aca="false">IFERROR(MATCH($C$9&amp;"|129",BD_INSPECCION!$G:$G,0),0)</f>
        <v>131</v>
      </c>
      <c r="R147" s="1"/>
      <c r="S147" s="1"/>
      <c r="T147" s="1" t="str">
        <f aca="false">IF($Q147=0,"",INDEX(BD_INSPECCION!C:C,$Q147))</f>
        <v>PM6 - 6000 KM</v>
      </c>
      <c r="U147" s="1" t="str">
        <f aca="false">IF($Q147=0,"",INDEX(BD_INSPECCION!D:D,$Q147))</f>
        <v>SUSPENSIÓN TRASERA</v>
      </c>
    </row>
    <row r="148" customFormat="false" ht="15" hidden="false" customHeight="false" outlineLevel="0" collapsed="false">
      <c r="A148" s="1"/>
      <c r="M148" s="10" t="str">
        <f aca="false">IF($Q148=0,"",IF($T148&lt;&gt;$T147,$T148,""))</f>
        <v/>
      </c>
      <c r="N148" s="12" t="str">
        <f aca="false">IF($Q148=0,"",IF(OR($T148&lt;&gt;$T147,$U148&lt;&gt;$U147),$U148,""))</f>
        <v>CONTROLES</v>
      </c>
      <c r="O148" s="12" t="str">
        <f aca="false">IF($Q148=0,"",INDEX(BD_INSPECCION!E:E,$Q148))</f>
        <v>LUBRICAR</v>
      </c>
      <c r="P148" s="13" t="str">
        <f aca="false">IF($Q148=0,"",INDEX(BD_INSPECCION!F:F,$Q148))</f>
        <v>MANIJAS Y CABLES DE FRENO, EMBRAGUE Y ACELERADOR</v>
      </c>
      <c r="Q148" s="1" t="n">
        <f aca="false">IFERROR(MATCH($C$9&amp;"|130",BD_INSPECCION!$G:$G,0),0)</f>
        <v>132</v>
      </c>
      <c r="R148" s="1"/>
      <c r="S148" s="1"/>
      <c r="T148" s="1" t="str">
        <f aca="false">IF($Q148=0,"",INDEX(BD_INSPECCION!C:C,$Q148))</f>
        <v>PM6 - 6000 KM</v>
      </c>
      <c r="U148" s="1" t="str">
        <f aca="false">IF($Q148=0,"",INDEX(BD_INSPECCION!D:D,$Q148))</f>
        <v>CONTROLES</v>
      </c>
    </row>
    <row r="149" customFormat="false" ht="22.35" hidden="false" customHeight="false" outlineLevel="0" collapsed="false">
      <c r="A149" s="1"/>
      <c r="M149" s="10" t="str">
        <f aca="false">IF($Q149=0,"",IF($T149&lt;&gt;$T148,$T149,""))</f>
        <v/>
      </c>
      <c r="N149" s="12" t="str">
        <f aca="false">IF($Q149=0,"",IF(OR($T149&lt;&gt;$T148,$U149&lt;&gt;$U148),$U149,""))</f>
        <v>RUEDAS</v>
      </c>
      <c r="O149" s="12" t="str">
        <f aca="false">IF($Q149=0,"",INDEX(BD_INSPECCION!E:E,$Q149))</f>
        <v>INSPECCIONAR</v>
      </c>
      <c r="P149" s="13" t="str">
        <f aca="false">IF($Q149=0,"",INDEX(BD_INSPECCION!F:F,$Q149))</f>
        <v>PRESIÓN, DESGASTE DE LLANTAS Y AJUSTE DE TUERCAS</v>
      </c>
      <c r="Q149" s="1" t="n">
        <f aca="false">IFERROR(MATCH($C$9&amp;"|131",BD_INSPECCION!$G:$G,0),0)</f>
        <v>133</v>
      </c>
      <c r="R149" s="1"/>
      <c r="S149" s="1"/>
      <c r="T149" s="1" t="str">
        <f aca="false">IF($Q149=0,"",INDEX(BD_INSPECCION!C:C,$Q149))</f>
        <v>PM6 - 6000 KM</v>
      </c>
      <c r="U149" s="1" t="str">
        <f aca="false">IF($Q149=0,"",INDEX(BD_INSPECCION!D:D,$Q149))</f>
        <v>RUEDAS</v>
      </c>
    </row>
    <row r="150" customFormat="false" ht="22.35" hidden="false" customHeight="false" outlineLevel="0" collapsed="false">
      <c r="A150" s="1"/>
      <c r="M150" s="10" t="str">
        <f aca="false">IF($Q150=0,"",IF($T150&lt;&gt;$T149,$T150,""))</f>
        <v/>
      </c>
      <c r="N150" s="12" t="str">
        <f aca="false">IF($Q150=0,"",IF(OR($T150&lt;&gt;$T149,$U150&lt;&gt;$U149),$U150,""))</f>
        <v>SISTEMA ELÉCTRICO</v>
      </c>
      <c r="O150" s="12" t="str">
        <f aca="false">IF($Q150=0,"",INDEX(BD_INSPECCION!E:E,$Q150))</f>
        <v>INSPECCIONAR</v>
      </c>
      <c r="P150" s="13" t="str">
        <f aca="false">IF($Q150=0,"",INDEX(BD_INSPECCION!F:F,$Q150))</f>
        <v>BATERÍA, BORNES, LUCES, CLAXON E INTERRUPTORES</v>
      </c>
      <c r="Q150" s="1" t="n">
        <f aca="false">IFERROR(MATCH($C$9&amp;"|132",BD_INSPECCION!$G:$G,0),0)</f>
        <v>134</v>
      </c>
      <c r="R150" s="1"/>
      <c r="S150" s="1"/>
      <c r="T150" s="1" t="str">
        <f aca="false">IF($Q150=0,"",INDEX(BD_INSPECCION!C:C,$Q150))</f>
        <v>PM6 - 6000 KM</v>
      </c>
      <c r="U150" s="1" t="str">
        <f aca="false">IF($Q150=0,"",INDEX(BD_INSPECCION!D:D,$Q150))</f>
        <v>SISTEMA ELÉCTRICO</v>
      </c>
    </row>
    <row r="151" customFormat="false" ht="22.35" hidden="false" customHeight="false" outlineLevel="0" collapsed="false">
      <c r="A151" s="1"/>
      <c r="M151" s="10" t="str">
        <f aca="false">IF($Q151=0,"",IF($T151&lt;&gt;$T150,$T151,""))</f>
        <v/>
      </c>
      <c r="N151" s="12" t="str">
        <f aca="false">IF($Q151=0,"",IF(OR($T151&lt;&gt;$T150,$U151&lt;&gt;$U150),$U151,""))</f>
        <v>CHASIS / TOLVA</v>
      </c>
      <c r="O151" s="12" t="str">
        <f aca="false">IF($Q151=0,"",INDEX(BD_INSPECCION!E:E,$Q151))</f>
        <v>INSPECCIONAR</v>
      </c>
      <c r="P151" s="13" t="str">
        <f aca="false">IF($Q151=0,"",INDEX(BD_INSPECCION!F:F,$Q151))</f>
        <v>SOLDADURAS, PERNOS DE TOLVA Y BASTIDOR</v>
      </c>
      <c r="Q151" s="1" t="n">
        <f aca="false">IFERROR(MATCH($C$9&amp;"|133",BD_INSPECCION!$G:$G,0),0)</f>
        <v>135</v>
      </c>
      <c r="R151" s="1"/>
      <c r="S151" s="1"/>
      <c r="T151" s="1" t="str">
        <f aca="false">IF($Q151=0,"",INDEX(BD_INSPECCION!C:C,$Q151))</f>
        <v>PM6 - 6000 KM</v>
      </c>
      <c r="U151" s="1" t="str">
        <f aca="false">IF($Q151=0,"",INDEX(BD_INSPECCION!D:D,$Q151))</f>
        <v>CHASIS / TOLVA</v>
      </c>
    </row>
    <row r="152" customFormat="false" ht="15" hidden="false" customHeight="false" outlineLevel="0" collapsed="false">
      <c r="A152" s="1"/>
      <c r="M152" s="10" t="str">
        <f aca="false">IF($Q152=0,"",IF($T152&lt;&gt;$T151,$T152,""))</f>
        <v/>
      </c>
      <c r="N152" s="12" t="str">
        <f aca="false">IF($Q152=0,"",IF(OR($T152&lt;&gt;$T151,$U152&lt;&gt;$U151),$U152,""))</f>
        <v/>
      </c>
      <c r="O152" s="12" t="str">
        <f aca="false">IF($Q152=0,"",INDEX(BD_INSPECCION!E:E,$Q152))</f>
        <v/>
      </c>
      <c r="P152" s="13" t="str">
        <f aca="false">IF($Q152=0,"",INDEX(BD_INSPECCION!F:F,$Q152))</f>
        <v/>
      </c>
      <c r="Q152" s="1" t="n">
        <f aca="false">IFERROR(MATCH($C$9&amp;"|134",BD_INSPECCION!$G:$G,0),0)</f>
        <v>0</v>
      </c>
      <c r="R152" s="1"/>
      <c r="S152" s="1"/>
      <c r="T152" s="1" t="str">
        <f aca="false">IF($Q152=0,"",INDEX(BD_INSPECCION!C:C,$Q152))</f>
        <v/>
      </c>
      <c r="U152" s="1" t="str">
        <f aca="false">IF($Q152=0,"",INDEX(BD_INSPECCION!D:D,$Q152))</f>
        <v/>
      </c>
    </row>
    <row r="153" customFormat="false" ht="15" hidden="false" customHeight="false" outlineLevel="0" collapsed="false">
      <c r="A153" s="1"/>
      <c r="M153" s="10" t="str">
        <f aca="false">IF($Q153=0,"",IF($T153&lt;&gt;$T152,$T153,""))</f>
        <v/>
      </c>
      <c r="N153" s="12" t="str">
        <f aca="false">IF($Q153=0,"",IF(OR($T153&lt;&gt;$T152,$U153&lt;&gt;$U152),$U153,""))</f>
        <v/>
      </c>
      <c r="O153" s="12" t="str">
        <f aca="false">IF($Q153=0,"",INDEX(BD_INSPECCION!E:E,$Q153))</f>
        <v/>
      </c>
      <c r="P153" s="13" t="str">
        <f aca="false">IF($Q153=0,"",INDEX(BD_INSPECCION!F:F,$Q153))</f>
        <v/>
      </c>
      <c r="Q153" s="1" t="n">
        <f aca="false">IFERROR(MATCH($C$9&amp;"|135",BD_INSPECCION!$G:$G,0),0)</f>
        <v>0</v>
      </c>
      <c r="R153" s="1"/>
      <c r="S153" s="1"/>
      <c r="T153" s="1" t="str">
        <f aca="false">IF($Q153=0,"",INDEX(BD_INSPECCION!C:C,$Q153))</f>
        <v/>
      </c>
      <c r="U153" s="1" t="str">
        <f aca="false">IF($Q153=0,"",INDEX(BD_INSPECCION!D:D,$Q153))</f>
        <v/>
      </c>
    </row>
    <row r="154" customFormat="false" ht="15" hidden="false" customHeight="false" outlineLevel="0" collapsed="false">
      <c r="A154" s="1"/>
      <c r="M154" s="10" t="str">
        <f aca="false">IF($Q154=0,"",IF($T154&lt;&gt;$T153,$T154,""))</f>
        <v/>
      </c>
      <c r="N154" s="12" t="str">
        <f aca="false">IF($Q154=0,"",IF(OR($T154&lt;&gt;$T153,$U154&lt;&gt;$U153),$U154,""))</f>
        <v/>
      </c>
      <c r="O154" s="12" t="str">
        <f aca="false">IF($Q154=0,"",INDEX(BD_INSPECCION!E:E,$Q154))</f>
        <v/>
      </c>
      <c r="P154" s="13" t="str">
        <f aca="false">IF($Q154=0,"",INDEX(BD_INSPECCION!F:F,$Q154))</f>
        <v/>
      </c>
      <c r="Q154" s="1" t="n">
        <f aca="false">IFERROR(MATCH($C$9&amp;"|136",BD_INSPECCION!$G:$G,0),0)</f>
        <v>0</v>
      </c>
      <c r="R154" s="1"/>
      <c r="S154" s="1"/>
      <c r="T154" s="1" t="str">
        <f aca="false">IF($Q154=0,"",INDEX(BD_INSPECCION!C:C,$Q154))</f>
        <v/>
      </c>
      <c r="U154" s="1" t="str">
        <f aca="false">IF($Q154=0,"",INDEX(BD_INSPECCION!D:D,$Q154))</f>
        <v/>
      </c>
    </row>
    <row r="155" customFormat="false" ht="15" hidden="false" customHeight="false" outlineLevel="0" collapsed="false">
      <c r="A155" s="1"/>
      <c r="M155" s="10" t="str">
        <f aca="false">IF($Q155=0,"",IF($T155&lt;&gt;$T154,$T155,""))</f>
        <v/>
      </c>
      <c r="N155" s="12" t="str">
        <f aca="false">IF($Q155=0,"",IF(OR($T155&lt;&gt;$T154,$U155&lt;&gt;$U154),$U155,""))</f>
        <v/>
      </c>
      <c r="O155" s="12" t="str">
        <f aca="false">IF($Q155=0,"",INDEX(BD_INSPECCION!E:E,$Q155))</f>
        <v/>
      </c>
      <c r="P155" s="13" t="str">
        <f aca="false">IF($Q155=0,"",INDEX(BD_INSPECCION!F:F,$Q155))</f>
        <v/>
      </c>
      <c r="Q155" s="1" t="n">
        <f aca="false">IFERROR(MATCH($C$9&amp;"|137",BD_INSPECCION!$G:$G,0),0)</f>
        <v>0</v>
      </c>
      <c r="R155" s="1"/>
      <c r="S155" s="1"/>
      <c r="T155" s="1" t="str">
        <f aca="false">IF($Q155=0,"",INDEX(BD_INSPECCION!C:C,$Q155))</f>
        <v/>
      </c>
      <c r="U155" s="1" t="str">
        <f aca="false">IF($Q155=0,"",INDEX(BD_INSPECCION!D:D,$Q155))</f>
        <v/>
      </c>
    </row>
    <row r="156" customFormat="false" ht="15" hidden="false" customHeight="false" outlineLevel="0" collapsed="false">
      <c r="A156" s="1"/>
      <c r="M156" s="10" t="str">
        <f aca="false">IF($Q156=0,"",IF($T156&lt;&gt;$T155,$T156,""))</f>
        <v/>
      </c>
      <c r="N156" s="12" t="str">
        <f aca="false">IF($Q156=0,"",IF(OR($T156&lt;&gt;$T155,$U156&lt;&gt;$U155),$U156,""))</f>
        <v/>
      </c>
      <c r="O156" s="12" t="str">
        <f aca="false">IF($Q156=0,"",INDEX(BD_INSPECCION!E:E,$Q156))</f>
        <v/>
      </c>
      <c r="P156" s="13" t="str">
        <f aca="false">IF($Q156=0,"",INDEX(BD_INSPECCION!F:F,$Q156))</f>
        <v/>
      </c>
      <c r="Q156" s="1" t="n">
        <f aca="false">IFERROR(MATCH($C$9&amp;"|138",BD_INSPECCION!$G:$G,0),0)</f>
        <v>0</v>
      </c>
      <c r="R156" s="1"/>
      <c r="S156" s="1"/>
      <c r="T156" s="1" t="str">
        <f aca="false">IF($Q156=0,"",INDEX(BD_INSPECCION!C:C,$Q156))</f>
        <v/>
      </c>
      <c r="U156" s="1" t="str">
        <f aca="false">IF($Q156=0,"",INDEX(BD_INSPECCION!D:D,$Q156))</f>
        <v/>
      </c>
    </row>
    <row r="157" customFormat="false" ht="15" hidden="false" customHeight="false" outlineLevel="0" collapsed="false">
      <c r="A157" s="1"/>
      <c r="M157" s="10" t="str">
        <f aca="false">IF($Q157=0,"",IF($T157&lt;&gt;$T156,$T157,""))</f>
        <v/>
      </c>
      <c r="N157" s="12" t="str">
        <f aca="false">IF($Q157=0,"",IF(OR($T157&lt;&gt;$T156,$U157&lt;&gt;$U156),$U157,""))</f>
        <v/>
      </c>
      <c r="O157" s="12" t="str">
        <f aca="false">IF($Q157=0,"",INDEX(BD_INSPECCION!E:E,$Q157))</f>
        <v/>
      </c>
      <c r="P157" s="13" t="str">
        <f aca="false">IF($Q157=0,"",INDEX(BD_INSPECCION!F:F,$Q157))</f>
        <v/>
      </c>
      <c r="Q157" s="1" t="n">
        <f aca="false">IFERROR(MATCH($C$9&amp;"|139",BD_INSPECCION!$G:$G,0),0)</f>
        <v>0</v>
      </c>
      <c r="R157" s="1"/>
      <c r="S157" s="1"/>
      <c r="T157" s="1" t="str">
        <f aca="false">IF($Q157=0,"",INDEX(BD_INSPECCION!C:C,$Q157))</f>
        <v/>
      </c>
      <c r="U157" s="1" t="str">
        <f aca="false">IF($Q157=0,"",INDEX(BD_INSPECCION!D:D,$Q157))</f>
        <v/>
      </c>
    </row>
    <row r="158" customFormat="false" ht="15" hidden="false" customHeight="false" outlineLevel="0" collapsed="false">
      <c r="A158" s="1"/>
      <c r="M158" s="10" t="str">
        <f aca="false">IF($Q158=0,"",IF($T158&lt;&gt;$T157,$T158,""))</f>
        <v/>
      </c>
      <c r="N158" s="12" t="str">
        <f aca="false">IF($Q158=0,"",IF(OR($T158&lt;&gt;$T157,$U158&lt;&gt;$U157),$U158,""))</f>
        <v/>
      </c>
      <c r="O158" s="12" t="str">
        <f aca="false">IF($Q158=0,"",INDEX(BD_INSPECCION!E:E,$Q158))</f>
        <v/>
      </c>
      <c r="P158" s="13" t="str">
        <f aca="false">IF($Q158=0,"",INDEX(BD_INSPECCION!F:F,$Q158))</f>
        <v/>
      </c>
      <c r="Q158" s="1" t="n">
        <f aca="false">IFERROR(MATCH($C$9&amp;"|140",BD_INSPECCION!$G:$G,0),0)</f>
        <v>0</v>
      </c>
      <c r="R158" s="1"/>
      <c r="S158" s="1"/>
      <c r="T158" s="1" t="str">
        <f aca="false">IF($Q158=0,"",INDEX(BD_INSPECCION!C:C,$Q158))</f>
        <v/>
      </c>
      <c r="U158" s="1" t="str">
        <f aca="false">IF($Q158=0,"",INDEX(BD_INSPECCION!D:D,$Q158))</f>
        <v/>
      </c>
    </row>
    <row r="159" customFormat="false" ht="15" hidden="false" customHeight="false" outlineLevel="0" collapsed="false">
      <c r="A159" s="1"/>
      <c r="M159" s="10" t="str">
        <f aca="false">IF($Q159=0,"",IF($T159&lt;&gt;$T158,$T159,""))</f>
        <v/>
      </c>
      <c r="N159" s="12" t="str">
        <f aca="false">IF($Q159=0,"",IF(OR($T159&lt;&gt;$T158,$U159&lt;&gt;$U158),$U159,""))</f>
        <v/>
      </c>
      <c r="O159" s="12" t="str">
        <f aca="false">IF($Q159=0,"",INDEX(BD_INSPECCION!E:E,$Q159))</f>
        <v/>
      </c>
      <c r="P159" s="13" t="str">
        <f aca="false">IF($Q159=0,"",INDEX(BD_INSPECCION!F:F,$Q159))</f>
        <v/>
      </c>
      <c r="Q159" s="1" t="n">
        <f aca="false">IFERROR(MATCH($C$9&amp;"|141",BD_INSPECCION!$G:$G,0),0)</f>
        <v>0</v>
      </c>
      <c r="R159" s="1"/>
      <c r="S159" s="1"/>
      <c r="T159" s="1" t="str">
        <f aca="false">IF($Q159=0,"",INDEX(BD_INSPECCION!C:C,$Q159))</f>
        <v/>
      </c>
      <c r="U159" s="1" t="str">
        <f aca="false">IF($Q159=0,"",INDEX(BD_INSPECCION!D:D,$Q159))</f>
        <v/>
      </c>
    </row>
    <row r="160" customFormat="false" ht="15" hidden="false" customHeight="false" outlineLevel="0" collapsed="false">
      <c r="A160" s="1"/>
      <c r="M160" s="10" t="str">
        <f aca="false">IF($Q160=0,"",IF($T160&lt;&gt;$T159,$T160,""))</f>
        <v/>
      </c>
      <c r="N160" s="12" t="str">
        <f aca="false">IF($Q160=0,"",IF(OR($T160&lt;&gt;$T159,$U160&lt;&gt;$U159),$U160,""))</f>
        <v/>
      </c>
      <c r="O160" s="12" t="str">
        <f aca="false">IF($Q160=0,"",INDEX(BD_INSPECCION!E:E,$Q160))</f>
        <v/>
      </c>
      <c r="P160" s="13" t="str">
        <f aca="false">IF($Q160=0,"",INDEX(BD_INSPECCION!F:F,$Q160))</f>
        <v/>
      </c>
      <c r="Q160" s="1" t="n">
        <f aca="false">IFERROR(MATCH($C$9&amp;"|142",BD_INSPECCION!$G:$G,0),0)</f>
        <v>0</v>
      </c>
      <c r="R160" s="1"/>
      <c r="S160" s="1"/>
      <c r="T160" s="1" t="str">
        <f aca="false">IF($Q160=0,"",INDEX(BD_INSPECCION!C:C,$Q160))</f>
        <v/>
      </c>
      <c r="U160" s="1" t="str">
        <f aca="false">IF($Q160=0,"",INDEX(BD_INSPECCION!D:D,$Q160))</f>
        <v/>
      </c>
    </row>
    <row r="161" customFormat="false" ht="15" hidden="false" customHeight="false" outlineLevel="0" collapsed="false">
      <c r="A161" s="1"/>
      <c r="M161" s="10" t="str">
        <f aca="false">IF($Q161=0,"",IF($T161&lt;&gt;$T160,$T161,""))</f>
        <v/>
      </c>
      <c r="N161" s="12" t="str">
        <f aca="false">IF($Q161=0,"",IF(OR($T161&lt;&gt;$T160,$U161&lt;&gt;$U160),$U161,""))</f>
        <v/>
      </c>
      <c r="O161" s="12" t="str">
        <f aca="false">IF($Q161=0,"",INDEX(BD_INSPECCION!E:E,$Q161))</f>
        <v/>
      </c>
      <c r="P161" s="13" t="str">
        <f aca="false">IF($Q161=0,"",INDEX(BD_INSPECCION!F:F,$Q161))</f>
        <v/>
      </c>
      <c r="Q161" s="1" t="n">
        <f aca="false">IFERROR(MATCH($C$9&amp;"|143",BD_INSPECCION!$G:$G,0),0)</f>
        <v>0</v>
      </c>
      <c r="R161" s="1"/>
      <c r="S161" s="1"/>
      <c r="T161" s="1" t="str">
        <f aca="false">IF($Q161=0,"",INDEX(BD_INSPECCION!C:C,$Q161))</f>
        <v/>
      </c>
      <c r="U161" s="1" t="str">
        <f aca="false">IF($Q161=0,"",INDEX(BD_INSPECCION!D:D,$Q161))</f>
        <v/>
      </c>
    </row>
    <row r="162" customFormat="false" ht="15" hidden="false" customHeight="false" outlineLevel="0" collapsed="false">
      <c r="A162" s="1"/>
      <c r="M162" s="10" t="str">
        <f aca="false">IF($Q162=0,"",IF($T162&lt;&gt;$T161,$T162,""))</f>
        <v/>
      </c>
      <c r="N162" s="12" t="str">
        <f aca="false">IF($Q162=0,"",IF(OR($T162&lt;&gt;$T161,$U162&lt;&gt;$U161),$U162,""))</f>
        <v/>
      </c>
      <c r="O162" s="12" t="str">
        <f aca="false">IF($Q162=0,"",INDEX(BD_INSPECCION!E:E,$Q162))</f>
        <v/>
      </c>
      <c r="P162" s="13" t="str">
        <f aca="false">IF($Q162=0,"",INDEX(BD_INSPECCION!F:F,$Q162))</f>
        <v/>
      </c>
      <c r="Q162" s="1" t="n">
        <f aca="false">IFERROR(MATCH($C$9&amp;"|144",BD_INSPECCION!$G:$G,0),0)</f>
        <v>0</v>
      </c>
      <c r="R162" s="1"/>
      <c r="S162" s="1"/>
      <c r="T162" s="1" t="str">
        <f aca="false">IF($Q162=0,"",INDEX(BD_INSPECCION!C:C,$Q162))</f>
        <v/>
      </c>
      <c r="U162" s="1" t="str">
        <f aca="false">IF($Q162=0,"",INDEX(BD_INSPECCION!D:D,$Q162))</f>
        <v/>
      </c>
    </row>
    <row r="163" customFormat="false" ht="15" hidden="false" customHeight="false" outlineLevel="0" collapsed="false">
      <c r="A163" s="1"/>
      <c r="M163" s="10" t="str">
        <f aca="false">IF($Q163=0,"",IF($T163&lt;&gt;$T162,$T163,""))</f>
        <v/>
      </c>
      <c r="N163" s="12" t="str">
        <f aca="false">IF($Q163=0,"",IF(OR($T163&lt;&gt;$T162,$U163&lt;&gt;$U162),$U163,""))</f>
        <v/>
      </c>
      <c r="O163" s="12" t="str">
        <f aca="false">IF($Q163=0,"",INDEX(BD_INSPECCION!E:E,$Q163))</f>
        <v/>
      </c>
      <c r="P163" s="13" t="str">
        <f aca="false">IF($Q163=0,"",INDEX(BD_INSPECCION!F:F,$Q163))</f>
        <v/>
      </c>
      <c r="Q163" s="1" t="n">
        <f aca="false">IFERROR(MATCH($C$9&amp;"|145",BD_INSPECCION!$G:$G,0),0)</f>
        <v>0</v>
      </c>
      <c r="R163" s="1"/>
      <c r="S163" s="1"/>
      <c r="T163" s="1" t="str">
        <f aca="false">IF($Q163=0,"",INDEX(BD_INSPECCION!C:C,$Q163))</f>
        <v/>
      </c>
      <c r="U163" s="1" t="str">
        <f aca="false">IF($Q163=0,"",INDEX(BD_INSPECCION!D:D,$Q163))</f>
        <v/>
      </c>
    </row>
    <row r="164" customFormat="false" ht="15" hidden="false" customHeight="false" outlineLevel="0" collapsed="false">
      <c r="A164" s="1"/>
      <c r="M164" s="10" t="str">
        <f aca="false">IF($Q164=0,"",IF($T164&lt;&gt;$T163,$T164,""))</f>
        <v/>
      </c>
      <c r="N164" s="12" t="str">
        <f aca="false">IF($Q164=0,"",IF(OR($T164&lt;&gt;$T163,$U164&lt;&gt;$U163),$U164,""))</f>
        <v/>
      </c>
      <c r="O164" s="12" t="str">
        <f aca="false">IF($Q164=0,"",INDEX(BD_INSPECCION!E:E,$Q164))</f>
        <v/>
      </c>
      <c r="P164" s="13" t="str">
        <f aca="false">IF($Q164=0,"",INDEX(BD_INSPECCION!F:F,$Q164))</f>
        <v/>
      </c>
      <c r="Q164" s="1" t="n">
        <f aca="false">IFERROR(MATCH($C$9&amp;"|146",BD_INSPECCION!$G:$G,0),0)</f>
        <v>0</v>
      </c>
      <c r="R164" s="1"/>
      <c r="S164" s="1"/>
      <c r="T164" s="1" t="str">
        <f aca="false">IF($Q164=0,"",INDEX(BD_INSPECCION!C:C,$Q164))</f>
        <v/>
      </c>
      <c r="U164" s="1" t="str">
        <f aca="false">IF($Q164=0,"",INDEX(BD_INSPECCION!D:D,$Q164))</f>
        <v/>
      </c>
    </row>
    <row r="165" customFormat="false" ht="15" hidden="false" customHeight="false" outlineLevel="0" collapsed="false">
      <c r="A165" s="1"/>
      <c r="M165" s="10" t="str">
        <f aca="false">IF($Q165=0,"",IF($T165&lt;&gt;$T164,$T165,""))</f>
        <v/>
      </c>
      <c r="N165" s="12" t="str">
        <f aca="false">IF($Q165=0,"",IF(OR($T165&lt;&gt;$T164,$U165&lt;&gt;$U164),$U165,""))</f>
        <v/>
      </c>
      <c r="O165" s="12" t="str">
        <f aca="false">IF($Q165=0,"",INDEX(BD_INSPECCION!E:E,$Q165))</f>
        <v/>
      </c>
      <c r="P165" s="13" t="str">
        <f aca="false">IF($Q165=0,"",INDEX(BD_INSPECCION!F:F,$Q165))</f>
        <v/>
      </c>
      <c r="Q165" s="1" t="n">
        <f aca="false">IFERROR(MATCH($C$9&amp;"|147",BD_INSPECCION!$G:$G,0),0)</f>
        <v>0</v>
      </c>
      <c r="R165" s="1"/>
      <c r="S165" s="1"/>
      <c r="T165" s="1" t="str">
        <f aca="false">IF($Q165=0,"",INDEX(BD_INSPECCION!C:C,$Q165))</f>
        <v/>
      </c>
      <c r="U165" s="1" t="str">
        <f aca="false">IF($Q165=0,"",INDEX(BD_INSPECCION!D:D,$Q165))</f>
        <v/>
      </c>
    </row>
    <row r="166" customFormat="false" ht="15" hidden="false" customHeight="false" outlineLevel="0" collapsed="false">
      <c r="A166" s="1"/>
      <c r="M166" s="10" t="str">
        <f aca="false">IF($Q166=0,"",IF($T166&lt;&gt;$T165,$T166,""))</f>
        <v/>
      </c>
      <c r="N166" s="12" t="str">
        <f aca="false">IF($Q166=0,"",IF(OR($T166&lt;&gt;$T165,$U166&lt;&gt;$U165),$U166,""))</f>
        <v/>
      </c>
      <c r="O166" s="12" t="str">
        <f aca="false">IF($Q166=0,"",INDEX(BD_INSPECCION!E:E,$Q166))</f>
        <v/>
      </c>
      <c r="P166" s="13" t="str">
        <f aca="false">IF($Q166=0,"",INDEX(BD_INSPECCION!F:F,$Q166))</f>
        <v/>
      </c>
      <c r="Q166" s="1" t="n">
        <f aca="false">IFERROR(MATCH($C$9&amp;"|148",BD_INSPECCION!$G:$G,0),0)</f>
        <v>0</v>
      </c>
      <c r="R166" s="1"/>
      <c r="S166" s="1"/>
      <c r="T166" s="1" t="str">
        <f aca="false">IF($Q166=0,"",INDEX(BD_INSPECCION!C:C,$Q166))</f>
        <v/>
      </c>
      <c r="U166" s="1" t="str">
        <f aca="false">IF($Q166=0,"",INDEX(BD_INSPECCION!D:D,$Q166))</f>
        <v/>
      </c>
    </row>
    <row r="167" customFormat="false" ht="15" hidden="false" customHeight="false" outlineLevel="0" collapsed="false">
      <c r="A167" s="1"/>
      <c r="M167" s="10" t="str">
        <f aca="false">IF($Q167=0,"",IF($T167&lt;&gt;$T166,$T167,""))</f>
        <v/>
      </c>
      <c r="N167" s="12" t="str">
        <f aca="false">IF($Q167=0,"",IF(OR($T167&lt;&gt;$T166,$U167&lt;&gt;$U166),$U167,""))</f>
        <v/>
      </c>
      <c r="O167" s="12" t="str">
        <f aca="false">IF($Q167=0,"",INDEX(BD_INSPECCION!E:E,$Q167))</f>
        <v/>
      </c>
      <c r="P167" s="13" t="str">
        <f aca="false">IF($Q167=0,"",INDEX(BD_INSPECCION!F:F,$Q167))</f>
        <v/>
      </c>
      <c r="Q167" s="1" t="n">
        <f aca="false">IFERROR(MATCH($C$9&amp;"|149",BD_INSPECCION!$G:$G,0),0)</f>
        <v>0</v>
      </c>
      <c r="R167" s="1"/>
      <c r="S167" s="1"/>
      <c r="T167" s="1" t="str">
        <f aca="false">IF($Q167=0,"",INDEX(BD_INSPECCION!C:C,$Q167))</f>
        <v/>
      </c>
      <c r="U167" s="1" t="str">
        <f aca="false">IF($Q167=0,"",INDEX(BD_INSPECCION!D:D,$Q167))</f>
        <v/>
      </c>
    </row>
    <row r="168" customFormat="false" ht="15" hidden="false" customHeight="false" outlineLevel="0" collapsed="false">
      <c r="A168" s="1"/>
      <c r="M168" s="10" t="str">
        <f aca="false">IF($Q168=0,"",IF($T168&lt;&gt;$T167,$T168,""))</f>
        <v/>
      </c>
      <c r="N168" s="12" t="str">
        <f aca="false">IF($Q168=0,"",IF(OR($T168&lt;&gt;$T167,$U168&lt;&gt;$U167),$U168,""))</f>
        <v/>
      </c>
      <c r="O168" s="12" t="str">
        <f aca="false">IF($Q168=0,"",INDEX(BD_INSPECCION!E:E,$Q168))</f>
        <v/>
      </c>
      <c r="P168" s="13" t="str">
        <f aca="false">IF($Q168=0,"",INDEX(BD_INSPECCION!F:F,$Q168))</f>
        <v/>
      </c>
      <c r="Q168" s="1" t="n">
        <f aca="false">IFERROR(MATCH($C$9&amp;"|150",BD_INSPECCION!$G:$G,0),0)</f>
        <v>0</v>
      </c>
      <c r="R168" s="1"/>
      <c r="S168" s="1"/>
      <c r="T168" s="1" t="str">
        <f aca="false">IF($Q168=0,"",INDEX(BD_INSPECCION!C:C,$Q168))</f>
        <v/>
      </c>
      <c r="U168" s="1" t="str">
        <f aca="false">IF($Q168=0,"",INDEX(BD_INSPECCION!D:D,$Q168))</f>
        <v/>
      </c>
    </row>
    <row r="169" customFormat="false" ht="15" hidden="false" customHeight="false" outlineLevel="0" collapsed="false">
      <c r="A169" s="1"/>
      <c r="M169" s="10" t="str">
        <f aca="false">IF($Q169=0,"",IF($T169&lt;&gt;$T168,$T169,""))</f>
        <v/>
      </c>
      <c r="N169" s="12" t="str">
        <f aca="false">IF($Q169=0,"",IF(OR($T169&lt;&gt;$T168,$U169&lt;&gt;$U168),$U169,""))</f>
        <v/>
      </c>
      <c r="O169" s="12" t="str">
        <f aca="false">IF($Q169=0,"",INDEX(BD_INSPECCION!E:E,$Q169))</f>
        <v/>
      </c>
      <c r="P169" s="13" t="str">
        <f aca="false">IF($Q169=0,"",INDEX(BD_INSPECCION!F:F,$Q169))</f>
        <v/>
      </c>
      <c r="Q169" s="1" t="n">
        <f aca="false">IFERROR(MATCH($C$9&amp;"|151",BD_INSPECCION!$G:$G,0),0)</f>
        <v>0</v>
      </c>
      <c r="R169" s="1"/>
      <c r="S169" s="1"/>
      <c r="T169" s="1" t="str">
        <f aca="false">IF($Q169=0,"",INDEX(BD_INSPECCION!C:C,$Q169))</f>
        <v/>
      </c>
      <c r="U169" s="1" t="str">
        <f aca="false">IF($Q169=0,"",INDEX(BD_INSPECCION!D:D,$Q169))</f>
        <v/>
      </c>
    </row>
    <row r="170" customFormat="false" ht="15" hidden="false" customHeight="false" outlineLevel="0" collapsed="false">
      <c r="A170" s="1"/>
      <c r="M170" s="10" t="str">
        <f aca="false">IF($Q170=0,"",IF($T170&lt;&gt;$T169,$T170,""))</f>
        <v/>
      </c>
      <c r="N170" s="12" t="str">
        <f aca="false">IF($Q170=0,"",IF(OR($T170&lt;&gt;$T169,$U170&lt;&gt;$U169),$U170,""))</f>
        <v/>
      </c>
      <c r="O170" s="12" t="str">
        <f aca="false">IF($Q170=0,"",INDEX(BD_INSPECCION!E:E,$Q170))</f>
        <v/>
      </c>
      <c r="P170" s="13" t="str">
        <f aca="false">IF($Q170=0,"",INDEX(BD_INSPECCION!F:F,$Q170))</f>
        <v/>
      </c>
      <c r="Q170" s="1" t="n">
        <f aca="false">IFERROR(MATCH($C$9&amp;"|152",BD_INSPECCION!$G:$G,0),0)</f>
        <v>0</v>
      </c>
      <c r="R170" s="1"/>
      <c r="S170" s="1"/>
      <c r="T170" s="1" t="str">
        <f aca="false">IF($Q170=0,"",INDEX(BD_INSPECCION!C:C,$Q170))</f>
        <v/>
      </c>
      <c r="U170" s="1" t="str">
        <f aca="false">IF($Q170=0,"",INDEX(BD_INSPECCION!D:D,$Q170))</f>
        <v/>
      </c>
    </row>
    <row r="171" customFormat="false" ht="15" hidden="false" customHeight="false" outlineLevel="0" collapsed="false">
      <c r="A171" s="1"/>
      <c r="M171" s="10" t="str">
        <f aca="false">IF($Q171=0,"",IF($T171&lt;&gt;$T170,$T171,""))</f>
        <v/>
      </c>
      <c r="N171" s="12" t="str">
        <f aca="false">IF($Q171=0,"",IF(OR($T171&lt;&gt;$T170,$U171&lt;&gt;$U170),$U171,""))</f>
        <v/>
      </c>
      <c r="O171" s="12" t="str">
        <f aca="false">IF($Q171=0,"",INDEX(BD_INSPECCION!E:E,$Q171))</f>
        <v/>
      </c>
      <c r="P171" s="13" t="str">
        <f aca="false">IF($Q171=0,"",INDEX(BD_INSPECCION!F:F,$Q171))</f>
        <v/>
      </c>
      <c r="Q171" s="1" t="n">
        <f aca="false">IFERROR(MATCH($C$9&amp;"|153",BD_INSPECCION!$G:$G,0),0)</f>
        <v>0</v>
      </c>
      <c r="R171" s="1"/>
      <c r="S171" s="1"/>
      <c r="T171" s="1" t="str">
        <f aca="false">IF($Q171=0,"",INDEX(BD_INSPECCION!C:C,$Q171))</f>
        <v/>
      </c>
      <c r="U171" s="1" t="str">
        <f aca="false">IF($Q171=0,"",INDEX(BD_INSPECCION!D:D,$Q171))</f>
        <v/>
      </c>
    </row>
    <row r="172" customFormat="false" ht="15" hidden="false" customHeight="false" outlineLevel="0" collapsed="false">
      <c r="A172" s="1"/>
      <c r="M172" s="10" t="str">
        <f aca="false">IF($Q172=0,"",IF($T172&lt;&gt;$T171,$T172,""))</f>
        <v/>
      </c>
      <c r="N172" s="12" t="str">
        <f aca="false">IF($Q172=0,"",IF(OR($T172&lt;&gt;$T171,$U172&lt;&gt;$U171),$U172,""))</f>
        <v/>
      </c>
      <c r="O172" s="12" t="str">
        <f aca="false">IF($Q172=0,"",INDEX(BD_INSPECCION!E:E,$Q172))</f>
        <v/>
      </c>
      <c r="P172" s="13" t="str">
        <f aca="false">IF($Q172=0,"",INDEX(BD_INSPECCION!F:F,$Q172))</f>
        <v/>
      </c>
      <c r="Q172" s="1" t="n">
        <f aca="false">IFERROR(MATCH($C$9&amp;"|154",BD_INSPECCION!$G:$G,0),0)</f>
        <v>0</v>
      </c>
      <c r="R172" s="1"/>
      <c r="S172" s="1"/>
      <c r="T172" s="1" t="str">
        <f aca="false">IF($Q172=0,"",INDEX(BD_INSPECCION!C:C,$Q172))</f>
        <v/>
      </c>
      <c r="U172" s="1" t="str">
        <f aca="false">IF($Q172=0,"",INDEX(BD_INSPECCION!D:D,$Q172))</f>
        <v/>
      </c>
    </row>
    <row r="173" customFormat="false" ht="15" hidden="false" customHeight="false" outlineLevel="0" collapsed="false">
      <c r="A173" s="1"/>
      <c r="M173" s="10" t="str">
        <f aca="false">IF($Q173=0,"",IF($T173&lt;&gt;$T172,$T173,""))</f>
        <v/>
      </c>
      <c r="N173" s="12" t="str">
        <f aca="false">IF($Q173=0,"",IF(OR($T173&lt;&gt;$T172,$U173&lt;&gt;$U172),$U173,""))</f>
        <v/>
      </c>
      <c r="O173" s="12" t="str">
        <f aca="false">IF($Q173=0,"",INDEX(BD_INSPECCION!E:E,$Q173))</f>
        <v/>
      </c>
      <c r="P173" s="13" t="str">
        <f aca="false">IF($Q173=0,"",INDEX(BD_INSPECCION!F:F,$Q173))</f>
        <v/>
      </c>
      <c r="Q173" s="1" t="n">
        <f aca="false">IFERROR(MATCH($C$9&amp;"|155",BD_INSPECCION!$G:$G,0),0)</f>
        <v>0</v>
      </c>
      <c r="R173" s="1"/>
      <c r="S173" s="1"/>
      <c r="T173" s="1" t="str">
        <f aca="false">IF($Q173=0,"",INDEX(BD_INSPECCION!C:C,$Q173))</f>
        <v/>
      </c>
      <c r="U173" s="1" t="str">
        <f aca="false">IF($Q173=0,"",INDEX(BD_INSPECCION!D:D,$Q173))</f>
        <v/>
      </c>
    </row>
    <row r="174" customFormat="false" ht="15" hidden="false" customHeight="false" outlineLevel="0" collapsed="false">
      <c r="A174" s="1"/>
      <c r="M174" s="10" t="str">
        <f aca="false">IF($Q174=0,"",IF($T174&lt;&gt;$T173,$T174,""))</f>
        <v/>
      </c>
      <c r="N174" s="12" t="str">
        <f aca="false">IF($Q174=0,"",IF(OR($T174&lt;&gt;$T173,$U174&lt;&gt;$U173),$U174,""))</f>
        <v/>
      </c>
      <c r="O174" s="12" t="str">
        <f aca="false">IF($Q174=0,"",INDEX(BD_INSPECCION!E:E,$Q174))</f>
        <v/>
      </c>
      <c r="P174" s="13" t="str">
        <f aca="false">IF($Q174=0,"",INDEX(BD_INSPECCION!F:F,$Q174))</f>
        <v/>
      </c>
      <c r="Q174" s="1" t="n">
        <f aca="false">IFERROR(MATCH($C$9&amp;"|156",BD_INSPECCION!$G:$G,0),0)</f>
        <v>0</v>
      </c>
      <c r="R174" s="1"/>
      <c r="S174" s="1"/>
      <c r="T174" s="1" t="str">
        <f aca="false">IF($Q174=0,"",INDEX(BD_INSPECCION!C:C,$Q174))</f>
        <v/>
      </c>
      <c r="U174" s="1" t="str">
        <f aca="false">IF($Q174=0,"",INDEX(BD_INSPECCION!D:D,$Q174))</f>
        <v/>
      </c>
    </row>
    <row r="175" customFormat="false" ht="15" hidden="false" customHeight="false" outlineLevel="0" collapsed="false">
      <c r="A175" s="1"/>
      <c r="M175" s="10" t="str">
        <f aca="false">IF($Q175=0,"",IF($T175&lt;&gt;$T174,$T175,""))</f>
        <v/>
      </c>
      <c r="N175" s="12" t="str">
        <f aca="false">IF($Q175=0,"",IF(OR($T175&lt;&gt;$T174,$U175&lt;&gt;$U174),$U175,""))</f>
        <v/>
      </c>
      <c r="O175" s="12" t="str">
        <f aca="false">IF($Q175=0,"",INDEX(BD_INSPECCION!E:E,$Q175))</f>
        <v/>
      </c>
      <c r="P175" s="13" t="str">
        <f aca="false">IF($Q175=0,"",INDEX(BD_INSPECCION!F:F,$Q175))</f>
        <v/>
      </c>
      <c r="Q175" s="1" t="n">
        <f aca="false">IFERROR(MATCH($C$9&amp;"|157",BD_INSPECCION!$G:$G,0),0)</f>
        <v>0</v>
      </c>
      <c r="R175" s="1"/>
      <c r="S175" s="1"/>
      <c r="T175" s="1" t="str">
        <f aca="false">IF($Q175=0,"",INDEX(BD_INSPECCION!C:C,$Q175))</f>
        <v/>
      </c>
      <c r="U175" s="1" t="str">
        <f aca="false">IF($Q175=0,"",INDEX(BD_INSPECCION!D:D,$Q175))</f>
        <v/>
      </c>
    </row>
    <row r="176" customFormat="false" ht="15" hidden="false" customHeight="false" outlineLevel="0" collapsed="false">
      <c r="A176" s="1"/>
      <c r="M176" s="10" t="str">
        <f aca="false">IF($Q176=0,"",IF($T176&lt;&gt;$T175,$T176,""))</f>
        <v/>
      </c>
      <c r="N176" s="12" t="str">
        <f aca="false">IF($Q176=0,"",IF(OR($T176&lt;&gt;$T175,$U176&lt;&gt;$U175),$U176,""))</f>
        <v/>
      </c>
      <c r="O176" s="12" t="str">
        <f aca="false">IF($Q176=0,"",INDEX(BD_INSPECCION!E:E,$Q176))</f>
        <v/>
      </c>
      <c r="P176" s="13" t="str">
        <f aca="false">IF($Q176=0,"",INDEX(BD_INSPECCION!F:F,$Q176))</f>
        <v/>
      </c>
      <c r="Q176" s="1" t="n">
        <f aca="false">IFERROR(MATCH($C$9&amp;"|158",BD_INSPECCION!$G:$G,0),0)</f>
        <v>0</v>
      </c>
      <c r="R176" s="1"/>
      <c r="S176" s="1"/>
      <c r="T176" s="1" t="str">
        <f aca="false">IF($Q176=0,"",INDEX(BD_INSPECCION!C:C,$Q176))</f>
        <v/>
      </c>
      <c r="U176" s="1" t="str">
        <f aca="false">IF($Q176=0,"",INDEX(BD_INSPECCION!D:D,$Q176))</f>
        <v/>
      </c>
    </row>
    <row r="177" customFormat="false" ht="15" hidden="false" customHeight="false" outlineLevel="0" collapsed="false">
      <c r="A177" s="1"/>
      <c r="M177" s="10" t="str">
        <f aca="false">IF($Q177=0,"",IF($T177&lt;&gt;$T176,$T177,""))</f>
        <v/>
      </c>
      <c r="N177" s="12" t="str">
        <f aca="false">IF($Q177=0,"",IF(OR($T177&lt;&gt;$T176,$U177&lt;&gt;$U176),$U177,""))</f>
        <v/>
      </c>
      <c r="O177" s="12" t="str">
        <f aca="false">IF($Q177=0,"",INDEX(BD_INSPECCION!E:E,$Q177))</f>
        <v/>
      </c>
      <c r="P177" s="13" t="str">
        <f aca="false">IF($Q177=0,"",INDEX(BD_INSPECCION!F:F,$Q177))</f>
        <v/>
      </c>
      <c r="Q177" s="1" t="n">
        <f aca="false">IFERROR(MATCH($C$9&amp;"|159",BD_INSPECCION!$G:$G,0),0)</f>
        <v>0</v>
      </c>
      <c r="R177" s="1"/>
      <c r="S177" s="1"/>
      <c r="T177" s="1" t="str">
        <f aca="false">IF($Q177=0,"",INDEX(BD_INSPECCION!C:C,$Q177))</f>
        <v/>
      </c>
      <c r="U177" s="1" t="str">
        <f aca="false">IF($Q177=0,"",INDEX(BD_INSPECCION!D:D,$Q177))</f>
        <v/>
      </c>
    </row>
    <row r="178" customFormat="false" ht="15" hidden="false" customHeight="false" outlineLevel="0" collapsed="false">
      <c r="A178" s="1"/>
      <c r="M178" s="10" t="str">
        <f aca="false">IF($Q178=0,"",IF($T178&lt;&gt;$T177,$T178,""))</f>
        <v/>
      </c>
      <c r="N178" s="12" t="str">
        <f aca="false">IF($Q178=0,"",IF(OR($T178&lt;&gt;$T177,$U178&lt;&gt;$U177),$U178,""))</f>
        <v/>
      </c>
      <c r="O178" s="12" t="str">
        <f aca="false">IF($Q178=0,"",INDEX(BD_INSPECCION!E:E,$Q178))</f>
        <v/>
      </c>
      <c r="P178" s="13" t="str">
        <f aca="false">IF($Q178=0,"",INDEX(BD_INSPECCION!F:F,$Q178))</f>
        <v/>
      </c>
      <c r="Q178" s="1" t="n">
        <f aca="false">IFERROR(MATCH($C$9&amp;"|160",BD_INSPECCION!$G:$G,0),0)</f>
        <v>0</v>
      </c>
      <c r="R178" s="1"/>
      <c r="S178" s="1"/>
      <c r="T178" s="1" t="str">
        <f aca="false">IF($Q178=0,"",INDEX(BD_INSPECCION!C:C,$Q178))</f>
        <v/>
      </c>
      <c r="U178" s="1" t="str">
        <f aca="false">IF($Q178=0,"",INDEX(BD_INSPECCION!D:D,$Q178))</f>
        <v/>
      </c>
    </row>
    <row r="179" customFormat="false" ht="15" hidden="false" customHeight="false" outlineLevel="0" collapsed="false">
      <c r="A179" s="1"/>
      <c r="Q179" s="1"/>
      <c r="R179" s="1"/>
      <c r="S179" s="1"/>
      <c r="T179" s="1"/>
      <c r="U179" s="1"/>
    </row>
    <row r="180" customFormat="false" ht="15" hidden="false" customHeight="false" outlineLevel="0" collapsed="false">
      <c r="A180" s="1"/>
      <c r="Q180" s="1"/>
      <c r="R180" s="1"/>
      <c r="S180" s="1"/>
      <c r="T180" s="1"/>
      <c r="U180" s="1"/>
    </row>
    <row r="181" customFormat="false" ht="15" hidden="false" customHeight="false" outlineLevel="0" collapsed="false">
      <c r="A181" s="1"/>
      <c r="Q181" s="1"/>
      <c r="R181" s="1"/>
      <c r="S181" s="1"/>
      <c r="T181" s="1"/>
      <c r="U181" s="1"/>
    </row>
    <row r="182" customFormat="false" ht="15" hidden="false" customHeight="false" outlineLevel="0" collapsed="false">
      <c r="A182" s="1"/>
      <c r="Q182" s="1"/>
      <c r="R182" s="1"/>
      <c r="S182" s="1"/>
      <c r="T182" s="1"/>
      <c r="U182" s="1"/>
    </row>
  </sheetData>
  <mergeCells count="27">
    <mergeCell ref="B2:P2"/>
    <mergeCell ref="C4:J4"/>
    <mergeCell ref="C6:D6"/>
    <mergeCell ref="G6:H6"/>
    <mergeCell ref="I6:J6"/>
    <mergeCell ref="N6:O6"/>
    <mergeCell ref="C7:D7"/>
    <mergeCell ref="G7:H7"/>
    <mergeCell ref="I7:J7"/>
    <mergeCell ref="N7:O7"/>
    <mergeCell ref="C8:D8"/>
    <mergeCell ref="G8:H8"/>
    <mergeCell ref="I8:J8"/>
    <mergeCell ref="N8:O8"/>
    <mergeCell ref="C9:D9"/>
    <mergeCell ref="N9:O9"/>
    <mergeCell ref="B11:P11"/>
    <mergeCell ref="C12:D12"/>
    <mergeCell ref="E12:P12"/>
    <mergeCell ref="C13:D13"/>
    <mergeCell ref="E13:P13"/>
    <mergeCell ref="C14:D14"/>
    <mergeCell ref="E14:P14"/>
    <mergeCell ref="C15:D15"/>
    <mergeCell ref="E15:P15"/>
    <mergeCell ref="B17:K17"/>
    <mergeCell ref="M17:P17"/>
  </mergeCells>
  <conditionalFormatting sqref="N9:O9">
    <cfRule type="expression" priority="2" aboveAverage="0" equalAverage="0" bottom="0" percent="0" rank="0" text="" dxfId="0">
      <formula>$N$9="VENCIDO"</formula>
    </cfRule>
    <cfRule type="expression" priority="3" aboveAverage="0" equalAverage="0" bottom="0" percent="0" rank="0" text="" dxfId="1">
      <formula>$N$9="PRÓXIMO"</formula>
    </cfRule>
    <cfRule type="expression" priority="4" aboveAverage="0" equalAverage="0" bottom="0" percent="0" rank="0" text="" dxfId="2">
      <formula>$N$9="AL DÍA"</formula>
    </cfRule>
  </conditionalFormatting>
  <conditionalFormatting sqref="B19:B98">
    <cfRule type="expression" priority="5" aboveAverage="0" equalAverage="0" bottom="0" percent="0" rank="0" text="" dxfId="3">
      <formula>AND($A19&lt;&gt;0,$R19&lt;&gt;$R20)</formula>
    </cfRule>
    <cfRule type="expression" priority="6" aboveAverage="0" equalAverage="0" bottom="0" percent="0" rank="0" text="" dxfId="4">
      <formula>AND($A19&lt;&gt;0,NOT($R19&lt;&gt;$R20))</formula>
    </cfRule>
  </conditionalFormatting>
  <conditionalFormatting sqref="C19:C98">
    <cfRule type="expression" priority="7" aboveAverage="0" equalAverage="0" bottom="0" percent="0" rank="0" text="" dxfId="3">
      <formula>AND($A19&lt;&gt;0,$R19&lt;&gt;$R20)</formula>
    </cfRule>
    <cfRule type="expression" priority="8" aboveAverage="0" equalAverage="0" bottom="0" percent="0" rank="0" text="" dxfId="4">
      <formula>AND($A19&lt;&gt;0,NOT($R19&lt;&gt;$R20))</formula>
    </cfRule>
  </conditionalFormatting>
  <conditionalFormatting sqref="D19:D98">
    <cfRule type="expression" priority="9" aboveAverage="0" equalAverage="0" bottom="0" percent="0" rank="0" text="" dxfId="3">
      <formula>AND($A19&lt;&gt;0,$R19&lt;&gt;$R20)</formula>
    </cfRule>
    <cfRule type="expression" priority="10" aboveAverage="0" equalAverage="0" bottom="0" percent="0" rank="0" text="" dxfId="4">
      <formula>AND($A19&lt;&gt;0,NOT($R19&lt;&gt;$R20))</formula>
    </cfRule>
  </conditionalFormatting>
  <conditionalFormatting sqref="K19:K98">
    <cfRule type="expression" priority="11" aboveAverage="0" equalAverage="0" bottom="0" percent="0" rank="0" text="" dxfId="3">
      <formula>AND($A19&lt;&gt;0,$R19&lt;&gt;$R20)</formula>
    </cfRule>
    <cfRule type="expression" priority="12" aboveAverage="0" equalAverage="0" bottom="0" percent="0" rank="0" text="" dxfId="4">
      <formula>AND($A19&lt;&gt;0,NOT($R19&lt;&gt;$R20))</formula>
    </cfRule>
  </conditionalFormatting>
  <conditionalFormatting sqref="E19:E98">
    <cfRule type="expression" priority="13" aboveAverage="0" equalAverage="0" bottom="0" percent="0" rank="0" text="" dxfId="3">
      <formula>AND($A19&lt;&gt;0,OR($R19&lt;&gt;$R20,$S19&lt;&gt;$S20))</formula>
    </cfRule>
    <cfRule type="expression" priority="14" aboveAverage="0" equalAverage="0" bottom="0" percent="0" rank="0" text="" dxfId="4">
      <formula>AND($A19&lt;&gt;0,NOT(OR($R19&lt;&gt;$R20,$S19&lt;&gt;$S20)))</formula>
    </cfRule>
  </conditionalFormatting>
  <conditionalFormatting sqref="F19:F98">
    <cfRule type="expression" priority="15" aboveAverage="0" equalAverage="0" bottom="0" percent="0" rank="0" text="" dxfId="3">
      <formula>AND($A19&lt;&gt;0,$A19=$A19)</formula>
    </cfRule>
    <cfRule type="expression" priority="16" aboveAverage="0" equalAverage="0" bottom="0" percent="0" rank="0" text="" dxfId="4">
      <formula>AND($A19&lt;&gt;0,NOT($A19=$A19))</formula>
    </cfRule>
  </conditionalFormatting>
  <conditionalFormatting sqref="G19:G98">
    <cfRule type="expression" priority="17" aboveAverage="0" equalAverage="0" bottom="0" percent="0" rank="0" text="" dxfId="3">
      <formula>AND($A19&lt;&gt;0,$A19=$A19)</formula>
    </cfRule>
    <cfRule type="expression" priority="18" aboveAverage="0" equalAverage="0" bottom="0" percent="0" rank="0" text="" dxfId="4">
      <formula>AND($A19&lt;&gt;0,NOT($A19=$A19))</formula>
    </cfRule>
  </conditionalFormatting>
  <conditionalFormatting sqref="H19:H98">
    <cfRule type="expression" priority="19" aboveAverage="0" equalAverage="0" bottom="0" percent="0" rank="0" text="" dxfId="3">
      <formula>AND($A19&lt;&gt;0,$A19=$A19)</formula>
    </cfRule>
    <cfRule type="expression" priority="20" aboveAverage="0" equalAverage="0" bottom="0" percent="0" rank="0" text="" dxfId="4">
      <formula>AND($A19&lt;&gt;0,NOT($A19=$A19))</formula>
    </cfRule>
  </conditionalFormatting>
  <conditionalFormatting sqref="I19:I98">
    <cfRule type="expression" priority="21" aboveAverage="0" equalAverage="0" bottom="0" percent="0" rank="0" text="" dxfId="3">
      <formula>AND($A19&lt;&gt;0,$A19=$A19)</formula>
    </cfRule>
    <cfRule type="expression" priority="22" aboveAverage="0" equalAverage="0" bottom="0" percent="0" rank="0" text="" dxfId="4">
      <formula>AND($A19&lt;&gt;0,NOT($A19=$A19))</formula>
    </cfRule>
  </conditionalFormatting>
  <conditionalFormatting sqref="J19:J98">
    <cfRule type="expression" priority="23" aboveAverage="0" equalAverage="0" bottom="0" percent="0" rank="0" text="" dxfId="3">
      <formula>AND($A19&lt;&gt;0,$A19=$A19)</formula>
    </cfRule>
    <cfRule type="expression" priority="24" aboveAverage="0" equalAverage="0" bottom="0" percent="0" rank="0" text="" dxfId="4">
      <formula>AND($A19&lt;&gt;0,NOT($A19=$A19))</formula>
    </cfRule>
  </conditionalFormatting>
  <conditionalFormatting sqref="M19:M178">
    <cfRule type="expression" priority="25" aboveAverage="0" equalAverage="0" bottom="0" percent="0" rank="0" text="" dxfId="3">
      <formula>AND($Q19&lt;&gt;0,$T19&lt;&gt;$T20)</formula>
    </cfRule>
    <cfRule type="expression" priority="26" aboveAverage="0" equalAverage="0" bottom="0" percent="0" rank="0" text="" dxfId="4">
      <formula>AND($Q19&lt;&gt;0,NOT($T19&lt;&gt;$T20))</formula>
    </cfRule>
  </conditionalFormatting>
  <conditionalFormatting sqref="N19:N178">
    <cfRule type="expression" priority="27" aboveAverage="0" equalAverage="0" bottom="0" percent="0" rank="0" text="" dxfId="3">
      <formula>AND($Q19&lt;&gt;0,OR($T19&lt;&gt;$T20,$U19&lt;&gt;$U20))</formula>
    </cfRule>
    <cfRule type="expression" priority="28" aboveAverage="0" equalAverage="0" bottom="0" percent="0" rank="0" text="" dxfId="4">
      <formula>AND($Q19&lt;&gt;0,NOT(OR($T19&lt;&gt;$T20,$U19&lt;&gt;$U20)))</formula>
    </cfRule>
  </conditionalFormatting>
  <conditionalFormatting sqref="O19:O178">
    <cfRule type="expression" priority="29" aboveAverage="0" equalAverage="0" bottom="0" percent="0" rank="0" text="" dxfId="3">
      <formula>AND($Q19&lt;&gt;0,$Q19=$Q19)</formula>
    </cfRule>
    <cfRule type="expression" priority="30" aboveAverage="0" equalAverage="0" bottom="0" percent="0" rank="0" text="" dxfId="4">
      <formula>AND($Q19&lt;&gt;0,NOT($Q19=$Q19))</formula>
    </cfRule>
  </conditionalFormatting>
  <conditionalFormatting sqref="P19:P178">
    <cfRule type="expression" priority="31" aboveAverage="0" equalAverage="0" bottom="0" percent="0" rank="0" text="" dxfId="3">
      <formula>AND($Q19&lt;&gt;0,$Q19=$Q19)</formula>
    </cfRule>
    <cfRule type="expression" priority="32" aboveAverage="0" equalAverage="0" bottom="0" percent="0" rank="0" text="" dxfId="4">
      <formula>AND($Q19&lt;&gt;0,NOT($Q19=$Q19))</formula>
    </cfRule>
  </conditionalFormatting>
  <dataValidations count="1">
    <dataValidation allowBlank="false" error="Elige un equipo de la lista" errorStyle="stop" errorTitle="Equipo" operator="between" showDropDown="false" showErrorMessage="true" showInputMessage="false" sqref="C4" type="list">
      <formula1>EQUIPOS!$T$3:$T$18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M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28"/>
    <col collapsed="false" customWidth="true" hidden="false" outlineLevel="0" max="7" min="6" style="0" width="8"/>
    <col collapsed="false" customWidth="true" hidden="false" outlineLevel="0" max="9" min="8" style="0" width="10"/>
    <col collapsed="false" customWidth="true" hidden="false" outlineLevel="0" max="10" min="10" style="0" width="22"/>
    <col collapsed="false" customWidth="true" hidden="true" outlineLevel="0" max="13" min="11" style="0" width="13"/>
  </cols>
  <sheetData>
    <row r="1" customFormat="false" ht="15" hidden="false" customHeight="false" outlineLevel="0" collapsed="false">
      <c r="K1" s="1"/>
      <c r="L1" s="1"/>
      <c r="M1" s="1"/>
    </row>
    <row r="2" customFormat="false" ht="21.75" hidden="false" customHeight="true" outlineLevel="0" collapsed="false">
      <c r="B2" s="2" t="s">
        <v>35</v>
      </c>
      <c r="C2" s="2"/>
      <c r="D2" s="2"/>
      <c r="E2" s="2"/>
      <c r="F2" s="2"/>
      <c r="G2" s="2"/>
      <c r="H2" s="2"/>
      <c r="I2" s="2"/>
      <c r="J2" s="2"/>
      <c r="K2" s="1"/>
      <c r="L2" s="1"/>
      <c r="M2" s="1"/>
    </row>
    <row r="3" customFormat="false" ht="15" hidden="false" customHeight="false" outlineLevel="0" collapsed="false">
      <c r="K3" s="1"/>
      <c r="L3" s="1"/>
      <c r="M3" s="1"/>
    </row>
    <row r="4" customFormat="false" ht="15" hidden="false" customHeight="true" outlineLevel="0" collapsed="false">
      <c r="B4" s="3" t="s">
        <v>1</v>
      </c>
      <c r="C4" s="4" t="s">
        <v>2</v>
      </c>
      <c r="D4" s="4"/>
      <c r="E4" s="4"/>
      <c r="F4" s="4"/>
      <c r="G4" s="4"/>
      <c r="H4" s="4"/>
      <c r="I4" s="4"/>
      <c r="J4" s="4"/>
      <c r="K4" s="1"/>
      <c r="L4" s="1" t="n">
        <f aca="false">MATCH(LEFT(C4,5),EQUIPOS!$B$3:$B$18,0)+2</f>
        <v>3</v>
      </c>
      <c r="M4" s="1"/>
    </row>
    <row r="5" customFormat="false" ht="19.5" hidden="false" customHeight="true" outlineLevel="0" collapsed="false">
      <c r="B5" s="3" t="s">
        <v>20</v>
      </c>
      <c r="C5" s="6" t="s">
        <v>36</v>
      </c>
      <c r="D5" s="6"/>
      <c r="E5" s="3" t="s">
        <v>37</v>
      </c>
      <c r="F5" s="6" t="str">
        <f aca="false">IFERROR(INDEX(BD_CICLO!$E:$E,MATCH($L$5&amp;"|"&amp;$C$5,BD_CICLO!$G:$G,0))&amp;" "&amp;$L$6,"")</f>
        <v>1000 KM</v>
      </c>
      <c r="G5" s="6"/>
      <c r="H5" s="3" t="s">
        <v>38</v>
      </c>
      <c r="I5" s="3"/>
      <c r="J5" s="5"/>
      <c r="K5" s="1"/>
      <c r="L5" s="1" t="str">
        <f aca="false">INDEX(EQUIPOS!F:F,$L$4)</f>
        <v>TRIMOTO MAVILA CARGO 250</v>
      </c>
      <c r="M5" s="1"/>
    </row>
    <row r="6" customFormat="false" ht="19.5" hidden="false" customHeight="true" outlineLevel="0" collapsed="false">
      <c r="B6" s="3" t="s">
        <v>19</v>
      </c>
      <c r="C6" s="5"/>
      <c r="D6" s="5"/>
      <c r="E6" s="3" t="s">
        <v>39</v>
      </c>
      <c r="F6" s="5"/>
      <c r="G6" s="5"/>
      <c r="H6" s="5"/>
      <c r="I6" s="5"/>
      <c r="J6" s="5"/>
      <c r="K6" s="1"/>
      <c r="L6" s="1" t="str">
        <f aca="false">INDEX(EQUIPOS!G:G,$L$4)</f>
        <v>KM</v>
      </c>
      <c r="M6" s="1"/>
    </row>
    <row r="7" customFormat="false" ht="19.5" hidden="false" customHeight="true" outlineLevel="0" collapsed="false">
      <c r="B7" s="3" t="s">
        <v>40</v>
      </c>
      <c r="C7" s="5"/>
      <c r="D7" s="5"/>
      <c r="E7" s="3" t="s">
        <v>41</v>
      </c>
      <c r="F7" s="5"/>
      <c r="G7" s="5"/>
      <c r="H7" s="5"/>
      <c r="I7" s="5"/>
      <c r="J7" s="5"/>
      <c r="K7" s="1"/>
      <c r="L7" s="1"/>
      <c r="M7" s="1"/>
    </row>
    <row r="8" customFormat="false" ht="15" hidden="false" customHeight="false" outlineLevel="0" collapsed="false">
      <c r="K8" s="1"/>
      <c r="L8" s="1"/>
      <c r="M8" s="1"/>
    </row>
    <row r="9" customFormat="false" ht="17.35" hidden="false" customHeight="false" outlineLevel="0" collapsed="false">
      <c r="B9" s="2" t="s">
        <v>42</v>
      </c>
      <c r="C9" s="2"/>
      <c r="D9" s="2"/>
      <c r="E9" s="2"/>
      <c r="F9" s="2"/>
      <c r="G9" s="2"/>
      <c r="H9" s="2"/>
      <c r="I9" s="2"/>
      <c r="J9" s="2"/>
      <c r="K9" s="1"/>
      <c r="L9" s="1"/>
      <c r="M9" s="1"/>
    </row>
    <row r="10" customFormat="false" ht="15" hidden="false" customHeight="true" outlineLevel="0" collapsed="false">
      <c r="B10" s="3" t="s">
        <v>26</v>
      </c>
      <c r="C10" s="3" t="s">
        <v>43</v>
      </c>
      <c r="D10" s="3"/>
      <c r="E10" s="3"/>
      <c r="F10" s="3" t="s">
        <v>44</v>
      </c>
      <c r="G10" s="3" t="s">
        <v>45</v>
      </c>
      <c r="H10" s="3" t="s">
        <v>46</v>
      </c>
      <c r="I10" s="3"/>
      <c r="J10" s="3" t="s">
        <v>47</v>
      </c>
      <c r="K10" s="1"/>
      <c r="L10" s="1"/>
      <c r="M10" s="1"/>
    </row>
    <row r="11" customFormat="false" ht="16.5" hidden="false" customHeight="true" outlineLevel="0" collapsed="false">
      <c r="B11" s="12" t="str">
        <f aca="false">IF($L11=0,"",$M11)</f>
        <v>MOTOR</v>
      </c>
      <c r="C11" s="9" t="str">
        <f aca="false">IF($L11=0,"",INDEX(BD_PLAN!E:E,$L11))</f>
        <v>ACEITE MOTOR 20W50 4T MINERAL</v>
      </c>
      <c r="D11" s="9"/>
      <c r="E11" s="9"/>
      <c r="F11" s="5" t="n">
        <f aca="false">IF($L11=0,"",INDEX(BD_PLAN!F:F,$L11))</f>
        <v>1.5</v>
      </c>
      <c r="G11" s="5" t="str">
        <f aca="false">IF($L11=0,"",INDEX(BD_PLAN!G:G,$L11))</f>
        <v>L</v>
      </c>
      <c r="H11" s="5" t="str">
        <f aca="false">IF($L11=0,"","SI ☐   NO ☐")</f>
        <v>SI ☐   NO ☐</v>
      </c>
      <c r="I11" s="5"/>
      <c r="J11" s="5"/>
      <c r="K11" s="1"/>
      <c r="L11" s="1" t="n">
        <f aca="false">IFERROR(MATCH($L$5&amp;"|"&amp;$C$5&amp;"|1",BD_PLAN!$K:$K,0),0)</f>
        <v>3</v>
      </c>
      <c r="M11" s="1" t="str">
        <f aca="false">IF($L11=0,"",INDEX(BD_PLAN!D:D,$L11))</f>
        <v>MOTOR</v>
      </c>
    </row>
    <row r="12" customFormat="false" ht="16.5" hidden="false" customHeight="true" outlineLevel="0" collapsed="false">
      <c r="B12" s="12" t="str">
        <f aca="false">IF($L12=0,"",IF($M12&lt;&gt;$M11,$M12,""))</f>
        <v/>
      </c>
      <c r="C12" s="9" t="str">
        <f aca="false">IF($L12=0,"",INDEX(BD_PLAN!E:E,$L12))</f>
        <v>ARANDELA TAPÓN DE DRENAJE</v>
      </c>
      <c r="D12" s="9"/>
      <c r="E12" s="9"/>
      <c r="F12" s="5" t="n">
        <f aca="false">IF($L12=0,"",INDEX(BD_PLAN!F:F,$L12))</f>
        <v>1</v>
      </c>
      <c r="G12" s="5" t="str">
        <f aca="false">IF($L12=0,"",INDEX(BD_PLAN!G:G,$L12))</f>
        <v>UND.</v>
      </c>
      <c r="H12" s="5" t="str">
        <f aca="false">IF($L12=0,"","SI ☐   NO ☐")</f>
        <v>SI ☐   NO ☐</v>
      </c>
      <c r="I12" s="5"/>
      <c r="J12" s="5"/>
      <c r="K12" s="1"/>
      <c r="L12" s="1" t="n">
        <f aca="false">IFERROR(MATCH($L$5&amp;"|"&amp;$C$5&amp;"|2",BD_PLAN!$K:$K,0),0)</f>
        <v>4</v>
      </c>
      <c r="M12" s="1" t="str">
        <f aca="false">IF($L12=0,"",INDEX(BD_PLAN!D:D,$L12))</f>
        <v>MOTOR</v>
      </c>
    </row>
    <row r="13" customFormat="false" ht="16.5" hidden="false" customHeight="true" outlineLevel="0" collapsed="false">
      <c r="B13" s="12" t="str">
        <f aca="false">IF($L13=0,"",IF($M13&lt;&gt;$M12,$M13,""))</f>
        <v>CHASIS</v>
      </c>
      <c r="C13" s="9" t="str">
        <f aca="false">IF($L13=0,"",INDEX(BD_PLAN!E:E,$L13))</f>
        <v>GRASA MULTIPROPÓSITO</v>
      </c>
      <c r="D13" s="9"/>
      <c r="E13" s="9"/>
      <c r="F13" s="5" t="n">
        <f aca="false">IF($L13=0,"",INDEX(BD_PLAN!F:F,$L13))</f>
        <v>0.5</v>
      </c>
      <c r="G13" s="5" t="str">
        <f aca="false">IF($L13=0,"",INDEX(BD_PLAN!G:G,$L13))</f>
        <v>LBRS</v>
      </c>
      <c r="H13" s="5" t="str">
        <f aca="false">IF($L13=0,"","SI ☐   NO ☐")</f>
        <v>SI ☐   NO ☐</v>
      </c>
      <c r="I13" s="5"/>
      <c r="J13" s="5"/>
      <c r="K13" s="1"/>
      <c r="L13" s="1" t="n">
        <f aca="false">IFERROR(MATCH($L$5&amp;"|"&amp;$C$5&amp;"|3",BD_PLAN!$K:$K,0),0)</f>
        <v>5</v>
      </c>
      <c r="M13" s="1" t="str">
        <f aca="false">IF($L13=0,"",INDEX(BD_PLAN!D:D,$L13))</f>
        <v>CHASIS</v>
      </c>
    </row>
    <row r="14" customFormat="false" ht="16.5" hidden="false" customHeight="true" outlineLevel="0" collapsed="false">
      <c r="B14" s="12" t="str">
        <f aca="false">IF($L14=0,"",IF($M14&lt;&gt;$M13,$M14,""))</f>
        <v>SERVICIO GENERAL</v>
      </c>
      <c r="C14" s="9" t="str">
        <f aca="false">IF($L14=0,"",INDEX(BD_PLAN!E:E,$L14))</f>
        <v>TRAPO INDUSTRIAL</v>
      </c>
      <c r="D14" s="9"/>
      <c r="E14" s="9"/>
      <c r="F14" s="5" t="n">
        <f aca="false">IF($L14=0,"",INDEX(BD_PLAN!F:F,$L14))</f>
        <v>0.5</v>
      </c>
      <c r="G14" s="5" t="str">
        <f aca="false">IF($L14=0,"",INDEX(BD_PLAN!G:G,$L14))</f>
        <v>KG</v>
      </c>
      <c r="H14" s="5" t="str">
        <f aca="false">IF($L14=0,"","SI ☐   NO ☐")</f>
        <v>SI ☐   NO ☐</v>
      </c>
      <c r="I14" s="5"/>
      <c r="J14" s="5"/>
      <c r="K14" s="1"/>
      <c r="L14" s="1" t="n">
        <f aca="false">IFERROR(MATCH($L$5&amp;"|"&amp;$C$5&amp;"|4",BD_PLAN!$K:$K,0),0)</f>
        <v>6</v>
      </c>
      <c r="M14" s="1" t="str">
        <f aca="false">IF($L14=0,"",INDEX(BD_PLAN!D:D,$L14))</f>
        <v>SERVICIO GENERAL</v>
      </c>
    </row>
    <row r="15" customFormat="false" ht="16.5" hidden="false" customHeight="true" outlineLevel="0" collapsed="false">
      <c r="B15" s="12" t="str">
        <f aca="false">IF($L15=0,"",IF($M15&lt;&gt;$M14,$M15,""))</f>
        <v/>
      </c>
      <c r="C15" s="9" t="str">
        <f aca="false">IF($L15=0,"",INDEX(BD_PLAN!E:E,$L15))</f>
        <v>GASOLINA 90 OCT</v>
      </c>
      <c r="D15" s="9"/>
      <c r="E15" s="9"/>
      <c r="F15" s="5" t="n">
        <f aca="false">IF($L15=0,"",INDEX(BD_PLAN!F:F,$L15))</f>
        <v>0.25</v>
      </c>
      <c r="G15" s="5" t="str">
        <f aca="false">IF($L15=0,"",INDEX(BD_PLAN!G:G,$L15))</f>
        <v>GL</v>
      </c>
      <c r="H15" s="5" t="str">
        <f aca="false">IF($L15=0,"","SI ☐   NO ☐")</f>
        <v>SI ☐   NO ☐</v>
      </c>
      <c r="I15" s="5"/>
      <c r="J15" s="5"/>
      <c r="K15" s="1"/>
      <c r="L15" s="1" t="n">
        <f aca="false">IFERROR(MATCH($L$5&amp;"|"&amp;$C$5&amp;"|5",BD_PLAN!$K:$K,0),0)</f>
        <v>7</v>
      </c>
      <c r="M15" s="1" t="str">
        <f aca="false">IF($L15=0,"",INDEX(BD_PLAN!D:D,$L15))</f>
        <v>SERVICIO GENERAL</v>
      </c>
    </row>
    <row r="16" customFormat="false" ht="16.5" hidden="false" customHeight="true" outlineLevel="0" collapsed="false">
      <c r="B16" s="12" t="str">
        <f aca="false">IF($L16=0,"",IF($M16&lt;&gt;$M15,$M16,""))</f>
        <v>COMBUSTIBLE</v>
      </c>
      <c r="C16" s="9" t="str">
        <f aca="false">IF($L16=0,"",INDEX(BD_PLAN!E:E,$L16))</f>
        <v>LIMPIA CARBURADOR</v>
      </c>
      <c r="D16" s="9"/>
      <c r="E16" s="9"/>
      <c r="F16" s="5" t="n">
        <f aca="false">IF($L16=0,"",INDEX(BD_PLAN!F:F,$L16))</f>
        <v>0.5</v>
      </c>
      <c r="G16" s="5" t="str">
        <f aca="false">IF($L16=0,"",INDEX(BD_PLAN!G:G,$L16))</f>
        <v>UND.</v>
      </c>
      <c r="H16" s="5" t="str">
        <f aca="false">IF($L16=0,"","SI ☐   NO ☐")</f>
        <v>SI ☐   NO ☐</v>
      </c>
      <c r="I16" s="5"/>
      <c r="J16" s="5"/>
      <c r="K16" s="1"/>
      <c r="L16" s="1" t="n">
        <f aca="false">IFERROR(MATCH($L$5&amp;"|"&amp;$C$5&amp;"|6",BD_PLAN!$K:$K,0),0)</f>
        <v>8</v>
      </c>
      <c r="M16" s="1" t="str">
        <f aca="false">IF($L16=0,"",INDEX(BD_PLAN!D:D,$L16))</f>
        <v>COMBUSTIBLE</v>
      </c>
    </row>
    <row r="17" customFormat="false" ht="16.5" hidden="false" customHeight="true" outlineLevel="0" collapsed="false">
      <c r="B17" s="12" t="str">
        <f aca="false">IF($L17=0,"",IF($M17&lt;&gt;$M16,$M17,""))</f>
        <v/>
      </c>
      <c r="C17" s="9" t="str">
        <f aca="false">IF($L17=0,"",INDEX(BD_PLAN!E:E,$L17))</f>
        <v/>
      </c>
      <c r="D17" s="9"/>
      <c r="E17" s="9"/>
      <c r="F17" s="5" t="str">
        <f aca="false">IF($L17=0,"",INDEX(BD_PLAN!F:F,$L17))</f>
        <v/>
      </c>
      <c r="G17" s="5" t="str">
        <f aca="false">IF($L17=0,"",INDEX(BD_PLAN!G:G,$L17))</f>
        <v/>
      </c>
      <c r="H17" s="5" t="str">
        <f aca="false">IF($L17=0,"","SI ☐   NO ☐")</f>
        <v/>
      </c>
      <c r="I17" s="5"/>
      <c r="J17" s="5"/>
      <c r="K17" s="1"/>
      <c r="L17" s="1" t="n">
        <f aca="false">IFERROR(MATCH($L$5&amp;"|"&amp;$C$5&amp;"|7",BD_PLAN!$K:$K,0),0)</f>
        <v>0</v>
      </c>
      <c r="M17" s="1" t="str">
        <f aca="false">IF($L17=0,"",INDEX(BD_PLAN!D:D,$L17))</f>
        <v/>
      </c>
    </row>
    <row r="18" customFormat="false" ht="16.5" hidden="false" customHeight="true" outlineLevel="0" collapsed="false">
      <c r="B18" s="12" t="str">
        <f aca="false">IF($L18=0,"",IF($M18&lt;&gt;$M17,$M18,""))</f>
        <v/>
      </c>
      <c r="C18" s="9" t="str">
        <f aca="false">IF($L18=0,"",INDEX(BD_PLAN!E:E,$L18))</f>
        <v/>
      </c>
      <c r="D18" s="9"/>
      <c r="E18" s="9"/>
      <c r="F18" s="5" t="str">
        <f aca="false">IF($L18=0,"",INDEX(BD_PLAN!F:F,$L18))</f>
        <v/>
      </c>
      <c r="G18" s="5" t="str">
        <f aca="false">IF($L18=0,"",INDEX(BD_PLAN!G:G,$L18))</f>
        <v/>
      </c>
      <c r="H18" s="5" t="str">
        <f aca="false">IF($L18=0,"","SI ☐   NO ☐")</f>
        <v/>
      </c>
      <c r="I18" s="5"/>
      <c r="J18" s="5"/>
      <c r="K18" s="1"/>
      <c r="L18" s="1" t="n">
        <f aca="false">IFERROR(MATCH($L$5&amp;"|"&amp;$C$5&amp;"|8",BD_PLAN!$K:$K,0),0)</f>
        <v>0</v>
      </c>
      <c r="M18" s="1" t="str">
        <f aca="false">IF($L18=0,"",INDEX(BD_PLAN!D:D,$L18))</f>
        <v/>
      </c>
    </row>
    <row r="19" customFormat="false" ht="16.5" hidden="false" customHeight="true" outlineLevel="0" collapsed="false">
      <c r="B19" s="12" t="str">
        <f aca="false">IF($L19=0,"",IF($M19&lt;&gt;$M18,$M19,""))</f>
        <v/>
      </c>
      <c r="C19" s="9" t="str">
        <f aca="false">IF($L19=0,"",INDEX(BD_PLAN!E:E,$L19))</f>
        <v/>
      </c>
      <c r="D19" s="9"/>
      <c r="E19" s="9"/>
      <c r="F19" s="5" t="str">
        <f aca="false">IF($L19=0,"",INDEX(BD_PLAN!F:F,$L19))</f>
        <v/>
      </c>
      <c r="G19" s="5" t="str">
        <f aca="false">IF($L19=0,"",INDEX(BD_PLAN!G:G,$L19))</f>
        <v/>
      </c>
      <c r="H19" s="5" t="str">
        <f aca="false">IF($L19=0,"","SI ☐   NO ☐")</f>
        <v/>
      </c>
      <c r="I19" s="5"/>
      <c r="J19" s="5"/>
      <c r="K19" s="1"/>
      <c r="L19" s="1" t="n">
        <f aca="false">IFERROR(MATCH($L$5&amp;"|"&amp;$C$5&amp;"|9",BD_PLAN!$K:$K,0),0)</f>
        <v>0</v>
      </c>
      <c r="M19" s="1" t="str">
        <f aca="false">IF($L19=0,"",INDEX(BD_PLAN!D:D,$L19))</f>
        <v/>
      </c>
    </row>
    <row r="20" customFormat="false" ht="16.5" hidden="false" customHeight="true" outlineLevel="0" collapsed="false">
      <c r="B20" s="12" t="str">
        <f aca="false">IF($L20=0,"",IF($M20&lt;&gt;$M19,$M20,""))</f>
        <v/>
      </c>
      <c r="C20" s="9" t="str">
        <f aca="false">IF($L20=0,"",INDEX(BD_PLAN!E:E,$L20))</f>
        <v/>
      </c>
      <c r="D20" s="9"/>
      <c r="E20" s="9"/>
      <c r="F20" s="5" t="str">
        <f aca="false">IF($L20=0,"",INDEX(BD_PLAN!F:F,$L20))</f>
        <v/>
      </c>
      <c r="G20" s="5" t="str">
        <f aca="false">IF($L20=0,"",INDEX(BD_PLAN!G:G,$L20))</f>
        <v/>
      </c>
      <c r="H20" s="5" t="str">
        <f aca="false">IF($L20=0,"","SI ☐   NO ☐")</f>
        <v/>
      </c>
      <c r="I20" s="5"/>
      <c r="J20" s="5"/>
      <c r="K20" s="1"/>
      <c r="L20" s="1" t="n">
        <f aca="false">IFERROR(MATCH($L$5&amp;"|"&amp;$C$5&amp;"|10",BD_PLAN!$K:$K,0),0)</f>
        <v>0</v>
      </c>
      <c r="M20" s="1" t="str">
        <f aca="false">IF($L20=0,"",INDEX(BD_PLAN!D:D,$L20))</f>
        <v/>
      </c>
    </row>
    <row r="21" customFormat="false" ht="16.5" hidden="false" customHeight="true" outlineLevel="0" collapsed="false">
      <c r="B21" s="12" t="str">
        <f aca="false">IF($L21=0,"",IF($M21&lt;&gt;$M20,$M21,""))</f>
        <v/>
      </c>
      <c r="C21" s="9" t="str">
        <f aca="false">IF($L21=0,"",INDEX(BD_PLAN!E:E,$L21))</f>
        <v/>
      </c>
      <c r="D21" s="9"/>
      <c r="E21" s="9"/>
      <c r="F21" s="5" t="str">
        <f aca="false">IF($L21=0,"",INDEX(BD_PLAN!F:F,$L21))</f>
        <v/>
      </c>
      <c r="G21" s="5" t="str">
        <f aca="false">IF($L21=0,"",INDEX(BD_PLAN!G:G,$L21))</f>
        <v/>
      </c>
      <c r="H21" s="5" t="str">
        <f aca="false">IF($L21=0,"","SI ☐   NO ☐")</f>
        <v/>
      </c>
      <c r="I21" s="5"/>
      <c r="J21" s="5"/>
      <c r="K21" s="1"/>
      <c r="L21" s="1" t="n">
        <f aca="false">IFERROR(MATCH($L$5&amp;"|"&amp;$C$5&amp;"|11",BD_PLAN!$K:$K,0),0)</f>
        <v>0</v>
      </c>
      <c r="M21" s="1" t="str">
        <f aca="false">IF($L21=0,"",INDEX(BD_PLAN!D:D,$L21))</f>
        <v/>
      </c>
    </row>
    <row r="22" customFormat="false" ht="16.5" hidden="false" customHeight="true" outlineLevel="0" collapsed="false">
      <c r="B22" s="12" t="str">
        <f aca="false">IF($L22=0,"",IF($M22&lt;&gt;$M21,$M22,""))</f>
        <v/>
      </c>
      <c r="C22" s="9" t="str">
        <f aca="false">IF($L22=0,"",INDEX(BD_PLAN!E:E,$L22))</f>
        <v/>
      </c>
      <c r="D22" s="9"/>
      <c r="E22" s="9"/>
      <c r="F22" s="5" t="str">
        <f aca="false">IF($L22=0,"",INDEX(BD_PLAN!F:F,$L22))</f>
        <v/>
      </c>
      <c r="G22" s="5" t="str">
        <f aca="false">IF($L22=0,"",INDEX(BD_PLAN!G:G,$L22))</f>
        <v/>
      </c>
      <c r="H22" s="5" t="str">
        <f aca="false">IF($L22=0,"","SI ☐   NO ☐")</f>
        <v/>
      </c>
      <c r="I22" s="5"/>
      <c r="J22" s="5"/>
      <c r="K22" s="1"/>
      <c r="L22" s="1" t="n">
        <f aca="false">IFERROR(MATCH($L$5&amp;"|"&amp;$C$5&amp;"|12",BD_PLAN!$K:$K,0),0)</f>
        <v>0</v>
      </c>
      <c r="M22" s="1" t="str">
        <f aca="false">IF($L22=0,"",INDEX(BD_PLAN!D:D,$L22))</f>
        <v/>
      </c>
    </row>
    <row r="23" customFormat="false" ht="16.5" hidden="false" customHeight="true" outlineLevel="0" collapsed="false">
      <c r="B23" s="12" t="str">
        <f aca="false">IF($L23=0,"",IF($M23&lt;&gt;$M22,$M23,""))</f>
        <v/>
      </c>
      <c r="C23" s="9" t="str">
        <f aca="false">IF($L23=0,"",INDEX(BD_PLAN!E:E,$L23))</f>
        <v/>
      </c>
      <c r="D23" s="9"/>
      <c r="E23" s="9"/>
      <c r="F23" s="5" t="str">
        <f aca="false">IF($L23=0,"",INDEX(BD_PLAN!F:F,$L23))</f>
        <v/>
      </c>
      <c r="G23" s="5" t="str">
        <f aca="false">IF($L23=0,"",INDEX(BD_PLAN!G:G,$L23))</f>
        <v/>
      </c>
      <c r="H23" s="5" t="str">
        <f aca="false">IF($L23=0,"","SI ☐   NO ☐")</f>
        <v/>
      </c>
      <c r="I23" s="5"/>
      <c r="J23" s="5"/>
      <c r="K23" s="1"/>
      <c r="L23" s="1" t="n">
        <f aca="false">IFERROR(MATCH($L$5&amp;"|"&amp;$C$5&amp;"|13",BD_PLAN!$K:$K,0),0)</f>
        <v>0</v>
      </c>
      <c r="M23" s="1" t="str">
        <f aca="false">IF($L23=0,"",INDEX(BD_PLAN!D:D,$L23))</f>
        <v/>
      </c>
    </row>
    <row r="24" customFormat="false" ht="16.5" hidden="false" customHeight="true" outlineLevel="0" collapsed="false">
      <c r="B24" s="12" t="str">
        <f aca="false">IF($L24=0,"",IF($M24&lt;&gt;$M23,$M24,""))</f>
        <v/>
      </c>
      <c r="C24" s="9" t="str">
        <f aca="false">IF($L24=0,"",INDEX(BD_PLAN!E:E,$L24))</f>
        <v/>
      </c>
      <c r="D24" s="9"/>
      <c r="E24" s="9"/>
      <c r="F24" s="5" t="str">
        <f aca="false">IF($L24=0,"",INDEX(BD_PLAN!F:F,$L24))</f>
        <v/>
      </c>
      <c r="G24" s="5" t="str">
        <f aca="false">IF($L24=0,"",INDEX(BD_PLAN!G:G,$L24))</f>
        <v/>
      </c>
      <c r="H24" s="5" t="str">
        <f aca="false">IF($L24=0,"","SI ☐   NO ☐")</f>
        <v/>
      </c>
      <c r="I24" s="5"/>
      <c r="J24" s="5"/>
      <c r="K24" s="1"/>
      <c r="L24" s="1" t="n">
        <f aca="false">IFERROR(MATCH($L$5&amp;"|"&amp;$C$5&amp;"|14",BD_PLAN!$K:$K,0),0)</f>
        <v>0</v>
      </c>
      <c r="M24" s="1" t="str">
        <f aca="false">IF($L24=0,"",INDEX(BD_PLAN!D:D,$L24))</f>
        <v/>
      </c>
    </row>
    <row r="25" customFormat="false" ht="15" hidden="false" customHeight="false" outlineLevel="0" collapsed="false">
      <c r="K25" s="1"/>
      <c r="L25" s="1"/>
      <c r="M25" s="1"/>
    </row>
    <row r="26" customFormat="false" ht="17.35" hidden="false" customHeight="false" outlineLevel="0" collapsed="false">
      <c r="B26" s="2" t="s">
        <v>48</v>
      </c>
      <c r="C26" s="2"/>
      <c r="D26" s="2"/>
      <c r="E26" s="2"/>
      <c r="F26" s="2"/>
      <c r="G26" s="2"/>
      <c r="H26" s="2"/>
      <c r="I26" s="2"/>
      <c r="J26" s="2"/>
      <c r="K26" s="1"/>
      <c r="L26" s="1"/>
      <c r="M26" s="1"/>
    </row>
    <row r="27" customFormat="false" ht="15" hidden="false" customHeight="true" outlineLevel="0" collapsed="false">
      <c r="B27" s="3" t="s">
        <v>26</v>
      </c>
      <c r="C27" s="3" t="s">
        <v>33</v>
      </c>
      <c r="D27" s="3" t="s">
        <v>34</v>
      </c>
      <c r="E27" s="3"/>
      <c r="F27" s="3"/>
      <c r="G27" s="3" t="s">
        <v>49</v>
      </c>
      <c r="H27" s="3" t="s">
        <v>50</v>
      </c>
      <c r="I27" s="3" t="s">
        <v>21</v>
      </c>
      <c r="J27" s="3"/>
      <c r="K27" s="1"/>
      <c r="L27" s="1"/>
      <c r="M27" s="1"/>
    </row>
    <row r="28" customFormat="false" ht="16.5" hidden="false" customHeight="true" outlineLevel="0" collapsed="false">
      <c r="B28" s="12" t="str">
        <f aca="false">IF($L28=0,"",$M28)</f>
        <v>MOTOR</v>
      </c>
      <c r="C28" s="5" t="str">
        <f aca="false">IF($L28=0,"",INDEX(BD_INSPECCION!E:E,$L28))</f>
        <v>INSPECCIONAR</v>
      </c>
      <c r="D28" s="9" t="str">
        <f aca="false">IF($L28=0,"",INDEX(BD_INSPECCION!F:F,$L28))</f>
        <v>LUZ DE VÁLVULAS (REGULAR SI ES NECESARIO)</v>
      </c>
      <c r="E28" s="9"/>
      <c r="F28" s="9"/>
      <c r="G28" s="5" t="str">
        <f aca="false">IF($L28=0,"","☐")</f>
        <v>☐</v>
      </c>
      <c r="H28" s="5" t="str">
        <f aca="false">IF($L28=0,"","☐")</f>
        <v>☐</v>
      </c>
      <c r="I28" s="9"/>
      <c r="J28" s="9"/>
      <c r="K28" s="1"/>
      <c r="L28" s="1" t="n">
        <f aca="false">IFERROR(MATCH($L$5&amp;"|"&amp;$C$5&amp;"|1",BD_INSPECCION!$H:$H,0),0)</f>
        <v>3</v>
      </c>
      <c r="M28" s="1" t="str">
        <f aca="false">IF($L28=0,"",INDEX(BD_INSPECCION!D:D,$L28))</f>
        <v>MOTOR</v>
      </c>
    </row>
    <row r="29" customFormat="false" ht="16.5" hidden="false" customHeight="true" outlineLevel="0" collapsed="false">
      <c r="B29" s="12" t="str">
        <f aca="false">IF($L29=0,"",IF($M29&lt;&gt;$M28,$M29,""))</f>
        <v/>
      </c>
      <c r="C29" s="5" t="str">
        <f aca="false">IF($L29=0,"",INDEX(BD_INSPECCION!E:E,$L29))</f>
        <v>INSPECCIONAR</v>
      </c>
      <c r="D29" s="9" t="str">
        <f aca="false">IF($L29=0,"",INDEX(BD_INSPECCION!F:F,$L29))</f>
        <v>VELOCIDAD DE RALENTÍ</v>
      </c>
      <c r="E29" s="9"/>
      <c r="F29" s="9"/>
      <c r="G29" s="5" t="str">
        <f aca="false">IF($L29=0,"","☐")</f>
        <v>☐</v>
      </c>
      <c r="H29" s="5" t="str">
        <f aca="false">IF($L29=0,"","☐")</f>
        <v>☐</v>
      </c>
      <c r="I29" s="9"/>
      <c r="J29" s="9"/>
      <c r="K29" s="1"/>
      <c r="L29" s="1" t="n">
        <f aca="false">IFERROR(MATCH($L$5&amp;"|"&amp;$C$5&amp;"|2",BD_INSPECCION!$H:$H,0),0)</f>
        <v>4</v>
      </c>
      <c r="M29" s="1" t="str">
        <f aca="false">IF($L29=0,"",INDEX(BD_INSPECCION!D:D,$L29))</f>
        <v>MOTOR</v>
      </c>
    </row>
    <row r="30" customFormat="false" ht="16.5" hidden="false" customHeight="true" outlineLevel="0" collapsed="false">
      <c r="B30" s="12" t="str">
        <f aca="false">IF($L30=0,"",IF($M30&lt;&gt;$M29,$M30,""))</f>
        <v/>
      </c>
      <c r="C30" s="5" t="str">
        <f aca="false">IF($L30=0,"",INDEX(BD_INSPECCION!E:E,$L30))</f>
        <v>INSPECCIONAR</v>
      </c>
      <c r="D30" s="9" t="str">
        <f aca="false">IF($L30=0,"",INDEX(BD_INSPECCION!F:F,$L30))</f>
        <v>FUGAS DE ACEITE Y ESTADO DE EMPAQUES</v>
      </c>
      <c r="E30" s="9"/>
      <c r="F30" s="9"/>
      <c r="G30" s="5" t="str">
        <f aca="false">IF($L30=0,"","☐")</f>
        <v>☐</v>
      </c>
      <c r="H30" s="5" t="str">
        <f aca="false">IF($L30=0,"","☐")</f>
        <v>☐</v>
      </c>
      <c r="I30" s="9"/>
      <c r="J30" s="9"/>
      <c r="K30" s="1"/>
      <c r="L30" s="1" t="n">
        <f aca="false">IFERROR(MATCH($L$5&amp;"|"&amp;$C$5&amp;"|3",BD_INSPECCION!$H:$H,0),0)</f>
        <v>5</v>
      </c>
      <c r="M30" s="1" t="str">
        <f aca="false">IF($L30=0,"",INDEX(BD_INSPECCION!D:D,$L30))</f>
        <v>MOTOR</v>
      </c>
    </row>
    <row r="31" customFormat="false" ht="16.5" hidden="false" customHeight="true" outlineLevel="0" collapsed="false">
      <c r="B31" s="12" t="str">
        <f aca="false">IF($L31=0,"",IF($M31&lt;&gt;$M30,$M31,""))</f>
        <v/>
      </c>
      <c r="C31" s="5" t="str">
        <f aca="false">IF($L31=0,"",INDEX(BD_INSPECCION!E:E,$L31))</f>
        <v>LIMPIAR</v>
      </c>
      <c r="D31" s="9" t="str">
        <f aca="false">IF($L31=0,"",INDEX(BD_INSPECCION!F:F,$L31))</f>
        <v>MALLA (COLADOR) DE ACEITE</v>
      </c>
      <c r="E31" s="9"/>
      <c r="F31" s="9"/>
      <c r="G31" s="5" t="str">
        <f aca="false">IF($L31=0,"","☐")</f>
        <v>☐</v>
      </c>
      <c r="H31" s="5" t="str">
        <f aca="false">IF($L31=0,"","☐")</f>
        <v>☐</v>
      </c>
      <c r="I31" s="9"/>
      <c r="J31" s="9"/>
      <c r="K31" s="1"/>
      <c r="L31" s="1" t="n">
        <f aca="false">IFERROR(MATCH($L$5&amp;"|"&amp;$C$5&amp;"|4",BD_INSPECCION!$H:$H,0),0)</f>
        <v>6</v>
      </c>
      <c r="M31" s="1" t="str">
        <f aca="false">IF($L31=0,"",INDEX(BD_INSPECCION!D:D,$L31))</f>
        <v>MOTOR</v>
      </c>
    </row>
    <row r="32" customFormat="false" ht="16.5" hidden="false" customHeight="true" outlineLevel="0" collapsed="false">
      <c r="B32" s="12" t="str">
        <f aca="false">IF($L32=0,"",IF($M32&lt;&gt;$M31,$M32,""))</f>
        <v>ADMISIÓN DE AIRE</v>
      </c>
      <c r="C32" s="5" t="str">
        <f aca="false">IF($L32=0,"",INDEX(BD_INSPECCION!E:E,$L32))</f>
        <v>LIMPIAR</v>
      </c>
      <c r="D32" s="9" t="str">
        <f aca="false">IF($L32=0,"",INDEX(BD_INSPECCION!F:F,$L32))</f>
        <v>FILTRO DE AIRE</v>
      </c>
      <c r="E32" s="9"/>
      <c r="F32" s="9"/>
      <c r="G32" s="5" t="str">
        <f aca="false">IF($L32=0,"","☐")</f>
        <v>☐</v>
      </c>
      <c r="H32" s="5" t="str">
        <f aca="false">IF($L32=0,"","☐")</f>
        <v>☐</v>
      </c>
      <c r="I32" s="9"/>
      <c r="J32" s="9"/>
      <c r="K32" s="1"/>
      <c r="L32" s="1" t="n">
        <f aca="false">IFERROR(MATCH($L$5&amp;"|"&amp;$C$5&amp;"|5",BD_INSPECCION!$H:$H,0),0)</f>
        <v>7</v>
      </c>
      <c r="M32" s="1" t="str">
        <f aca="false">IF($L32=0,"",INDEX(BD_INSPECCION!D:D,$L32))</f>
        <v>ADMISIÓN DE AIRE</v>
      </c>
    </row>
    <row r="33" customFormat="false" ht="16.5" hidden="false" customHeight="true" outlineLevel="0" collapsed="false">
      <c r="B33" s="12" t="str">
        <f aca="false">IF($L33=0,"",IF($M33&lt;&gt;$M32,$M33,""))</f>
        <v>COMBUSTIBLE</v>
      </c>
      <c r="C33" s="5" t="str">
        <f aca="false">IF($L33=0,"",INDEX(BD_INSPECCION!E:E,$L33))</f>
        <v>INSPECCIONAR</v>
      </c>
      <c r="D33" s="9" t="str">
        <f aca="false">IF($L33=0,"",INDEX(BD_INSPECCION!F:F,$L33))</f>
        <v>MANGUERA DE COMBUSTIBLE (GRIETAS Y FUGAS)</v>
      </c>
      <c r="E33" s="9"/>
      <c r="F33" s="9"/>
      <c r="G33" s="5" t="str">
        <f aca="false">IF($L33=0,"","☐")</f>
        <v>☐</v>
      </c>
      <c r="H33" s="5" t="str">
        <f aca="false">IF($L33=0,"","☐")</f>
        <v>☐</v>
      </c>
      <c r="I33" s="9"/>
      <c r="J33" s="9"/>
      <c r="K33" s="1"/>
      <c r="L33" s="1" t="n">
        <f aca="false">IFERROR(MATCH($L$5&amp;"|"&amp;$C$5&amp;"|6",BD_INSPECCION!$H:$H,0),0)</f>
        <v>8</v>
      </c>
      <c r="M33" s="1" t="str">
        <f aca="false">IF($L33=0,"",INDEX(BD_INSPECCION!D:D,$L33))</f>
        <v>COMBUSTIBLE</v>
      </c>
    </row>
    <row r="34" customFormat="false" ht="16.5" hidden="false" customHeight="true" outlineLevel="0" collapsed="false">
      <c r="B34" s="12" t="str">
        <f aca="false">IF($L34=0,"",IF($M34&lt;&gt;$M33,$M34,""))</f>
        <v/>
      </c>
      <c r="C34" s="5" t="str">
        <f aca="false">IF($L34=0,"",INDEX(BD_INSPECCION!E:E,$L34))</f>
        <v>INSPECCIONAR</v>
      </c>
      <c r="D34" s="9" t="str">
        <f aca="false">IF($L34=0,"",INDEX(BD_INSPECCION!F:F,$L34))</f>
        <v>FUNCIONAMIENTO DEL ACELERADOR Y CHOKE</v>
      </c>
      <c r="E34" s="9"/>
      <c r="F34" s="9"/>
      <c r="G34" s="5" t="str">
        <f aca="false">IF($L34=0,"","☐")</f>
        <v>☐</v>
      </c>
      <c r="H34" s="5" t="str">
        <f aca="false">IF($L34=0,"","☐")</f>
        <v>☐</v>
      </c>
      <c r="I34" s="9"/>
      <c r="J34" s="9"/>
      <c r="K34" s="1"/>
      <c r="L34" s="1" t="n">
        <f aca="false">IFERROR(MATCH($L$5&amp;"|"&amp;$C$5&amp;"|7",BD_INSPECCION!$H:$H,0),0)</f>
        <v>9</v>
      </c>
      <c r="M34" s="1" t="str">
        <f aca="false">IF($L34=0,"",INDEX(BD_INSPECCION!D:D,$L34))</f>
        <v>COMBUSTIBLE</v>
      </c>
    </row>
    <row r="35" customFormat="false" ht="16.5" hidden="false" customHeight="true" outlineLevel="0" collapsed="false">
      <c r="B35" s="12" t="str">
        <f aca="false">IF($L35=0,"",IF($M35&lt;&gt;$M34,$M35,""))</f>
        <v>ENCENDIDO</v>
      </c>
      <c r="C35" s="5" t="str">
        <f aca="false">IF($L35=0,"",INDEX(BD_INSPECCION!E:E,$L35))</f>
        <v>INSPECCIONAR</v>
      </c>
      <c r="D35" s="9" t="str">
        <f aca="false">IF($L35=0,"",INDEX(BD_INSPECCION!F:F,$L35))</f>
        <v>BUJÍA: LIMPIAR Y CALIBRAR</v>
      </c>
      <c r="E35" s="9"/>
      <c r="F35" s="9"/>
      <c r="G35" s="5" t="str">
        <f aca="false">IF($L35=0,"","☐")</f>
        <v>☐</v>
      </c>
      <c r="H35" s="5" t="str">
        <f aca="false">IF($L35=0,"","☐")</f>
        <v>☐</v>
      </c>
      <c r="I35" s="9"/>
      <c r="J35" s="9"/>
      <c r="K35" s="1"/>
      <c r="L35" s="1" t="n">
        <f aca="false">IFERROR(MATCH($L$5&amp;"|"&amp;$C$5&amp;"|8",BD_INSPECCION!$H:$H,0),0)</f>
        <v>10</v>
      </c>
      <c r="M35" s="1" t="str">
        <f aca="false">IF($L35=0,"",INDEX(BD_INSPECCION!D:D,$L35))</f>
        <v>ENCENDIDO</v>
      </c>
    </row>
    <row r="36" customFormat="false" ht="16.5" hidden="false" customHeight="true" outlineLevel="0" collapsed="false">
      <c r="B36" s="12" t="str">
        <f aca="false">IF($L36=0,"",IF($M36&lt;&gt;$M35,$M36,""))</f>
        <v>TRANSMISIÓN</v>
      </c>
      <c r="C36" s="5" t="str">
        <f aca="false">IF($L36=0,"",INDEX(BD_INSPECCION!E:E,$L36))</f>
        <v>INSPECCIONAR</v>
      </c>
      <c r="D36" s="9" t="str">
        <f aca="false">IF($L36=0,"",INDEX(BD_INSPECCION!F:F,$L36))</f>
        <v>EMBRAGUE (JUEGO LIBRE DEL CABLE) Y CAMBIOS</v>
      </c>
      <c r="E36" s="9"/>
      <c r="F36" s="9"/>
      <c r="G36" s="5" t="str">
        <f aca="false">IF($L36=0,"","☐")</f>
        <v>☐</v>
      </c>
      <c r="H36" s="5" t="str">
        <f aca="false">IF($L36=0,"","☐")</f>
        <v>☐</v>
      </c>
      <c r="I36" s="9"/>
      <c r="J36" s="9"/>
      <c r="K36" s="1"/>
      <c r="L36" s="1" t="n">
        <f aca="false">IFERROR(MATCH($L$5&amp;"|"&amp;$C$5&amp;"|9",BD_INSPECCION!$H:$H,0),0)</f>
        <v>11</v>
      </c>
      <c r="M36" s="1" t="str">
        <f aca="false">IF($L36=0,"",INDEX(BD_INSPECCION!D:D,$L36))</f>
        <v>TRANSMISIÓN</v>
      </c>
    </row>
    <row r="37" customFormat="false" ht="16.5" hidden="false" customHeight="true" outlineLevel="0" collapsed="false">
      <c r="B37" s="12" t="str">
        <f aca="false">IF($L37=0,"",IF($M37&lt;&gt;$M36,$M37,""))</f>
        <v>CARDÁN</v>
      </c>
      <c r="C37" s="5" t="str">
        <f aca="false">IF($L37=0,"",INDEX(BD_INSPECCION!E:E,$L37))</f>
        <v>INSPECCIONAR</v>
      </c>
      <c r="D37" s="9" t="str">
        <f aca="false">IF($L37=0,"",INDEX(BD_INSPECCION!F:F,$L37))</f>
        <v>CRUCETAS (JUEGO) Y GUARDAPOLVOS</v>
      </c>
      <c r="E37" s="9"/>
      <c r="F37" s="9"/>
      <c r="G37" s="5" t="str">
        <f aca="false">IF($L37=0,"","☐")</f>
        <v>☐</v>
      </c>
      <c r="H37" s="5" t="str">
        <f aca="false">IF($L37=0,"","☐")</f>
        <v>☐</v>
      </c>
      <c r="I37" s="9"/>
      <c r="J37" s="9"/>
      <c r="K37" s="1"/>
      <c r="L37" s="1" t="n">
        <f aca="false">IFERROR(MATCH($L$5&amp;"|"&amp;$C$5&amp;"|10",BD_INSPECCION!$H:$H,0),0)</f>
        <v>12</v>
      </c>
      <c r="M37" s="1" t="str">
        <f aca="false">IF($L37=0,"",INDEX(BD_INSPECCION!D:D,$L37))</f>
        <v>CARDÁN</v>
      </c>
    </row>
    <row r="38" customFormat="false" ht="16.5" hidden="false" customHeight="true" outlineLevel="0" collapsed="false">
      <c r="B38" s="12" t="str">
        <f aca="false">IF($L38=0,"",IF($M38&lt;&gt;$M37,$M38,""))</f>
        <v/>
      </c>
      <c r="C38" s="5" t="str">
        <f aca="false">IF($L38=0,"",INDEX(BD_INSPECCION!E:E,$L38))</f>
        <v>LUBRICAR</v>
      </c>
      <c r="D38" s="9" t="str">
        <f aca="false">IF($L38=0,"",INDEX(BD_INSPECCION!F:F,$L38))</f>
        <v>CRUCETAS Y ESTRIADO DEL CARDÁN</v>
      </c>
      <c r="E38" s="9"/>
      <c r="F38" s="9"/>
      <c r="G38" s="5" t="str">
        <f aca="false">IF($L38=0,"","☐")</f>
        <v>☐</v>
      </c>
      <c r="H38" s="5" t="str">
        <f aca="false">IF($L38=0,"","☐")</f>
        <v>☐</v>
      </c>
      <c r="I38" s="9"/>
      <c r="J38" s="9"/>
      <c r="K38" s="1"/>
      <c r="L38" s="1" t="n">
        <f aca="false">IFERROR(MATCH($L$5&amp;"|"&amp;$C$5&amp;"|11",BD_INSPECCION!$H:$H,0),0)</f>
        <v>13</v>
      </c>
      <c r="M38" s="1" t="str">
        <f aca="false">IF($L38=0,"",INDEX(BD_INSPECCION!D:D,$L38))</f>
        <v>CARDÁN</v>
      </c>
    </row>
    <row r="39" customFormat="false" ht="16.5" hidden="false" customHeight="true" outlineLevel="0" collapsed="false">
      <c r="B39" s="12" t="str">
        <f aca="false">IF($L39=0,"",IF($M39&lt;&gt;$M38,$M39,""))</f>
        <v>DIFERENCIAL</v>
      </c>
      <c r="C39" s="5" t="str">
        <f aca="false">IF($L39=0,"",INDEX(BD_INSPECCION!E:E,$L39))</f>
        <v>INSPECCIONAR</v>
      </c>
      <c r="D39" s="9" t="str">
        <f aca="false">IF($L39=0,"",INDEX(BD_INSPECCION!F:F,$L39))</f>
        <v>NIVEL DE ACEITE Y FUGAS</v>
      </c>
      <c r="E39" s="9"/>
      <c r="F39" s="9"/>
      <c r="G39" s="5" t="str">
        <f aca="false">IF($L39=0,"","☐")</f>
        <v>☐</v>
      </c>
      <c r="H39" s="5" t="str">
        <f aca="false">IF($L39=0,"","☐")</f>
        <v>☐</v>
      </c>
      <c r="I39" s="9"/>
      <c r="J39" s="9"/>
      <c r="K39" s="1"/>
      <c r="L39" s="1" t="n">
        <f aca="false">IFERROR(MATCH($L$5&amp;"|"&amp;$C$5&amp;"|12",BD_INSPECCION!$H:$H,0),0)</f>
        <v>14</v>
      </c>
      <c r="M39" s="1" t="str">
        <f aca="false">IF($L39=0,"",INDEX(BD_INSPECCION!D:D,$L39))</f>
        <v>DIFERENCIAL</v>
      </c>
    </row>
    <row r="40" customFormat="false" ht="16.5" hidden="false" customHeight="true" outlineLevel="0" collapsed="false">
      <c r="B40" s="12" t="str">
        <f aca="false">IF($L40=0,"",IF($M40&lt;&gt;$M39,$M40,""))</f>
        <v/>
      </c>
      <c r="C40" s="5" t="str">
        <f aca="false">IF($L40=0,"",INDEX(BD_INSPECCION!E:E,$L40))</f>
        <v>INSPECCIONAR</v>
      </c>
      <c r="D40" s="9" t="str">
        <f aca="false">IF($L40=0,"",INDEX(BD_INSPECCION!F:F,$L40))</f>
        <v>RUIDOS Y RESPIRADERO</v>
      </c>
      <c r="E40" s="9"/>
      <c r="F40" s="9"/>
      <c r="G40" s="5" t="str">
        <f aca="false">IF($L40=0,"","☐")</f>
        <v>☐</v>
      </c>
      <c r="H40" s="5" t="str">
        <f aca="false">IF($L40=0,"","☐")</f>
        <v>☐</v>
      </c>
      <c r="I40" s="9"/>
      <c r="J40" s="9"/>
      <c r="K40" s="1"/>
      <c r="L40" s="1" t="n">
        <f aca="false">IFERROR(MATCH($L$5&amp;"|"&amp;$C$5&amp;"|13",BD_INSPECCION!$H:$H,0),0)</f>
        <v>15</v>
      </c>
      <c r="M40" s="1" t="str">
        <f aca="false">IF($L40=0,"",INDEX(BD_INSPECCION!D:D,$L40))</f>
        <v>DIFERENCIAL</v>
      </c>
    </row>
    <row r="41" customFormat="false" ht="16.5" hidden="false" customHeight="true" outlineLevel="0" collapsed="false">
      <c r="B41" s="12" t="str">
        <f aca="false">IF($L41=0,"",IF($M41&lt;&gt;$M40,$M41,""))</f>
        <v>EJES / RODAJES</v>
      </c>
      <c r="C41" s="5" t="str">
        <f aca="false">IF($L41=0,"",INDEX(BD_INSPECCION!E:E,$L41))</f>
        <v>INSPECCIONAR</v>
      </c>
      <c r="D41" s="9" t="str">
        <f aca="false">IF($L41=0,"",INDEX(BD_INSPECCION!F:F,$L41))</f>
        <v>PALIERES, RODAJES DE RUEDA Y RETENES (JUEGO, RUIDO Y FUGAS)</v>
      </c>
      <c r="E41" s="9"/>
      <c r="F41" s="9"/>
      <c r="G41" s="5" t="str">
        <f aca="false">IF($L41=0,"","☐")</f>
        <v>☐</v>
      </c>
      <c r="H41" s="5" t="str">
        <f aca="false">IF($L41=0,"","☐")</f>
        <v>☐</v>
      </c>
      <c r="I41" s="9"/>
      <c r="J41" s="9"/>
      <c r="K41" s="1"/>
      <c r="L41" s="1" t="n">
        <f aca="false">IFERROR(MATCH($L$5&amp;"|"&amp;$C$5&amp;"|14",BD_INSPECCION!$H:$H,0),0)</f>
        <v>16</v>
      </c>
      <c r="M41" s="1" t="str">
        <f aca="false">IF($L41=0,"",INDEX(BD_INSPECCION!D:D,$L41))</f>
        <v>EJES / RODAJES</v>
      </c>
    </row>
    <row r="42" customFormat="false" ht="16.5" hidden="false" customHeight="true" outlineLevel="0" collapsed="false">
      <c r="B42" s="12" t="str">
        <f aca="false">IF($L42=0,"",IF($M42&lt;&gt;$M41,$M42,""))</f>
        <v>FRENOS</v>
      </c>
      <c r="C42" s="5" t="str">
        <f aca="false">IF($L42=0,"",INDEX(BD_INSPECCION!E:E,$L42))</f>
        <v>INSPECCIONAR</v>
      </c>
      <c r="D42" s="9" t="str">
        <f aca="false">IF($L42=0,"",INDEX(BD_INSPECCION!F:F,$L42))</f>
        <v>ZAPATAS, TAMBORES, CABLES Y JUEGO LIBRE DE PALANCA Y PEDAL</v>
      </c>
      <c r="E42" s="9"/>
      <c r="F42" s="9"/>
      <c r="G42" s="5" t="str">
        <f aca="false">IF($L42=0,"","☐")</f>
        <v>☐</v>
      </c>
      <c r="H42" s="5" t="str">
        <f aca="false">IF($L42=0,"","☐")</f>
        <v>☐</v>
      </c>
      <c r="I42" s="9"/>
      <c r="J42" s="9"/>
      <c r="K42" s="1"/>
      <c r="L42" s="1" t="n">
        <f aca="false">IFERROR(MATCH($L$5&amp;"|"&amp;$C$5&amp;"|15",BD_INSPECCION!$H:$H,0),0)</f>
        <v>17</v>
      </c>
      <c r="M42" s="1" t="str">
        <f aca="false">IF($L42=0,"",INDEX(BD_INSPECCION!D:D,$L42))</f>
        <v>FRENOS</v>
      </c>
    </row>
    <row r="43" customFormat="false" ht="16.5" hidden="false" customHeight="true" outlineLevel="0" collapsed="false">
      <c r="B43" s="12" t="str">
        <f aca="false">IF($L43=0,"",IF($M43&lt;&gt;$M42,$M43,""))</f>
        <v>DIRECCIÓN</v>
      </c>
      <c r="C43" s="5" t="str">
        <f aca="false">IF($L43=0,"",INDEX(BD_INSPECCION!E:E,$L43))</f>
        <v>INSPECCIONAR</v>
      </c>
      <c r="D43" s="9" t="str">
        <f aca="false">IF($L43=0,"",INDEX(BD_INSPECCION!F:F,$L43))</f>
        <v>RODAJES DE DIRECCIÓN Y JUEGO DEL TIMÓN</v>
      </c>
      <c r="E43" s="9"/>
      <c r="F43" s="9"/>
      <c r="G43" s="5" t="str">
        <f aca="false">IF($L43=0,"","☐")</f>
        <v>☐</v>
      </c>
      <c r="H43" s="5" t="str">
        <f aca="false">IF($L43=0,"","☐")</f>
        <v>☐</v>
      </c>
      <c r="I43" s="9"/>
      <c r="J43" s="9"/>
      <c r="K43" s="1"/>
      <c r="L43" s="1" t="n">
        <f aca="false">IFERROR(MATCH($L$5&amp;"|"&amp;$C$5&amp;"|16",BD_INSPECCION!$H:$H,0),0)</f>
        <v>18</v>
      </c>
      <c r="M43" s="1" t="str">
        <f aca="false">IF($L43=0,"",INDEX(BD_INSPECCION!D:D,$L43))</f>
        <v>DIRECCIÓN</v>
      </c>
    </row>
    <row r="44" customFormat="false" ht="16.5" hidden="false" customHeight="true" outlineLevel="0" collapsed="false">
      <c r="B44" s="12" t="str">
        <f aca="false">IF($L44=0,"",IF($M44&lt;&gt;$M43,$M44,""))</f>
        <v/>
      </c>
      <c r="C44" s="5" t="str">
        <f aca="false">IF($L44=0,"",INDEX(BD_INSPECCION!E:E,$L44))</f>
        <v>LUBRICAR</v>
      </c>
      <c r="D44" s="9" t="str">
        <f aca="false">IF($L44=0,"",INDEX(BD_INSPECCION!F:F,$L44))</f>
        <v>RODAJES DE DIRECCIÓN</v>
      </c>
      <c r="E44" s="9"/>
      <c r="F44" s="9"/>
      <c r="G44" s="5" t="str">
        <f aca="false">IF($L44=0,"","☐")</f>
        <v>☐</v>
      </c>
      <c r="H44" s="5" t="str">
        <f aca="false">IF($L44=0,"","☐")</f>
        <v>☐</v>
      </c>
      <c r="I44" s="9"/>
      <c r="J44" s="9"/>
      <c r="K44" s="1"/>
      <c r="L44" s="1" t="n">
        <f aca="false">IFERROR(MATCH($L$5&amp;"|"&amp;$C$5&amp;"|17",BD_INSPECCION!$H:$H,0),0)</f>
        <v>19</v>
      </c>
      <c r="M44" s="1" t="str">
        <f aca="false">IF($L44=0,"",INDEX(BD_INSPECCION!D:D,$L44))</f>
        <v>DIRECCIÓN</v>
      </c>
    </row>
    <row r="45" customFormat="false" ht="16.5" hidden="false" customHeight="true" outlineLevel="0" collapsed="false">
      <c r="B45" s="12" t="str">
        <f aca="false">IF($L45=0,"",IF($M45&lt;&gt;$M44,$M45,""))</f>
        <v>SUSPENSIÓN DELANTERA</v>
      </c>
      <c r="C45" s="5" t="str">
        <f aca="false">IF($L45=0,"",INDEX(BD_INSPECCION!E:E,$L45))</f>
        <v>INSPECCIONAR</v>
      </c>
      <c r="D45" s="9" t="str">
        <f aca="false">IF($L45=0,"",INDEX(BD_INSPECCION!F:F,$L45))</f>
        <v>HORQUILLAS: FUGAS DE RETENES Y FUNCIONAMIENTO</v>
      </c>
      <c r="E45" s="9"/>
      <c r="F45" s="9"/>
      <c r="G45" s="5" t="str">
        <f aca="false">IF($L45=0,"","☐")</f>
        <v>☐</v>
      </c>
      <c r="H45" s="5" t="str">
        <f aca="false">IF($L45=0,"","☐")</f>
        <v>☐</v>
      </c>
      <c r="I45" s="9"/>
      <c r="J45" s="9"/>
      <c r="K45" s="1"/>
      <c r="L45" s="1" t="n">
        <f aca="false">IFERROR(MATCH($L$5&amp;"|"&amp;$C$5&amp;"|18",BD_INSPECCION!$H:$H,0),0)</f>
        <v>20</v>
      </c>
      <c r="M45" s="1" t="str">
        <f aca="false">IF($L45=0,"",INDEX(BD_INSPECCION!D:D,$L45))</f>
        <v>SUSPENSIÓN DELANTERA</v>
      </c>
    </row>
    <row r="46" customFormat="false" ht="16.5" hidden="false" customHeight="true" outlineLevel="0" collapsed="false">
      <c r="B46" s="12" t="str">
        <f aca="false">IF($L46=0,"",IF($M46&lt;&gt;$M45,$M46,""))</f>
        <v>SUSPENSIÓN TRASERA</v>
      </c>
      <c r="C46" s="5" t="str">
        <f aca="false">IF($L46=0,"",INDEX(BD_INSPECCION!E:E,$L46))</f>
        <v>INSPECCIONAR</v>
      </c>
      <c r="D46" s="9" t="str">
        <f aca="false">IF($L46=0,"",INDEX(BD_INSPECCION!F:F,$L46))</f>
        <v>MUELLES (HOJAS ROTAS), ABRAZADERAS, BUJES Y AMORTIGUADOR</v>
      </c>
      <c r="E46" s="9"/>
      <c r="F46" s="9"/>
      <c r="G46" s="5" t="str">
        <f aca="false">IF($L46=0,"","☐")</f>
        <v>☐</v>
      </c>
      <c r="H46" s="5" t="str">
        <f aca="false">IF($L46=0,"","☐")</f>
        <v>☐</v>
      </c>
      <c r="I46" s="9"/>
      <c r="J46" s="9"/>
      <c r="K46" s="1"/>
      <c r="L46" s="1" t="n">
        <f aca="false">IFERROR(MATCH($L$5&amp;"|"&amp;$C$5&amp;"|19",BD_INSPECCION!$H:$H,0),0)</f>
        <v>21</v>
      </c>
      <c r="M46" s="1" t="str">
        <f aca="false">IF($L46=0,"",INDEX(BD_INSPECCION!D:D,$L46))</f>
        <v>SUSPENSIÓN TRASERA</v>
      </c>
    </row>
    <row r="47" customFormat="false" ht="16.5" hidden="false" customHeight="true" outlineLevel="0" collapsed="false">
      <c r="B47" s="12" t="str">
        <f aca="false">IF($L47=0,"",IF($M47&lt;&gt;$M46,$M47,""))</f>
        <v>CONTROLES</v>
      </c>
      <c r="C47" s="5" t="str">
        <f aca="false">IF($L47=0,"",INDEX(BD_INSPECCION!E:E,$L47))</f>
        <v>LUBRICAR</v>
      </c>
      <c r="D47" s="9" t="str">
        <f aca="false">IF($L47=0,"",INDEX(BD_INSPECCION!F:F,$L47))</f>
        <v>MANIJAS Y CABLES DE FRENO, EMBRAGUE Y ACELERADOR</v>
      </c>
      <c r="E47" s="9"/>
      <c r="F47" s="9"/>
      <c r="G47" s="5" t="str">
        <f aca="false">IF($L47=0,"","☐")</f>
        <v>☐</v>
      </c>
      <c r="H47" s="5" t="str">
        <f aca="false">IF($L47=0,"","☐")</f>
        <v>☐</v>
      </c>
      <c r="I47" s="9"/>
      <c r="J47" s="9"/>
      <c r="K47" s="1"/>
      <c r="L47" s="1" t="n">
        <f aca="false">IFERROR(MATCH($L$5&amp;"|"&amp;$C$5&amp;"|20",BD_INSPECCION!$H:$H,0),0)</f>
        <v>22</v>
      </c>
      <c r="M47" s="1" t="str">
        <f aca="false">IF($L47=0,"",INDEX(BD_INSPECCION!D:D,$L47))</f>
        <v>CONTROLES</v>
      </c>
    </row>
    <row r="48" customFormat="false" ht="16.5" hidden="false" customHeight="true" outlineLevel="0" collapsed="false">
      <c r="B48" s="12" t="str">
        <f aca="false">IF($L48=0,"",IF($M48&lt;&gt;$M47,$M48,""))</f>
        <v>RUEDAS</v>
      </c>
      <c r="C48" s="5" t="str">
        <f aca="false">IF($L48=0,"",INDEX(BD_INSPECCION!E:E,$L48))</f>
        <v>INSPECCIONAR</v>
      </c>
      <c r="D48" s="9" t="str">
        <f aca="false">IF($L48=0,"",INDEX(BD_INSPECCION!F:F,$L48))</f>
        <v>PRESIÓN, DESGASTE DE LLANTAS Y AJUSTE DE TUERCAS</v>
      </c>
      <c r="E48" s="9"/>
      <c r="F48" s="9"/>
      <c r="G48" s="5" t="str">
        <f aca="false">IF($L48=0,"","☐")</f>
        <v>☐</v>
      </c>
      <c r="H48" s="5" t="str">
        <f aca="false">IF($L48=0,"","☐")</f>
        <v>☐</v>
      </c>
      <c r="I48" s="9"/>
      <c r="J48" s="9"/>
      <c r="K48" s="1"/>
      <c r="L48" s="1" t="n">
        <f aca="false">IFERROR(MATCH($L$5&amp;"|"&amp;$C$5&amp;"|21",BD_INSPECCION!$H:$H,0),0)</f>
        <v>23</v>
      </c>
      <c r="M48" s="1" t="str">
        <f aca="false">IF($L48=0,"",INDEX(BD_INSPECCION!D:D,$L48))</f>
        <v>RUEDAS</v>
      </c>
    </row>
    <row r="49" customFormat="false" ht="16.5" hidden="false" customHeight="true" outlineLevel="0" collapsed="false">
      <c r="B49" s="12" t="str">
        <f aca="false">IF($L49=0,"",IF($M49&lt;&gt;$M48,$M49,""))</f>
        <v>SISTEMA ELÉCTRICO</v>
      </c>
      <c r="C49" s="5" t="str">
        <f aca="false">IF($L49=0,"",INDEX(BD_INSPECCION!E:E,$L49))</f>
        <v>INSPECCIONAR</v>
      </c>
      <c r="D49" s="9" t="str">
        <f aca="false">IF($L49=0,"",INDEX(BD_INSPECCION!F:F,$L49))</f>
        <v>BATERÍA, BORNES, LUCES, CLAXON E INTERRUPTORES</v>
      </c>
      <c r="E49" s="9"/>
      <c r="F49" s="9"/>
      <c r="G49" s="5" t="str">
        <f aca="false">IF($L49=0,"","☐")</f>
        <v>☐</v>
      </c>
      <c r="H49" s="5" t="str">
        <f aca="false">IF($L49=0,"","☐")</f>
        <v>☐</v>
      </c>
      <c r="I49" s="9"/>
      <c r="J49" s="9"/>
      <c r="K49" s="1"/>
      <c r="L49" s="1" t="n">
        <f aca="false">IFERROR(MATCH($L$5&amp;"|"&amp;$C$5&amp;"|22",BD_INSPECCION!$H:$H,0),0)</f>
        <v>24</v>
      </c>
      <c r="M49" s="1" t="str">
        <f aca="false">IF($L49=0,"",INDEX(BD_INSPECCION!D:D,$L49))</f>
        <v>SISTEMA ELÉCTRICO</v>
      </c>
    </row>
    <row r="50" customFormat="false" ht="16.5" hidden="false" customHeight="true" outlineLevel="0" collapsed="false">
      <c r="B50" s="12" t="str">
        <f aca="false">IF($L50=0,"",IF($M50&lt;&gt;$M49,$M50,""))</f>
        <v>CHASIS / TOLVA</v>
      </c>
      <c r="C50" s="5" t="str">
        <f aca="false">IF($L50=0,"",INDEX(BD_INSPECCION!E:E,$L50))</f>
        <v>INSPECCIONAR</v>
      </c>
      <c r="D50" s="9" t="str">
        <f aca="false">IF($L50=0,"",INDEX(BD_INSPECCION!F:F,$L50))</f>
        <v>SOLDADURAS, PERNOS DE TOLVA Y BASTIDOR</v>
      </c>
      <c r="E50" s="9"/>
      <c r="F50" s="9"/>
      <c r="G50" s="5" t="str">
        <f aca="false">IF($L50=0,"","☐")</f>
        <v>☐</v>
      </c>
      <c r="H50" s="5" t="str">
        <f aca="false">IF($L50=0,"","☐")</f>
        <v>☐</v>
      </c>
      <c r="I50" s="9"/>
      <c r="J50" s="9"/>
      <c r="K50" s="1"/>
      <c r="L50" s="1" t="n">
        <f aca="false">IFERROR(MATCH($L$5&amp;"|"&amp;$C$5&amp;"|23",BD_INSPECCION!$H:$H,0),0)</f>
        <v>25</v>
      </c>
      <c r="M50" s="1" t="str">
        <f aca="false">IF($L50=0,"",INDEX(BD_INSPECCION!D:D,$L50))</f>
        <v>CHASIS / TOLVA</v>
      </c>
    </row>
    <row r="51" customFormat="false" ht="16.5" hidden="false" customHeight="true" outlineLevel="0" collapsed="false">
      <c r="B51" s="12" t="str">
        <f aca="false">IF($L51=0,"",IF($M51&lt;&gt;$M50,$M51,""))</f>
        <v/>
      </c>
      <c r="C51" s="5" t="str">
        <f aca="false">IF($L51=0,"",INDEX(BD_INSPECCION!E:E,$L51))</f>
        <v/>
      </c>
      <c r="D51" s="9" t="str">
        <f aca="false">IF($L51=0,"",INDEX(BD_INSPECCION!F:F,$L51))</f>
        <v/>
      </c>
      <c r="E51" s="9"/>
      <c r="F51" s="9"/>
      <c r="G51" s="5" t="str">
        <f aca="false">IF($L51=0,"","☐")</f>
        <v/>
      </c>
      <c r="H51" s="5" t="str">
        <f aca="false">IF($L51=0,"","☐")</f>
        <v/>
      </c>
      <c r="I51" s="9"/>
      <c r="J51" s="9"/>
      <c r="K51" s="1"/>
      <c r="L51" s="1" t="n">
        <f aca="false">IFERROR(MATCH($L$5&amp;"|"&amp;$C$5&amp;"|24",BD_INSPECCION!$H:$H,0),0)</f>
        <v>0</v>
      </c>
      <c r="M51" s="1" t="str">
        <f aca="false">IF($L51=0,"",INDEX(BD_INSPECCION!D:D,$L51))</f>
        <v/>
      </c>
    </row>
    <row r="52" customFormat="false" ht="16.5" hidden="false" customHeight="true" outlineLevel="0" collapsed="false">
      <c r="B52" s="12" t="str">
        <f aca="false">IF($L52=0,"",IF($M52&lt;&gt;$M51,$M52,""))</f>
        <v/>
      </c>
      <c r="C52" s="5" t="str">
        <f aca="false">IF($L52=0,"",INDEX(BD_INSPECCION!E:E,$L52))</f>
        <v/>
      </c>
      <c r="D52" s="9" t="str">
        <f aca="false">IF($L52=0,"",INDEX(BD_INSPECCION!F:F,$L52))</f>
        <v/>
      </c>
      <c r="E52" s="9"/>
      <c r="F52" s="9"/>
      <c r="G52" s="5" t="str">
        <f aca="false">IF($L52=0,"","☐")</f>
        <v/>
      </c>
      <c r="H52" s="5" t="str">
        <f aca="false">IF($L52=0,"","☐")</f>
        <v/>
      </c>
      <c r="I52" s="9"/>
      <c r="J52" s="9"/>
      <c r="K52" s="1"/>
      <c r="L52" s="1" t="n">
        <f aca="false">IFERROR(MATCH($L$5&amp;"|"&amp;$C$5&amp;"|25",BD_INSPECCION!$H:$H,0),0)</f>
        <v>0</v>
      </c>
      <c r="M52" s="1" t="str">
        <f aca="false">IF($L52=0,"",INDEX(BD_INSPECCION!D:D,$L52))</f>
        <v/>
      </c>
    </row>
    <row r="53" customFormat="false" ht="16.5" hidden="false" customHeight="true" outlineLevel="0" collapsed="false">
      <c r="B53" s="12" t="str">
        <f aca="false">IF($L53=0,"",IF($M53&lt;&gt;$M52,$M53,""))</f>
        <v/>
      </c>
      <c r="C53" s="5" t="str">
        <f aca="false">IF($L53=0,"",INDEX(BD_INSPECCION!E:E,$L53))</f>
        <v/>
      </c>
      <c r="D53" s="9" t="str">
        <f aca="false">IF($L53=0,"",INDEX(BD_INSPECCION!F:F,$L53))</f>
        <v/>
      </c>
      <c r="E53" s="9"/>
      <c r="F53" s="9"/>
      <c r="G53" s="5" t="str">
        <f aca="false">IF($L53=0,"","☐")</f>
        <v/>
      </c>
      <c r="H53" s="5" t="str">
        <f aca="false">IF($L53=0,"","☐")</f>
        <v/>
      </c>
      <c r="I53" s="9"/>
      <c r="J53" s="9"/>
      <c r="K53" s="1"/>
      <c r="L53" s="1" t="n">
        <f aca="false">IFERROR(MATCH($L$5&amp;"|"&amp;$C$5&amp;"|26",BD_INSPECCION!$H:$H,0),0)</f>
        <v>0</v>
      </c>
      <c r="M53" s="1" t="str">
        <f aca="false">IF($L53=0,"",INDEX(BD_INSPECCION!D:D,$L53))</f>
        <v/>
      </c>
    </row>
    <row r="54" customFormat="false" ht="15" hidden="false" customHeight="false" outlineLevel="0" collapsed="false">
      <c r="K54" s="1"/>
      <c r="L54" s="1"/>
      <c r="M54" s="1"/>
    </row>
    <row r="55" customFormat="false" ht="17.35" hidden="false" customHeight="false" outlineLevel="0" collapsed="false">
      <c r="B55" s="2" t="s">
        <v>51</v>
      </c>
      <c r="C55" s="2"/>
      <c r="D55" s="2"/>
      <c r="E55" s="2"/>
      <c r="F55" s="2"/>
      <c r="G55" s="2"/>
      <c r="H55" s="2"/>
      <c r="I55" s="2"/>
      <c r="J55" s="2"/>
      <c r="K55" s="1"/>
      <c r="L55" s="1"/>
      <c r="M55" s="1"/>
    </row>
    <row r="56" customFormat="false" ht="19.5" hidden="false" customHeight="true" outlineLevel="0" collapsed="false">
      <c r="B56" s="9"/>
      <c r="C56" s="9"/>
      <c r="D56" s="9"/>
      <c r="E56" s="9"/>
      <c r="F56" s="9"/>
      <c r="G56" s="9"/>
      <c r="H56" s="9"/>
      <c r="I56" s="9"/>
      <c r="J56" s="9"/>
      <c r="K56" s="1"/>
      <c r="L56" s="1"/>
      <c r="M56" s="1"/>
    </row>
    <row r="57" customFormat="false" ht="19.5" hidden="false" customHeight="true" outlineLevel="0" collapsed="false">
      <c r="B57" s="9"/>
      <c r="C57" s="9"/>
      <c r="D57" s="9"/>
      <c r="E57" s="9"/>
      <c r="F57" s="9"/>
      <c r="G57" s="9"/>
      <c r="H57" s="9"/>
      <c r="I57" s="9"/>
      <c r="J57" s="9"/>
      <c r="K57" s="1"/>
      <c r="L57" s="1"/>
      <c r="M57" s="1"/>
    </row>
    <row r="58" customFormat="false" ht="19.5" hidden="false" customHeight="true" outlineLevel="0" collapsed="false">
      <c r="B58" s="9"/>
      <c r="C58" s="9"/>
      <c r="D58" s="9"/>
      <c r="E58" s="9"/>
      <c r="F58" s="9"/>
      <c r="G58" s="9"/>
      <c r="H58" s="9"/>
      <c r="I58" s="9"/>
      <c r="J58" s="9"/>
      <c r="K58" s="1"/>
      <c r="L58" s="1"/>
      <c r="M58" s="1"/>
    </row>
    <row r="59" customFormat="false" ht="19.5" hidden="false" customHeight="true" outlineLevel="0" collapsed="false">
      <c r="B59" s="9"/>
      <c r="C59" s="9"/>
      <c r="D59" s="9"/>
      <c r="E59" s="9"/>
      <c r="F59" s="9"/>
      <c r="G59" s="9"/>
      <c r="H59" s="9"/>
      <c r="I59" s="9"/>
      <c r="J59" s="9"/>
      <c r="K59" s="1"/>
      <c r="L59" s="1"/>
      <c r="M59" s="1"/>
    </row>
    <row r="60" customFormat="false" ht="15" hidden="false" customHeight="false" outlineLevel="0" collapsed="false">
      <c r="K60" s="1"/>
      <c r="L60" s="1"/>
      <c r="M60" s="1"/>
    </row>
    <row r="61" customFormat="false" ht="15" hidden="false" customHeight="false" outlineLevel="0" collapsed="false">
      <c r="K61" s="1"/>
      <c r="L61" s="1"/>
      <c r="M61" s="1"/>
    </row>
    <row r="62" customFormat="false" ht="15" hidden="false" customHeight="false" outlineLevel="0" collapsed="false">
      <c r="B62" s="5"/>
      <c r="C62" s="5"/>
      <c r="D62" s="5"/>
      <c r="F62" s="5"/>
      <c r="G62" s="5"/>
      <c r="H62" s="5"/>
      <c r="I62" s="5"/>
      <c r="J62" s="5"/>
      <c r="K62" s="1"/>
      <c r="L62" s="1"/>
      <c r="M62" s="1"/>
    </row>
    <row r="63" customFormat="false" ht="15" hidden="false" customHeight="false" outlineLevel="0" collapsed="false">
      <c r="B63" s="5"/>
      <c r="C63" s="5"/>
      <c r="D63" s="5"/>
      <c r="F63" s="5"/>
      <c r="G63" s="5"/>
      <c r="H63" s="5"/>
      <c r="I63" s="5"/>
      <c r="J63" s="5"/>
      <c r="K63" s="1"/>
      <c r="L63" s="1"/>
      <c r="M63" s="1"/>
    </row>
    <row r="64" customFormat="false" ht="15" hidden="false" customHeight="false" outlineLevel="0" collapsed="false">
      <c r="B64" s="5"/>
      <c r="C64" s="5"/>
      <c r="D64" s="5"/>
      <c r="F64" s="5"/>
      <c r="G64" s="5"/>
      <c r="H64" s="5"/>
      <c r="I64" s="5"/>
      <c r="J64" s="5"/>
      <c r="K64" s="1"/>
      <c r="L64" s="1"/>
      <c r="M64" s="1"/>
    </row>
    <row r="65" customFormat="false" ht="15" hidden="false" customHeight="true" outlineLevel="0" collapsed="false">
      <c r="B65" s="3" t="s">
        <v>52</v>
      </c>
      <c r="C65" s="3"/>
      <c r="D65" s="3"/>
      <c r="F65" s="3" t="s">
        <v>53</v>
      </c>
      <c r="G65" s="3"/>
      <c r="H65" s="3"/>
      <c r="I65" s="3"/>
      <c r="J65" s="3"/>
      <c r="K65" s="1"/>
      <c r="L65" s="1"/>
      <c r="M65" s="1"/>
    </row>
  </sheetData>
  <mergeCells count="104">
    <mergeCell ref="B2:J2"/>
    <mergeCell ref="C4:J4"/>
    <mergeCell ref="C5:D5"/>
    <mergeCell ref="F5:G5"/>
    <mergeCell ref="H5:I5"/>
    <mergeCell ref="C6:D6"/>
    <mergeCell ref="F6:J6"/>
    <mergeCell ref="C7:D7"/>
    <mergeCell ref="F7:J7"/>
    <mergeCell ref="B9:J9"/>
    <mergeCell ref="C10:E10"/>
    <mergeCell ref="H10:I10"/>
    <mergeCell ref="C11:E11"/>
    <mergeCell ref="H11:I11"/>
    <mergeCell ref="C12:E12"/>
    <mergeCell ref="H12:I12"/>
    <mergeCell ref="C13:E13"/>
    <mergeCell ref="H13:I13"/>
    <mergeCell ref="C14:E14"/>
    <mergeCell ref="H14:I14"/>
    <mergeCell ref="C15:E15"/>
    <mergeCell ref="H15:I15"/>
    <mergeCell ref="C16:E16"/>
    <mergeCell ref="H16:I16"/>
    <mergeCell ref="C17:E17"/>
    <mergeCell ref="H17:I17"/>
    <mergeCell ref="C18:E18"/>
    <mergeCell ref="H18:I18"/>
    <mergeCell ref="C19:E19"/>
    <mergeCell ref="H19:I19"/>
    <mergeCell ref="C20:E20"/>
    <mergeCell ref="H20:I20"/>
    <mergeCell ref="C21:E21"/>
    <mergeCell ref="H21:I21"/>
    <mergeCell ref="C22:E22"/>
    <mergeCell ref="H22:I22"/>
    <mergeCell ref="C23:E23"/>
    <mergeCell ref="H23:I23"/>
    <mergeCell ref="C24:E24"/>
    <mergeCell ref="H24:I24"/>
    <mergeCell ref="B26:J26"/>
    <mergeCell ref="D27:F27"/>
    <mergeCell ref="I27:J27"/>
    <mergeCell ref="D28:F28"/>
    <mergeCell ref="I28:J28"/>
    <mergeCell ref="D29:F29"/>
    <mergeCell ref="I29:J29"/>
    <mergeCell ref="D30:F30"/>
    <mergeCell ref="I30:J30"/>
    <mergeCell ref="D31:F31"/>
    <mergeCell ref="I31:J31"/>
    <mergeCell ref="D32:F32"/>
    <mergeCell ref="I32:J32"/>
    <mergeCell ref="D33:F33"/>
    <mergeCell ref="I33:J33"/>
    <mergeCell ref="D34:F34"/>
    <mergeCell ref="I34:J34"/>
    <mergeCell ref="D35:F35"/>
    <mergeCell ref="I35:J35"/>
    <mergeCell ref="D36:F36"/>
    <mergeCell ref="I36:J36"/>
    <mergeCell ref="D37:F37"/>
    <mergeCell ref="I37:J37"/>
    <mergeCell ref="D38:F38"/>
    <mergeCell ref="I38:J38"/>
    <mergeCell ref="D39:F39"/>
    <mergeCell ref="I39:J39"/>
    <mergeCell ref="D40:F40"/>
    <mergeCell ref="I40:J40"/>
    <mergeCell ref="D41:F41"/>
    <mergeCell ref="I41:J41"/>
    <mergeCell ref="D42:F42"/>
    <mergeCell ref="I42:J42"/>
    <mergeCell ref="D43:F43"/>
    <mergeCell ref="I43:J43"/>
    <mergeCell ref="D44:F44"/>
    <mergeCell ref="I44:J44"/>
    <mergeCell ref="D45:F45"/>
    <mergeCell ref="I45:J45"/>
    <mergeCell ref="D46:F46"/>
    <mergeCell ref="I46:J46"/>
    <mergeCell ref="D47:F47"/>
    <mergeCell ref="I47:J47"/>
    <mergeCell ref="D48:F48"/>
    <mergeCell ref="I48:J48"/>
    <mergeCell ref="D49:F49"/>
    <mergeCell ref="I49:J49"/>
    <mergeCell ref="D50:F50"/>
    <mergeCell ref="I50:J50"/>
    <mergeCell ref="D51:F51"/>
    <mergeCell ref="I51:J51"/>
    <mergeCell ref="D52:F52"/>
    <mergeCell ref="I52:J52"/>
    <mergeCell ref="D53:F53"/>
    <mergeCell ref="I53:J53"/>
    <mergeCell ref="B55:J55"/>
    <mergeCell ref="B56:J56"/>
    <mergeCell ref="B57:J57"/>
    <mergeCell ref="B58:J58"/>
    <mergeCell ref="B59:J59"/>
    <mergeCell ref="B62:D64"/>
    <mergeCell ref="F62:J64"/>
    <mergeCell ref="B65:D65"/>
    <mergeCell ref="F65:J65"/>
  </mergeCells>
  <conditionalFormatting sqref="B11:B24">
    <cfRule type="expression" priority="2" aboveAverage="0" equalAverage="0" bottom="0" percent="0" rank="0" text="" dxfId="3">
      <formula>AND($L11&lt;&gt;0,$M11&lt;&gt;$M12)</formula>
    </cfRule>
    <cfRule type="expression" priority="3" aboveAverage="0" equalAverage="0" bottom="0" percent="0" rank="0" text="" dxfId="4">
      <formula>AND($L11&lt;&gt;0,NOT($M11&lt;&gt;$M12))</formula>
    </cfRule>
    <cfRule type="expression" priority="4" aboveAverage="0" equalAverage="0" bottom="0" percent="0" rank="0" text="" dxfId="5">
      <formula>NOT($L11&lt;&gt;0)</formula>
    </cfRule>
  </conditionalFormatting>
  <conditionalFormatting sqref="B28:B53">
    <cfRule type="expression" priority="5" aboveAverage="0" equalAverage="0" bottom="0" percent="0" rank="0" text="" dxfId="3">
      <formula>AND($L28&lt;&gt;0,$M28&lt;&gt;$M29)</formula>
    </cfRule>
    <cfRule type="expression" priority="6" aboveAverage="0" equalAverage="0" bottom="0" percent="0" rank="0" text="" dxfId="4">
      <formula>AND($L28&lt;&gt;0,NOT($M28&lt;&gt;$M29))</formula>
    </cfRule>
    <cfRule type="expression" priority="7" aboveAverage="0" equalAverage="0" bottom="0" percent="0" rank="0" text="" dxfId="5">
      <formula>NOT($L28&lt;&gt;0)</formula>
    </cfRule>
  </conditionalFormatting>
  <dataValidations count="2">
    <dataValidation allowBlank="false" errorStyle="stop" operator="between" showDropDown="false" showErrorMessage="false" showInputMessage="false" sqref="C4" type="list">
      <formula1>EQUIPOS!$T$3:$T$18</formula1>
      <formula2>0</formula2>
    </dataValidation>
    <dataValidation allowBlank="false" errorStyle="stop" operator="between" showDropDown="false" showErrorMessage="false" showInputMessage="false" sqref="C5" type="list">
      <formula1>OFFSET(BD_CICLO!$D$1,MATCH($L$5,BD_CICLO!$B:$B,0)-1,0,COUNTIF(BD_CICLO!$B:$B,$L$5),1)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O20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46"/>
    <col collapsed="false" customWidth="true" hidden="false" outlineLevel="0" max="5" min="5" style="0" width="30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22"/>
    <col collapsed="false" customWidth="true" hidden="false" outlineLevel="0" max="9" min="9" style="0" width="12"/>
    <col collapsed="false" customWidth="true" hidden="false" outlineLevel="0" max="10" min="10" style="0" width="22"/>
    <col collapsed="false" customWidth="true" hidden="false" outlineLevel="0" max="11" min="11" style="0" width="12"/>
    <col collapsed="false" customWidth="true" hidden="false" outlineLevel="0" max="12" min="12" style="0" width="40"/>
    <col collapsed="false" customWidth="true" hidden="false" outlineLevel="0" max="13" min="13" style="0" width="50"/>
    <col collapsed="false" customWidth="true" hidden="true" outlineLevel="0" max="15" min="14" style="0" width="13"/>
  </cols>
  <sheetData>
    <row r="2" customFormat="false" ht="23.85" hidden="false" customHeight="false" outlineLevel="0" collapsed="false">
      <c r="B2" s="3" t="s">
        <v>19</v>
      </c>
      <c r="C2" s="3" t="s">
        <v>3</v>
      </c>
      <c r="D2" s="3" t="s">
        <v>1</v>
      </c>
      <c r="E2" s="3" t="s">
        <v>15</v>
      </c>
      <c r="F2" s="3" t="s">
        <v>4</v>
      </c>
      <c r="G2" s="3" t="s">
        <v>54</v>
      </c>
      <c r="H2" s="3" t="s">
        <v>55</v>
      </c>
      <c r="I2" s="3" t="s">
        <v>38</v>
      </c>
      <c r="J2" s="3" t="s">
        <v>40</v>
      </c>
      <c r="K2" s="3" t="s">
        <v>56</v>
      </c>
      <c r="L2" s="3" t="s">
        <v>57</v>
      </c>
      <c r="M2" s="3" t="s">
        <v>58</v>
      </c>
    </row>
    <row r="3" customFormat="false" ht="15" hidden="false" customHeight="false" outlineLevel="0" collapsed="false">
      <c r="B3" s="7"/>
      <c r="C3" s="5"/>
      <c r="D3" s="9" t="str">
        <f aca="false">IF(C3="","",IFERROR(VLOOKUP(C3,EQUIPOS!$B$3:$C$18,2,0),"NO EXISTE"))</f>
        <v/>
      </c>
      <c r="E3" s="9" t="str">
        <f aca="false">IF(C3="","",IFERROR(VLOOKUP(C3,EQUIPOS!$B$3:$F$18,5,0),""))</f>
        <v/>
      </c>
      <c r="F3" s="5" t="str">
        <f aca="false">IF(C3="","",IFERROR(VLOOKUP(C3,EQUIPOS!$B$3:$G$18,6,0),""))</f>
        <v/>
      </c>
      <c r="G3" s="8"/>
      <c r="H3" s="5"/>
      <c r="I3" s="5"/>
      <c r="J3" s="9"/>
      <c r="K3" s="17" t="str">
        <f aca="false">IF(H3="","",IFERROR(SUMIFS(BD_PLAN!$I$3:$I$312,BD_PLAN!$B$3:$B$312,E3,BD_PLAN!$C$3:$C$312,INDEX(BD_CICLO!$F$3:$F$54,MATCH(E3&amp;"|"&amp;H3,BD_CICLO!$G$3:$G$54,0))),""))</f>
        <v/>
      </c>
      <c r="L3" s="9"/>
      <c r="M3" s="9"/>
      <c r="N3" s="1" t="str">
        <f aca="false">IF(C3="","",C3&amp;"|"&amp;COUNTIF(C$3:C3,C3))</f>
        <v/>
      </c>
      <c r="O3" s="1" t="str">
        <f aca="false">IF(OR(C3="",M3=""),"",C3&amp;"|"&amp;COUNTIFS(C$3:C3,C3,M$3:M3,"&lt;&gt;"))</f>
        <v/>
      </c>
    </row>
    <row r="4" customFormat="false" ht="15" hidden="false" customHeight="false" outlineLevel="0" collapsed="false">
      <c r="B4" s="7"/>
      <c r="C4" s="5"/>
      <c r="D4" s="9" t="str">
        <f aca="false">IF(C4="","",IFERROR(VLOOKUP(C4,EQUIPOS!$B$3:$C$18,2,0),"NO EXISTE"))</f>
        <v/>
      </c>
      <c r="E4" s="9" t="str">
        <f aca="false">IF(C4="","",IFERROR(VLOOKUP(C4,EQUIPOS!$B$3:$F$18,5,0),""))</f>
        <v/>
      </c>
      <c r="F4" s="5" t="str">
        <f aca="false">IF(C4="","",IFERROR(VLOOKUP(C4,EQUIPOS!$B$3:$G$18,6,0),""))</f>
        <v/>
      </c>
      <c r="G4" s="8"/>
      <c r="H4" s="5"/>
      <c r="I4" s="5"/>
      <c r="J4" s="9"/>
      <c r="K4" s="17" t="str">
        <f aca="false">IF(H4="","",IFERROR(SUMIFS(BD_PLAN!$I$3:$I$312,BD_PLAN!$B$3:$B$312,E4,BD_PLAN!$C$3:$C$312,INDEX(BD_CICLO!$F$3:$F$54,MATCH(E4&amp;"|"&amp;H4,BD_CICLO!$G$3:$G$54,0))),""))</f>
        <v/>
      </c>
      <c r="L4" s="9"/>
      <c r="M4" s="9"/>
      <c r="N4" s="1" t="str">
        <f aca="false">IF(C4="","",C4&amp;"|"&amp;COUNTIF(C$3:C4,C4))</f>
        <v/>
      </c>
      <c r="O4" s="1" t="str">
        <f aca="false">IF(OR(C4="",M4=""),"",C4&amp;"|"&amp;COUNTIFS(C$3:C4,C4,M$3:M4,"&lt;&gt;"))</f>
        <v/>
      </c>
    </row>
    <row r="5" customFormat="false" ht="15" hidden="false" customHeight="false" outlineLevel="0" collapsed="false">
      <c r="B5" s="7"/>
      <c r="C5" s="5"/>
      <c r="D5" s="9" t="str">
        <f aca="false">IF(C5="","",IFERROR(VLOOKUP(C5,EQUIPOS!$B$3:$C$18,2,0),"NO EXISTE"))</f>
        <v/>
      </c>
      <c r="E5" s="9" t="str">
        <f aca="false">IF(C5="","",IFERROR(VLOOKUP(C5,EQUIPOS!$B$3:$F$18,5,0),""))</f>
        <v/>
      </c>
      <c r="F5" s="5" t="str">
        <f aca="false">IF(C5="","",IFERROR(VLOOKUP(C5,EQUIPOS!$B$3:$G$18,6,0),""))</f>
        <v/>
      </c>
      <c r="G5" s="8"/>
      <c r="H5" s="5"/>
      <c r="I5" s="5"/>
      <c r="J5" s="9"/>
      <c r="K5" s="17" t="str">
        <f aca="false">IF(H5="","",IFERROR(SUMIFS(BD_PLAN!$I$3:$I$312,BD_PLAN!$B$3:$B$312,E5,BD_PLAN!$C$3:$C$312,INDEX(BD_CICLO!$F$3:$F$54,MATCH(E5&amp;"|"&amp;H5,BD_CICLO!$G$3:$G$54,0))),""))</f>
        <v/>
      </c>
      <c r="L5" s="9"/>
      <c r="M5" s="9"/>
      <c r="N5" s="1" t="str">
        <f aca="false">IF(C5="","",C5&amp;"|"&amp;COUNTIF(C$3:C5,C5))</f>
        <v/>
      </c>
      <c r="O5" s="1" t="str">
        <f aca="false">IF(OR(C5="",M5=""),"",C5&amp;"|"&amp;COUNTIFS(C$3:C5,C5,M$3:M5,"&lt;&gt;"))</f>
        <v/>
      </c>
    </row>
    <row r="6" customFormat="false" ht="15" hidden="false" customHeight="false" outlineLevel="0" collapsed="false">
      <c r="B6" s="7"/>
      <c r="C6" s="5"/>
      <c r="D6" s="9" t="str">
        <f aca="false">IF(C6="","",IFERROR(VLOOKUP(C6,EQUIPOS!$B$3:$C$18,2,0),"NO EXISTE"))</f>
        <v/>
      </c>
      <c r="E6" s="9" t="str">
        <f aca="false">IF(C6="","",IFERROR(VLOOKUP(C6,EQUIPOS!$B$3:$F$18,5,0),""))</f>
        <v/>
      </c>
      <c r="F6" s="5" t="str">
        <f aca="false">IF(C6="","",IFERROR(VLOOKUP(C6,EQUIPOS!$B$3:$G$18,6,0),""))</f>
        <v/>
      </c>
      <c r="G6" s="8"/>
      <c r="H6" s="5"/>
      <c r="I6" s="5"/>
      <c r="J6" s="9"/>
      <c r="K6" s="17" t="str">
        <f aca="false">IF(H6="","",IFERROR(SUMIFS(BD_PLAN!$I$3:$I$312,BD_PLAN!$B$3:$B$312,E6,BD_PLAN!$C$3:$C$312,INDEX(BD_CICLO!$F$3:$F$54,MATCH(E6&amp;"|"&amp;H6,BD_CICLO!$G$3:$G$54,0))),""))</f>
        <v/>
      </c>
      <c r="L6" s="9"/>
      <c r="M6" s="9"/>
      <c r="N6" s="1" t="str">
        <f aca="false">IF(C6="","",C6&amp;"|"&amp;COUNTIF(C$3:C6,C6))</f>
        <v/>
      </c>
      <c r="O6" s="1" t="str">
        <f aca="false">IF(OR(C6="",M6=""),"",C6&amp;"|"&amp;COUNTIFS(C$3:C6,C6,M$3:M6,"&lt;&gt;"))</f>
        <v/>
      </c>
    </row>
    <row r="7" customFormat="false" ht="15" hidden="false" customHeight="false" outlineLevel="0" collapsed="false">
      <c r="B7" s="7"/>
      <c r="C7" s="5"/>
      <c r="D7" s="9" t="str">
        <f aca="false">IF(C7="","",IFERROR(VLOOKUP(C7,EQUIPOS!$B$3:$C$18,2,0),"NO EXISTE"))</f>
        <v/>
      </c>
      <c r="E7" s="9" t="str">
        <f aca="false">IF(C7="","",IFERROR(VLOOKUP(C7,EQUIPOS!$B$3:$F$18,5,0),""))</f>
        <v/>
      </c>
      <c r="F7" s="5" t="str">
        <f aca="false">IF(C7="","",IFERROR(VLOOKUP(C7,EQUIPOS!$B$3:$G$18,6,0),""))</f>
        <v/>
      </c>
      <c r="G7" s="8"/>
      <c r="H7" s="5"/>
      <c r="I7" s="5"/>
      <c r="J7" s="9"/>
      <c r="K7" s="17" t="str">
        <f aca="false">IF(H7="","",IFERROR(SUMIFS(BD_PLAN!$I$3:$I$312,BD_PLAN!$B$3:$B$312,E7,BD_PLAN!$C$3:$C$312,INDEX(BD_CICLO!$F$3:$F$54,MATCH(E7&amp;"|"&amp;H7,BD_CICLO!$G$3:$G$54,0))),""))</f>
        <v/>
      </c>
      <c r="L7" s="9"/>
      <c r="M7" s="9"/>
      <c r="N7" s="1" t="str">
        <f aca="false">IF(C7="","",C7&amp;"|"&amp;COUNTIF(C$3:C7,C7))</f>
        <v/>
      </c>
      <c r="O7" s="1" t="str">
        <f aca="false">IF(OR(C7="",M7=""),"",C7&amp;"|"&amp;COUNTIFS(C$3:C7,C7,M$3:M7,"&lt;&gt;"))</f>
        <v/>
      </c>
    </row>
    <row r="8" customFormat="false" ht="15" hidden="false" customHeight="false" outlineLevel="0" collapsed="false">
      <c r="B8" s="7"/>
      <c r="C8" s="5"/>
      <c r="D8" s="9" t="str">
        <f aca="false">IF(C8="","",IFERROR(VLOOKUP(C8,EQUIPOS!$B$3:$C$18,2,0),"NO EXISTE"))</f>
        <v/>
      </c>
      <c r="E8" s="9" t="str">
        <f aca="false">IF(C8="","",IFERROR(VLOOKUP(C8,EQUIPOS!$B$3:$F$18,5,0),""))</f>
        <v/>
      </c>
      <c r="F8" s="5" t="str">
        <f aca="false">IF(C8="","",IFERROR(VLOOKUP(C8,EQUIPOS!$B$3:$G$18,6,0),""))</f>
        <v/>
      </c>
      <c r="G8" s="8"/>
      <c r="H8" s="5"/>
      <c r="I8" s="5"/>
      <c r="J8" s="9"/>
      <c r="K8" s="17" t="str">
        <f aca="false">IF(H8="","",IFERROR(SUMIFS(BD_PLAN!$I$3:$I$312,BD_PLAN!$B$3:$B$312,E8,BD_PLAN!$C$3:$C$312,INDEX(BD_CICLO!$F$3:$F$54,MATCH(E8&amp;"|"&amp;H8,BD_CICLO!$G$3:$G$54,0))),""))</f>
        <v/>
      </c>
      <c r="L8" s="9"/>
      <c r="M8" s="9"/>
      <c r="N8" s="1" t="str">
        <f aca="false">IF(C8="","",C8&amp;"|"&amp;COUNTIF(C$3:C8,C8))</f>
        <v/>
      </c>
      <c r="O8" s="1" t="str">
        <f aca="false">IF(OR(C8="",M8=""),"",C8&amp;"|"&amp;COUNTIFS(C$3:C8,C8,M$3:M8,"&lt;&gt;"))</f>
        <v/>
      </c>
    </row>
    <row r="9" customFormat="false" ht="15" hidden="false" customHeight="false" outlineLevel="0" collapsed="false">
      <c r="B9" s="7"/>
      <c r="C9" s="5"/>
      <c r="D9" s="9" t="str">
        <f aca="false">IF(C9="","",IFERROR(VLOOKUP(C9,EQUIPOS!$B$3:$C$18,2,0),"NO EXISTE"))</f>
        <v/>
      </c>
      <c r="E9" s="9" t="str">
        <f aca="false">IF(C9="","",IFERROR(VLOOKUP(C9,EQUIPOS!$B$3:$F$18,5,0),""))</f>
        <v/>
      </c>
      <c r="F9" s="5" t="str">
        <f aca="false">IF(C9="","",IFERROR(VLOOKUP(C9,EQUIPOS!$B$3:$G$18,6,0),""))</f>
        <v/>
      </c>
      <c r="G9" s="8"/>
      <c r="H9" s="5"/>
      <c r="I9" s="5"/>
      <c r="J9" s="9"/>
      <c r="K9" s="17" t="str">
        <f aca="false">IF(H9="","",IFERROR(SUMIFS(BD_PLAN!$I$3:$I$312,BD_PLAN!$B$3:$B$312,E9,BD_PLAN!$C$3:$C$312,INDEX(BD_CICLO!$F$3:$F$54,MATCH(E9&amp;"|"&amp;H9,BD_CICLO!$G$3:$G$54,0))),""))</f>
        <v/>
      </c>
      <c r="L9" s="9"/>
      <c r="M9" s="9"/>
      <c r="N9" s="1" t="str">
        <f aca="false">IF(C9="","",C9&amp;"|"&amp;COUNTIF(C$3:C9,C9))</f>
        <v/>
      </c>
      <c r="O9" s="1" t="str">
        <f aca="false">IF(OR(C9="",M9=""),"",C9&amp;"|"&amp;COUNTIFS(C$3:C9,C9,M$3:M9,"&lt;&gt;"))</f>
        <v/>
      </c>
    </row>
    <row r="10" customFormat="false" ht="15" hidden="false" customHeight="false" outlineLevel="0" collapsed="false">
      <c r="B10" s="7"/>
      <c r="C10" s="5"/>
      <c r="D10" s="9" t="str">
        <f aca="false">IF(C10="","",IFERROR(VLOOKUP(C10,EQUIPOS!$B$3:$C$18,2,0),"NO EXISTE"))</f>
        <v/>
      </c>
      <c r="E10" s="9" t="str">
        <f aca="false">IF(C10="","",IFERROR(VLOOKUP(C10,EQUIPOS!$B$3:$F$18,5,0),""))</f>
        <v/>
      </c>
      <c r="F10" s="5" t="str">
        <f aca="false">IF(C10="","",IFERROR(VLOOKUP(C10,EQUIPOS!$B$3:$G$18,6,0),""))</f>
        <v/>
      </c>
      <c r="G10" s="8"/>
      <c r="H10" s="5"/>
      <c r="I10" s="5"/>
      <c r="J10" s="9"/>
      <c r="K10" s="17" t="str">
        <f aca="false">IF(H10="","",IFERROR(SUMIFS(BD_PLAN!$I$3:$I$312,BD_PLAN!$B$3:$B$312,E10,BD_PLAN!$C$3:$C$312,INDEX(BD_CICLO!$F$3:$F$54,MATCH(E10&amp;"|"&amp;H10,BD_CICLO!$G$3:$G$54,0))),""))</f>
        <v/>
      </c>
      <c r="L10" s="9"/>
      <c r="M10" s="9"/>
      <c r="N10" s="1" t="str">
        <f aca="false">IF(C10="","",C10&amp;"|"&amp;COUNTIF(C$3:C10,C10))</f>
        <v/>
      </c>
      <c r="O10" s="1" t="str">
        <f aca="false">IF(OR(C10="",M10=""),"",C10&amp;"|"&amp;COUNTIFS(C$3:C10,C10,M$3:M10,"&lt;&gt;"))</f>
        <v/>
      </c>
    </row>
    <row r="11" customFormat="false" ht="15" hidden="false" customHeight="false" outlineLevel="0" collapsed="false">
      <c r="B11" s="7"/>
      <c r="C11" s="5"/>
      <c r="D11" s="9" t="str">
        <f aca="false">IF(C11="","",IFERROR(VLOOKUP(C11,EQUIPOS!$B$3:$C$18,2,0),"NO EXISTE"))</f>
        <v/>
      </c>
      <c r="E11" s="9" t="str">
        <f aca="false">IF(C11="","",IFERROR(VLOOKUP(C11,EQUIPOS!$B$3:$F$18,5,0),""))</f>
        <v/>
      </c>
      <c r="F11" s="5" t="str">
        <f aca="false">IF(C11="","",IFERROR(VLOOKUP(C11,EQUIPOS!$B$3:$G$18,6,0),""))</f>
        <v/>
      </c>
      <c r="G11" s="8"/>
      <c r="H11" s="5"/>
      <c r="I11" s="5"/>
      <c r="J11" s="9"/>
      <c r="K11" s="17" t="str">
        <f aca="false">IF(H11="","",IFERROR(SUMIFS(BD_PLAN!$I$3:$I$312,BD_PLAN!$B$3:$B$312,E11,BD_PLAN!$C$3:$C$312,INDEX(BD_CICLO!$F$3:$F$54,MATCH(E11&amp;"|"&amp;H11,BD_CICLO!$G$3:$G$54,0))),""))</f>
        <v/>
      </c>
      <c r="L11" s="9"/>
      <c r="M11" s="9"/>
      <c r="N11" s="1" t="str">
        <f aca="false">IF(C11="","",C11&amp;"|"&amp;COUNTIF(C$3:C11,C11))</f>
        <v/>
      </c>
      <c r="O11" s="1" t="str">
        <f aca="false">IF(OR(C11="",M11=""),"",C11&amp;"|"&amp;COUNTIFS(C$3:C11,C11,M$3:M11,"&lt;&gt;"))</f>
        <v/>
      </c>
    </row>
    <row r="12" customFormat="false" ht="15" hidden="false" customHeight="false" outlineLevel="0" collapsed="false">
      <c r="B12" s="7"/>
      <c r="C12" s="5"/>
      <c r="D12" s="9" t="str">
        <f aca="false">IF(C12="","",IFERROR(VLOOKUP(C12,EQUIPOS!$B$3:$C$18,2,0),"NO EXISTE"))</f>
        <v/>
      </c>
      <c r="E12" s="9" t="str">
        <f aca="false">IF(C12="","",IFERROR(VLOOKUP(C12,EQUIPOS!$B$3:$F$18,5,0),""))</f>
        <v/>
      </c>
      <c r="F12" s="5" t="str">
        <f aca="false">IF(C12="","",IFERROR(VLOOKUP(C12,EQUIPOS!$B$3:$G$18,6,0),""))</f>
        <v/>
      </c>
      <c r="G12" s="8"/>
      <c r="H12" s="5"/>
      <c r="I12" s="5"/>
      <c r="J12" s="9"/>
      <c r="K12" s="17" t="str">
        <f aca="false">IF(H12="","",IFERROR(SUMIFS(BD_PLAN!$I$3:$I$312,BD_PLAN!$B$3:$B$312,E12,BD_PLAN!$C$3:$C$312,INDEX(BD_CICLO!$F$3:$F$54,MATCH(E12&amp;"|"&amp;H12,BD_CICLO!$G$3:$G$54,0))),""))</f>
        <v/>
      </c>
      <c r="L12" s="9"/>
      <c r="M12" s="9"/>
      <c r="N12" s="1" t="str">
        <f aca="false">IF(C12="","",C12&amp;"|"&amp;COUNTIF(C$3:C12,C12))</f>
        <v/>
      </c>
      <c r="O12" s="1" t="str">
        <f aca="false">IF(OR(C12="",M12=""),"",C12&amp;"|"&amp;COUNTIFS(C$3:C12,C12,M$3:M12,"&lt;&gt;"))</f>
        <v/>
      </c>
    </row>
    <row r="13" customFormat="false" ht="15" hidden="false" customHeight="false" outlineLevel="0" collapsed="false">
      <c r="B13" s="7"/>
      <c r="C13" s="5"/>
      <c r="D13" s="9" t="str">
        <f aca="false">IF(C13="","",IFERROR(VLOOKUP(C13,EQUIPOS!$B$3:$C$18,2,0),"NO EXISTE"))</f>
        <v/>
      </c>
      <c r="E13" s="9" t="str">
        <f aca="false">IF(C13="","",IFERROR(VLOOKUP(C13,EQUIPOS!$B$3:$F$18,5,0),""))</f>
        <v/>
      </c>
      <c r="F13" s="5" t="str">
        <f aca="false">IF(C13="","",IFERROR(VLOOKUP(C13,EQUIPOS!$B$3:$G$18,6,0),""))</f>
        <v/>
      </c>
      <c r="G13" s="8"/>
      <c r="H13" s="5"/>
      <c r="I13" s="5"/>
      <c r="J13" s="9"/>
      <c r="K13" s="17" t="str">
        <f aca="false">IF(H13="","",IFERROR(SUMIFS(BD_PLAN!$I$3:$I$312,BD_PLAN!$B$3:$B$312,E13,BD_PLAN!$C$3:$C$312,INDEX(BD_CICLO!$F$3:$F$54,MATCH(E13&amp;"|"&amp;H13,BD_CICLO!$G$3:$G$54,0))),""))</f>
        <v/>
      </c>
      <c r="L13" s="9"/>
      <c r="M13" s="9"/>
      <c r="N13" s="1" t="str">
        <f aca="false">IF(C13="","",C13&amp;"|"&amp;COUNTIF(C$3:C13,C13))</f>
        <v/>
      </c>
      <c r="O13" s="1" t="str">
        <f aca="false">IF(OR(C13="",M13=""),"",C13&amp;"|"&amp;COUNTIFS(C$3:C13,C13,M$3:M13,"&lt;&gt;"))</f>
        <v/>
      </c>
    </row>
    <row r="14" customFormat="false" ht="15" hidden="false" customHeight="false" outlineLevel="0" collapsed="false">
      <c r="B14" s="7"/>
      <c r="C14" s="5"/>
      <c r="D14" s="9" t="str">
        <f aca="false">IF(C14="","",IFERROR(VLOOKUP(C14,EQUIPOS!$B$3:$C$18,2,0),"NO EXISTE"))</f>
        <v/>
      </c>
      <c r="E14" s="9" t="str">
        <f aca="false">IF(C14="","",IFERROR(VLOOKUP(C14,EQUIPOS!$B$3:$F$18,5,0),""))</f>
        <v/>
      </c>
      <c r="F14" s="5" t="str">
        <f aca="false">IF(C14="","",IFERROR(VLOOKUP(C14,EQUIPOS!$B$3:$G$18,6,0),""))</f>
        <v/>
      </c>
      <c r="G14" s="8"/>
      <c r="H14" s="5"/>
      <c r="I14" s="5"/>
      <c r="J14" s="9"/>
      <c r="K14" s="17" t="str">
        <f aca="false">IF(H14="","",IFERROR(SUMIFS(BD_PLAN!$I$3:$I$312,BD_PLAN!$B$3:$B$312,E14,BD_PLAN!$C$3:$C$312,INDEX(BD_CICLO!$F$3:$F$54,MATCH(E14&amp;"|"&amp;H14,BD_CICLO!$G$3:$G$54,0))),""))</f>
        <v/>
      </c>
      <c r="L14" s="9"/>
      <c r="M14" s="9"/>
      <c r="N14" s="1" t="str">
        <f aca="false">IF(C14="","",C14&amp;"|"&amp;COUNTIF(C$3:C14,C14))</f>
        <v/>
      </c>
      <c r="O14" s="1" t="str">
        <f aca="false">IF(OR(C14="",M14=""),"",C14&amp;"|"&amp;COUNTIFS(C$3:C14,C14,M$3:M14,"&lt;&gt;"))</f>
        <v/>
      </c>
    </row>
    <row r="15" customFormat="false" ht="15" hidden="false" customHeight="false" outlineLevel="0" collapsed="false">
      <c r="B15" s="7"/>
      <c r="C15" s="5"/>
      <c r="D15" s="9" t="str">
        <f aca="false">IF(C15="","",IFERROR(VLOOKUP(C15,EQUIPOS!$B$3:$C$18,2,0),"NO EXISTE"))</f>
        <v/>
      </c>
      <c r="E15" s="9" t="str">
        <f aca="false">IF(C15="","",IFERROR(VLOOKUP(C15,EQUIPOS!$B$3:$F$18,5,0),""))</f>
        <v/>
      </c>
      <c r="F15" s="5" t="str">
        <f aca="false">IF(C15="","",IFERROR(VLOOKUP(C15,EQUIPOS!$B$3:$G$18,6,0),""))</f>
        <v/>
      </c>
      <c r="G15" s="8"/>
      <c r="H15" s="5"/>
      <c r="I15" s="5"/>
      <c r="J15" s="9"/>
      <c r="K15" s="17" t="str">
        <f aca="false">IF(H15="","",IFERROR(SUMIFS(BD_PLAN!$I$3:$I$312,BD_PLAN!$B$3:$B$312,E15,BD_PLAN!$C$3:$C$312,INDEX(BD_CICLO!$F$3:$F$54,MATCH(E15&amp;"|"&amp;H15,BD_CICLO!$G$3:$G$54,0))),""))</f>
        <v/>
      </c>
      <c r="L15" s="9"/>
      <c r="M15" s="9"/>
      <c r="N15" s="1" t="str">
        <f aca="false">IF(C15="","",C15&amp;"|"&amp;COUNTIF(C$3:C15,C15))</f>
        <v/>
      </c>
      <c r="O15" s="1" t="str">
        <f aca="false">IF(OR(C15="",M15=""),"",C15&amp;"|"&amp;COUNTIFS(C$3:C15,C15,M$3:M15,"&lt;&gt;"))</f>
        <v/>
      </c>
    </row>
    <row r="16" customFormat="false" ht="15" hidden="false" customHeight="false" outlineLevel="0" collapsed="false">
      <c r="B16" s="7"/>
      <c r="C16" s="5"/>
      <c r="D16" s="9" t="str">
        <f aca="false">IF(C16="","",IFERROR(VLOOKUP(C16,EQUIPOS!$B$3:$C$18,2,0),"NO EXISTE"))</f>
        <v/>
      </c>
      <c r="E16" s="9" t="str">
        <f aca="false">IF(C16="","",IFERROR(VLOOKUP(C16,EQUIPOS!$B$3:$F$18,5,0),""))</f>
        <v/>
      </c>
      <c r="F16" s="5" t="str">
        <f aca="false">IF(C16="","",IFERROR(VLOOKUP(C16,EQUIPOS!$B$3:$G$18,6,0),""))</f>
        <v/>
      </c>
      <c r="G16" s="8"/>
      <c r="H16" s="5"/>
      <c r="I16" s="5"/>
      <c r="J16" s="9"/>
      <c r="K16" s="17" t="str">
        <f aca="false">IF(H16="","",IFERROR(SUMIFS(BD_PLAN!$I$3:$I$312,BD_PLAN!$B$3:$B$312,E16,BD_PLAN!$C$3:$C$312,INDEX(BD_CICLO!$F$3:$F$54,MATCH(E16&amp;"|"&amp;H16,BD_CICLO!$G$3:$G$54,0))),""))</f>
        <v/>
      </c>
      <c r="L16" s="9"/>
      <c r="M16" s="9"/>
      <c r="N16" s="1" t="str">
        <f aca="false">IF(C16="","",C16&amp;"|"&amp;COUNTIF(C$3:C16,C16))</f>
        <v/>
      </c>
      <c r="O16" s="1" t="str">
        <f aca="false">IF(OR(C16="",M16=""),"",C16&amp;"|"&amp;COUNTIFS(C$3:C16,C16,M$3:M16,"&lt;&gt;"))</f>
        <v/>
      </c>
    </row>
    <row r="17" customFormat="false" ht="15" hidden="false" customHeight="false" outlineLevel="0" collapsed="false">
      <c r="B17" s="7"/>
      <c r="C17" s="5"/>
      <c r="D17" s="9" t="str">
        <f aca="false">IF(C17="","",IFERROR(VLOOKUP(C17,EQUIPOS!$B$3:$C$18,2,0),"NO EXISTE"))</f>
        <v/>
      </c>
      <c r="E17" s="9" t="str">
        <f aca="false">IF(C17="","",IFERROR(VLOOKUP(C17,EQUIPOS!$B$3:$F$18,5,0),""))</f>
        <v/>
      </c>
      <c r="F17" s="5" t="str">
        <f aca="false">IF(C17="","",IFERROR(VLOOKUP(C17,EQUIPOS!$B$3:$G$18,6,0),""))</f>
        <v/>
      </c>
      <c r="G17" s="8"/>
      <c r="H17" s="5"/>
      <c r="I17" s="5"/>
      <c r="J17" s="9"/>
      <c r="K17" s="17" t="str">
        <f aca="false">IF(H17="","",IFERROR(SUMIFS(BD_PLAN!$I$3:$I$312,BD_PLAN!$B$3:$B$312,E17,BD_PLAN!$C$3:$C$312,INDEX(BD_CICLO!$F$3:$F$54,MATCH(E17&amp;"|"&amp;H17,BD_CICLO!$G$3:$G$54,0))),""))</f>
        <v/>
      </c>
      <c r="L17" s="9"/>
      <c r="M17" s="9"/>
      <c r="N17" s="1" t="str">
        <f aca="false">IF(C17="","",C17&amp;"|"&amp;COUNTIF(C$3:C17,C17))</f>
        <v/>
      </c>
      <c r="O17" s="1" t="str">
        <f aca="false">IF(OR(C17="",M17=""),"",C17&amp;"|"&amp;COUNTIFS(C$3:C17,C17,M$3:M17,"&lt;&gt;"))</f>
        <v/>
      </c>
    </row>
    <row r="18" customFormat="false" ht="15" hidden="false" customHeight="false" outlineLevel="0" collapsed="false">
      <c r="B18" s="7"/>
      <c r="C18" s="5"/>
      <c r="D18" s="9" t="str">
        <f aca="false">IF(C18="","",IFERROR(VLOOKUP(C18,EQUIPOS!$B$3:$C$18,2,0),"NO EXISTE"))</f>
        <v/>
      </c>
      <c r="E18" s="9" t="str">
        <f aca="false">IF(C18="","",IFERROR(VLOOKUP(C18,EQUIPOS!$B$3:$F$18,5,0),""))</f>
        <v/>
      </c>
      <c r="F18" s="5" t="str">
        <f aca="false">IF(C18="","",IFERROR(VLOOKUP(C18,EQUIPOS!$B$3:$G$18,6,0),""))</f>
        <v/>
      </c>
      <c r="G18" s="8"/>
      <c r="H18" s="5"/>
      <c r="I18" s="5"/>
      <c r="J18" s="9"/>
      <c r="K18" s="17" t="str">
        <f aca="false">IF(H18="","",IFERROR(SUMIFS(BD_PLAN!$I$3:$I$312,BD_PLAN!$B$3:$B$312,E18,BD_PLAN!$C$3:$C$312,INDEX(BD_CICLO!$F$3:$F$54,MATCH(E18&amp;"|"&amp;H18,BD_CICLO!$G$3:$G$54,0))),""))</f>
        <v/>
      </c>
      <c r="L18" s="9"/>
      <c r="M18" s="9"/>
      <c r="N18" s="1" t="str">
        <f aca="false">IF(C18="","",C18&amp;"|"&amp;COUNTIF(C$3:C18,C18))</f>
        <v/>
      </c>
      <c r="O18" s="1" t="str">
        <f aca="false">IF(OR(C18="",M18=""),"",C18&amp;"|"&amp;COUNTIFS(C$3:C18,C18,M$3:M18,"&lt;&gt;"))</f>
        <v/>
      </c>
    </row>
    <row r="19" customFormat="false" ht="15" hidden="false" customHeight="false" outlineLevel="0" collapsed="false">
      <c r="B19" s="7"/>
      <c r="C19" s="5"/>
      <c r="D19" s="9" t="str">
        <f aca="false">IF(C19="","",IFERROR(VLOOKUP(C19,EQUIPOS!$B$3:$C$18,2,0),"NO EXISTE"))</f>
        <v/>
      </c>
      <c r="E19" s="9" t="str">
        <f aca="false">IF(C19="","",IFERROR(VLOOKUP(C19,EQUIPOS!$B$3:$F$18,5,0),""))</f>
        <v/>
      </c>
      <c r="F19" s="5" t="str">
        <f aca="false">IF(C19="","",IFERROR(VLOOKUP(C19,EQUIPOS!$B$3:$G$18,6,0),""))</f>
        <v/>
      </c>
      <c r="G19" s="8"/>
      <c r="H19" s="5"/>
      <c r="I19" s="5"/>
      <c r="J19" s="9"/>
      <c r="K19" s="17" t="str">
        <f aca="false">IF(H19="","",IFERROR(SUMIFS(BD_PLAN!$I$3:$I$312,BD_PLAN!$B$3:$B$312,E19,BD_PLAN!$C$3:$C$312,INDEX(BD_CICLO!$F$3:$F$54,MATCH(E19&amp;"|"&amp;H19,BD_CICLO!$G$3:$G$54,0))),""))</f>
        <v/>
      </c>
      <c r="L19" s="9"/>
      <c r="M19" s="9"/>
      <c r="N19" s="1" t="str">
        <f aca="false">IF(C19="","",C19&amp;"|"&amp;COUNTIF(C$3:C19,C19))</f>
        <v/>
      </c>
      <c r="O19" s="1" t="str">
        <f aca="false">IF(OR(C19="",M19=""),"",C19&amp;"|"&amp;COUNTIFS(C$3:C19,C19,M$3:M19,"&lt;&gt;"))</f>
        <v/>
      </c>
    </row>
    <row r="20" customFormat="false" ht="15" hidden="false" customHeight="false" outlineLevel="0" collapsed="false">
      <c r="B20" s="7"/>
      <c r="C20" s="5"/>
      <c r="D20" s="9" t="str">
        <f aca="false">IF(C20="","",IFERROR(VLOOKUP(C20,EQUIPOS!$B$3:$C$18,2,0),"NO EXISTE"))</f>
        <v/>
      </c>
      <c r="E20" s="9" t="str">
        <f aca="false">IF(C20="","",IFERROR(VLOOKUP(C20,EQUIPOS!$B$3:$F$18,5,0),""))</f>
        <v/>
      </c>
      <c r="F20" s="5" t="str">
        <f aca="false">IF(C20="","",IFERROR(VLOOKUP(C20,EQUIPOS!$B$3:$G$18,6,0),""))</f>
        <v/>
      </c>
      <c r="G20" s="8"/>
      <c r="H20" s="5"/>
      <c r="I20" s="5"/>
      <c r="J20" s="9"/>
      <c r="K20" s="17" t="str">
        <f aca="false">IF(H20="","",IFERROR(SUMIFS(BD_PLAN!$I$3:$I$312,BD_PLAN!$B$3:$B$312,E20,BD_PLAN!$C$3:$C$312,INDEX(BD_CICLO!$F$3:$F$54,MATCH(E20&amp;"|"&amp;H20,BD_CICLO!$G$3:$G$54,0))),""))</f>
        <v/>
      </c>
      <c r="L20" s="9"/>
      <c r="M20" s="9"/>
      <c r="N20" s="1" t="str">
        <f aca="false">IF(C20="","",C20&amp;"|"&amp;COUNTIF(C$3:C20,C20))</f>
        <v/>
      </c>
      <c r="O20" s="1" t="str">
        <f aca="false">IF(OR(C20="",M20=""),"",C20&amp;"|"&amp;COUNTIFS(C$3:C20,C20,M$3:M20,"&lt;&gt;"))</f>
        <v/>
      </c>
    </row>
    <row r="21" customFormat="false" ht="15" hidden="false" customHeight="false" outlineLevel="0" collapsed="false">
      <c r="B21" s="7"/>
      <c r="C21" s="5"/>
      <c r="D21" s="9" t="str">
        <f aca="false">IF(C21="","",IFERROR(VLOOKUP(C21,EQUIPOS!$B$3:$C$18,2,0),"NO EXISTE"))</f>
        <v/>
      </c>
      <c r="E21" s="9" t="str">
        <f aca="false">IF(C21="","",IFERROR(VLOOKUP(C21,EQUIPOS!$B$3:$F$18,5,0),""))</f>
        <v/>
      </c>
      <c r="F21" s="5" t="str">
        <f aca="false">IF(C21="","",IFERROR(VLOOKUP(C21,EQUIPOS!$B$3:$G$18,6,0),""))</f>
        <v/>
      </c>
      <c r="G21" s="8"/>
      <c r="H21" s="5"/>
      <c r="I21" s="5"/>
      <c r="J21" s="9"/>
      <c r="K21" s="17" t="str">
        <f aca="false">IF(H21="","",IFERROR(SUMIFS(BD_PLAN!$I$3:$I$312,BD_PLAN!$B$3:$B$312,E21,BD_PLAN!$C$3:$C$312,INDEX(BD_CICLO!$F$3:$F$54,MATCH(E21&amp;"|"&amp;H21,BD_CICLO!$G$3:$G$54,0))),""))</f>
        <v/>
      </c>
      <c r="L21" s="9"/>
      <c r="M21" s="9"/>
      <c r="N21" s="1" t="str">
        <f aca="false">IF(C21="","",C21&amp;"|"&amp;COUNTIF(C$3:C21,C21))</f>
        <v/>
      </c>
      <c r="O21" s="1" t="str">
        <f aca="false">IF(OR(C21="",M21=""),"",C21&amp;"|"&amp;COUNTIFS(C$3:C21,C21,M$3:M21,"&lt;&gt;"))</f>
        <v/>
      </c>
    </row>
    <row r="22" customFormat="false" ht="15" hidden="false" customHeight="false" outlineLevel="0" collapsed="false">
      <c r="B22" s="7"/>
      <c r="C22" s="5"/>
      <c r="D22" s="9" t="str">
        <f aca="false">IF(C22="","",IFERROR(VLOOKUP(C22,EQUIPOS!$B$3:$C$18,2,0),"NO EXISTE"))</f>
        <v/>
      </c>
      <c r="E22" s="9" t="str">
        <f aca="false">IF(C22="","",IFERROR(VLOOKUP(C22,EQUIPOS!$B$3:$F$18,5,0),""))</f>
        <v/>
      </c>
      <c r="F22" s="5" t="str">
        <f aca="false">IF(C22="","",IFERROR(VLOOKUP(C22,EQUIPOS!$B$3:$G$18,6,0),""))</f>
        <v/>
      </c>
      <c r="G22" s="8"/>
      <c r="H22" s="5"/>
      <c r="I22" s="5"/>
      <c r="J22" s="9"/>
      <c r="K22" s="17" t="str">
        <f aca="false">IF(H22="","",IFERROR(SUMIFS(BD_PLAN!$I$3:$I$312,BD_PLAN!$B$3:$B$312,E22,BD_PLAN!$C$3:$C$312,INDEX(BD_CICLO!$F$3:$F$54,MATCH(E22&amp;"|"&amp;H22,BD_CICLO!$G$3:$G$54,0))),""))</f>
        <v/>
      </c>
      <c r="L22" s="9"/>
      <c r="M22" s="9"/>
      <c r="N22" s="1" t="str">
        <f aca="false">IF(C22="","",C22&amp;"|"&amp;COUNTIF(C$3:C22,C22))</f>
        <v/>
      </c>
      <c r="O22" s="1" t="str">
        <f aca="false">IF(OR(C22="",M22=""),"",C22&amp;"|"&amp;COUNTIFS(C$3:C22,C22,M$3:M22,"&lt;&gt;"))</f>
        <v/>
      </c>
    </row>
    <row r="23" customFormat="false" ht="15" hidden="false" customHeight="false" outlineLevel="0" collapsed="false">
      <c r="B23" s="7"/>
      <c r="C23" s="5"/>
      <c r="D23" s="9" t="str">
        <f aca="false">IF(C23="","",IFERROR(VLOOKUP(C23,EQUIPOS!$B$3:$C$18,2,0),"NO EXISTE"))</f>
        <v/>
      </c>
      <c r="E23" s="9" t="str">
        <f aca="false">IF(C23="","",IFERROR(VLOOKUP(C23,EQUIPOS!$B$3:$F$18,5,0),""))</f>
        <v/>
      </c>
      <c r="F23" s="5" t="str">
        <f aca="false">IF(C23="","",IFERROR(VLOOKUP(C23,EQUIPOS!$B$3:$G$18,6,0),""))</f>
        <v/>
      </c>
      <c r="G23" s="8"/>
      <c r="H23" s="5"/>
      <c r="I23" s="5"/>
      <c r="J23" s="9"/>
      <c r="K23" s="17" t="str">
        <f aca="false">IF(H23="","",IFERROR(SUMIFS(BD_PLAN!$I$3:$I$312,BD_PLAN!$B$3:$B$312,E23,BD_PLAN!$C$3:$C$312,INDEX(BD_CICLO!$F$3:$F$54,MATCH(E23&amp;"|"&amp;H23,BD_CICLO!$G$3:$G$54,0))),""))</f>
        <v/>
      </c>
      <c r="L23" s="9"/>
      <c r="M23" s="9"/>
      <c r="N23" s="1" t="str">
        <f aca="false">IF(C23="","",C23&amp;"|"&amp;COUNTIF(C$3:C23,C23))</f>
        <v/>
      </c>
      <c r="O23" s="1" t="str">
        <f aca="false">IF(OR(C23="",M23=""),"",C23&amp;"|"&amp;COUNTIFS(C$3:C23,C23,M$3:M23,"&lt;&gt;"))</f>
        <v/>
      </c>
    </row>
    <row r="24" customFormat="false" ht="15" hidden="false" customHeight="false" outlineLevel="0" collapsed="false">
      <c r="B24" s="7"/>
      <c r="C24" s="5"/>
      <c r="D24" s="9" t="str">
        <f aca="false">IF(C24="","",IFERROR(VLOOKUP(C24,EQUIPOS!$B$3:$C$18,2,0),"NO EXISTE"))</f>
        <v/>
      </c>
      <c r="E24" s="9" t="str">
        <f aca="false">IF(C24="","",IFERROR(VLOOKUP(C24,EQUIPOS!$B$3:$F$18,5,0),""))</f>
        <v/>
      </c>
      <c r="F24" s="5" t="str">
        <f aca="false">IF(C24="","",IFERROR(VLOOKUP(C24,EQUIPOS!$B$3:$G$18,6,0),""))</f>
        <v/>
      </c>
      <c r="G24" s="8"/>
      <c r="H24" s="5"/>
      <c r="I24" s="5"/>
      <c r="J24" s="9"/>
      <c r="K24" s="17" t="str">
        <f aca="false">IF(H24="","",IFERROR(SUMIFS(BD_PLAN!$I$3:$I$312,BD_PLAN!$B$3:$B$312,E24,BD_PLAN!$C$3:$C$312,INDEX(BD_CICLO!$F$3:$F$54,MATCH(E24&amp;"|"&amp;H24,BD_CICLO!$G$3:$G$54,0))),""))</f>
        <v/>
      </c>
      <c r="L24" s="9"/>
      <c r="M24" s="9"/>
      <c r="N24" s="1" t="str">
        <f aca="false">IF(C24="","",C24&amp;"|"&amp;COUNTIF(C$3:C24,C24))</f>
        <v/>
      </c>
      <c r="O24" s="1" t="str">
        <f aca="false">IF(OR(C24="",M24=""),"",C24&amp;"|"&amp;COUNTIFS(C$3:C24,C24,M$3:M24,"&lt;&gt;"))</f>
        <v/>
      </c>
    </row>
    <row r="25" customFormat="false" ht="15" hidden="false" customHeight="false" outlineLevel="0" collapsed="false">
      <c r="B25" s="7"/>
      <c r="C25" s="5"/>
      <c r="D25" s="9" t="str">
        <f aca="false">IF(C25="","",IFERROR(VLOOKUP(C25,EQUIPOS!$B$3:$C$18,2,0),"NO EXISTE"))</f>
        <v/>
      </c>
      <c r="E25" s="9" t="str">
        <f aca="false">IF(C25="","",IFERROR(VLOOKUP(C25,EQUIPOS!$B$3:$F$18,5,0),""))</f>
        <v/>
      </c>
      <c r="F25" s="5" t="str">
        <f aca="false">IF(C25="","",IFERROR(VLOOKUP(C25,EQUIPOS!$B$3:$G$18,6,0),""))</f>
        <v/>
      </c>
      <c r="G25" s="8"/>
      <c r="H25" s="5"/>
      <c r="I25" s="5"/>
      <c r="J25" s="9"/>
      <c r="K25" s="17" t="str">
        <f aca="false">IF(H25="","",IFERROR(SUMIFS(BD_PLAN!$I$3:$I$312,BD_PLAN!$B$3:$B$312,E25,BD_PLAN!$C$3:$C$312,INDEX(BD_CICLO!$F$3:$F$54,MATCH(E25&amp;"|"&amp;H25,BD_CICLO!$G$3:$G$54,0))),""))</f>
        <v/>
      </c>
      <c r="L25" s="9"/>
      <c r="M25" s="9"/>
      <c r="N25" s="1" t="str">
        <f aca="false">IF(C25="","",C25&amp;"|"&amp;COUNTIF(C$3:C25,C25))</f>
        <v/>
      </c>
      <c r="O25" s="1" t="str">
        <f aca="false">IF(OR(C25="",M25=""),"",C25&amp;"|"&amp;COUNTIFS(C$3:C25,C25,M$3:M25,"&lt;&gt;"))</f>
        <v/>
      </c>
    </row>
    <row r="26" customFormat="false" ht="15" hidden="false" customHeight="false" outlineLevel="0" collapsed="false">
      <c r="B26" s="7"/>
      <c r="C26" s="5"/>
      <c r="D26" s="9" t="str">
        <f aca="false">IF(C26="","",IFERROR(VLOOKUP(C26,EQUIPOS!$B$3:$C$18,2,0),"NO EXISTE"))</f>
        <v/>
      </c>
      <c r="E26" s="9" t="str">
        <f aca="false">IF(C26="","",IFERROR(VLOOKUP(C26,EQUIPOS!$B$3:$F$18,5,0),""))</f>
        <v/>
      </c>
      <c r="F26" s="5" t="str">
        <f aca="false">IF(C26="","",IFERROR(VLOOKUP(C26,EQUIPOS!$B$3:$G$18,6,0),""))</f>
        <v/>
      </c>
      <c r="G26" s="8"/>
      <c r="H26" s="5"/>
      <c r="I26" s="5"/>
      <c r="J26" s="9"/>
      <c r="K26" s="17" t="str">
        <f aca="false">IF(H26="","",IFERROR(SUMIFS(BD_PLAN!$I$3:$I$312,BD_PLAN!$B$3:$B$312,E26,BD_PLAN!$C$3:$C$312,INDEX(BD_CICLO!$F$3:$F$54,MATCH(E26&amp;"|"&amp;H26,BD_CICLO!$G$3:$G$54,0))),""))</f>
        <v/>
      </c>
      <c r="L26" s="9"/>
      <c r="M26" s="9"/>
      <c r="N26" s="1" t="str">
        <f aca="false">IF(C26="","",C26&amp;"|"&amp;COUNTIF(C$3:C26,C26))</f>
        <v/>
      </c>
      <c r="O26" s="1" t="str">
        <f aca="false">IF(OR(C26="",M26=""),"",C26&amp;"|"&amp;COUNTIFS(C$3:C26,C26,M$3:M26,"&lt;&gt;"))</f>
        <v/>
      </c>
    </row>
    <row r="27" customFormat="false" ht="15" hidden="false" customHeight="false" outlineLevel="0" collapsed="false">
      <c r="B27" s="7"/>
      <c r="C27" s="5"/>
      <c r="D27" s="9" t="str">
        <f aca="false">IF(C27="","",IFERROR(VLOOKUP(C27,EQUIPOS!$B$3:$C$18,2,0),"NO EXISTE"))</f>
        <v/>
      </c>
      <c r="E27" s="9" t="str">
        <f aca="false">IF(C27="","",IFERROR(VLOOKUP(C27,EQUIPOS!$B$3:$F$18,5,0),""))</f>
        <v/>
      </c>
      <c r="F27" s="5" t="str">
        <f aca="false">IF(C27="","",IFERROR(VLOOKUP(C27,EQUIPOS!$B$3:$G$18,6,0),""))</f>
        <v/>
      </c>
      <c r="G27" s="8"/>
      <c r="H27" s="5"/>
      <c r="I27" s="5"/>
      <c r="J27" s="9"/>
      <c r="K27" s="17" t="str">
        <f aca="false">IF(H27="","",IFERROR(SUMIFS(BD_PLAN!$I$3:$I$312,BD_PLAN!$B$3:$B$312,E27,BD_PLAN!$C$3:$C$312,INDEX(BD_CICLO!$F$3:$F$54,MATCH(E27&amp;"|"&amp;H27,BD_CICLO!$G$3:$G$54,0))),""))</f>
        <v/>
      </c>
      <c r="L27" s="9"/>
      <c r="M27" s="9"/>
      <c r="N27" s="1" t="str">
        <f aca="false">IF(C27="","",C27&amp;"|"&amp;COUNTIF(C$3:C27,C27))</f>
        <v/>
      </c>
      <c r="O27" s="1" t="str">
        <f aca="false">IF(OR(C27="",M27=""),"",C27&amp;"|"&amp;COUNTIFS(C$3:C27,C27,M$3:M27,"&lt;&gt;"))</f>
        <v/>
      </c>
    </row>
    <row r="28" customFormat="false" ht="15" hidden="false" customHeight="false" outlineLevel="0" collapsed="false">
      <c r="B28" s="7"/>
      <c r="C28" s="5"/>
      <c r="D28" s="9" t="str">
        <f aca="false">IF(C28="","",IFERROR(VLOOKUP(C28,EQUIPOS!$B$3:$C$18,2,0),"NO EXISTE"))</f>
        <v/>
      </c>
      <c r="E28" s="9" t="str">
        <f aca="false">IF(C28="","",IFERROR(VLOOKUP(C28,EQUIPOS!$B$3:$F$18,5,0),""))</f>
        <v/>
      </c>
      <c r="F28" s="5" t="str">
        <f aca="false">IF(C28="","",IFERROR(VLOOKUP(C28,EQUIPOS!$B$3:$G$18,6,0),""))</f>
        <v/>
      </c>
      <c r="G28" s="8"/>
      <c r="H28" s="5"/>
      <c r="I28" s="5"/>
      <c r="J28" s="9"/>
      <c r="K28" s="17" t="str">
        <f aca="false">IF(H28="","",IFERROR(SUMIFS(BD_PLAN!$I$3:$I$312,BD_PLAN!$B$3:$B$312,E28,BD_PLAN!$C$3:$C$312,INDEX(BD_CICLO!$F$3:$F$54,MATCH(E28&amp;"|"&amp;H28,BD_CICLO!$G$3:$G$54,0))),""))</f>
        <v/>
      </c>
      <c r="L28" s="9"/>
      <c r="M28" s="9"/>
      <c r="N28" s="1" t="str">
        <f aca="false">IF(C28="","",C28&amp;"|"&amp;COUNTIF(C$3:C28,C28))</f>
        <v/>
      </c>
      <c r="O28" s="1" t="str">
        <f aca="false">IF(OR(C28="",M28=""),"",C28&amp;"|"&amp;COUNTIFS(C$3:C28,C28,M$3:M28,"&lt;&gt;"))</f>
        <v/>
      </c>
    </row>
    <row r="29" customFormat="false" ht="15" hidden="false" customHeight="false" outlineLevel="0" collapsed="false">
      <c r="B29" s="7"/>
      <c r="C29" s="5"/>
      <c r="D29" s="9" t="str">
        <f aca="false">IF(C29="","",IFERROR(VLOOKUP(C29,EQUIPOS!$B$3:$C$18,2,0),"NO EXISTE"))</f>
        <v/>
      </c>
      <c r="E29" s="9" t="str">
        <f aca="false">IF(C29="","",IFERROR(VLOOKUP(C29,EQUIPOS!$B$3:$F$18,5,0),""))</f>
        <v/>
      </c>
      <c r="F29" s="5" t="str">
        <f aca="false">IF(C29="","",IFERROR(VLOOKUP(C29,EQUIPOS!$B$3:$G$18,6,0),""))</f>
        <v/>
      </c>
      <c r="G29" s="8"/>
      <c r="H29" s="5"/>
      <c r="I29" s="5"/>
      <c r="J29" s="9"/>
      <c r="K29" s="17" t="str">
        <f aca="false">IF(H29="","",IFERROR(SUMIFS(BD_PLAN!$I$3:$I$312,BD_PLAN!$B$3:$B$312,E29,BD_PLAN!$C$3:$C$312,INDEX(BD_CICLO!$F$3:$F$54,MATCH(E29&amp;"|"&amp;H29,BD_CICLO!$G$3:$G$54,0))),""))</f>
        <v/>
      </c>
      <c r="L29" s="9"/>
      <c r="M29" s="9"/>
      <c r="N29" s="1" t="str">
        <f aca="false">IF(C29="","",C29&amp;"|"&amp;COUNTIF(C$3:C29,C29))</f>
        <v/>
      </c>
      <c r="O29" s="1" t="str">
        <f aca="false">IF(OR(C29="",M29=""),"",C29&amp;"|"&amp;COUNTIFS(C$3:C29,C29,M$3:M29,"&lt;&gt;"))</f>
        <v/>
      </c>
    </row>
    <row r="30" customFormat="false" ht="15" hidden="false" customHeight="false" outlineLevel="0" collapsed="false">
      <c r="B30" s="7"/>
      <c r="C30" s="5"/>
      <c r="D30" s="9" t="str">
        <f aca="false">IF(C30="","",IFERROR(VLOOKUP(C30,EQUIPOS!$B$3:$C$18,2,0),"NO EXISTE"))</f>
        <v/>
      </c>
      <c r="E30" s="9" t="str">
        <f aca="false">IF(C30="","",IFERROR(VLOOKUP(C30,EQUIPOS!$B$3:$F$18,5,0),""))</f>
        <v/>
      </c>
      <c r="F30" s="5" t="str">
        <f aca="false">IF(C30="","",IFERROR(VLOOKUP(C30,EQUIPOS!$B$3:$G$18,6,0),""))</f>
        <v/>
      </c>
      <c r="G30" s="8"/>
      <c r="H30" s="5"/>
      <c r="I30" s="5"/>
      <c r="J30" s="9"/>
      <c r="K30" s="17" t="str">
        <f aca="false">IF(H30="","",IFERROR(SUMIFS(BD_PLAN!$I$3:$I$312,BD_PLAN!$B$3:$B$312,E30,BD_PLAN!$C$3:$C$312,INDEX(BD_CICLO!$F$3:$F$54,MATCH(E30&amp;"|"&amp;H30,BD_CICLO!$G$3:$G$54,0))),""))</f>
        <v/>
      </c>
      <c r="L30" s="9"/>
      <c r="M30" s="9"/>
      <c r="N30" s="1" t="str">
        <f aca="false">IF(C30="","",C30&amp;"|"&amp;COUNTIF(C$3:C30,C30))</f>
        <v/>
      </c>
      <c r="O30" s="1" t="str">
        <f aca="false">IF(OR(C30="",M30=""),"",C30&amp;"|"&amp;COUNTIFS(C$3:C30,C30,M$3:M30,"&lt;&gt;"))</f>
        <v/>
      </c>
    </row>
    <row r="31" customFormat="false" ht="15" hidden="false" customHeight="false" outlineLevel="0" collapsed="false">
      <c r="B31" s="7"/>
      <c r="C31" s="5"/>
      <c r="D31" s="9" t="str">
        <f aca="false">IF(C31="","",IFERROR(VLOOKUP(C31,EQUIPOS!$B$3:$C$18,2,0),"NO EXISTE"))</f>
        <v/>
      </c>
      <c r="E31" s="9" t="str">
        <f aca="false">IF(C31="","",IFERROR(VLOOKUP(C31,EQUIPOS!$B$3:$F$18,5,0),""))</f>
        <v/>
      </c>
      <c r="F31" s="5" t="str">
        <f aca="false">IF(C31="","",IFERROR(VLOOKUP(C31,EQUIPOS!$B$3:$G$18,6,0),""))</f>
        <v/>
      </c>
      <c r="G31" s="8"/>
      <c r="H31" s="5"/>
      <c r="I31" s="5"/>
      <c r="J31" s="9"/>
      <c r="K31" s="17" t="str">
        <f aca="false">IF(H31="","",IFERROR(SUMIFS(BD_PLAN!$I$3:$I$312,BD_PLAN!$B$3:$B$312,E31,BD_PLAN!$C$3:$C$312,INDEX(BD_CICLO!$F$3:$F$54,MATCH(E31&amp;"|"&amp;H31,BD_CICLO!$G$3:$G$54,0))),""))</f>
        <v/>
      </c>
      <c r="L31" s="9"/>
      <c r="M31" s="9"/>
      <c r="N31" s="1" t="str">
        <f aca="false">IF(C31="","",C31&amp;"|"&amp;COUNTIF(C$3:C31,C31))</f>
        <v/>
      </c>
      <c r="O31" s="1" t="str">
        <f aca="false">IF(OR(C31="",M31=""),"",C31&amp;"|"&amp;COUNTIFS(C$3:C31,C31,M$3:M31,"&lt;&gt;"))</f>
        <v/>
      </c>
    </row>
    <row r="32" customFormat="false" ht="15" hidden="false" customHeight="false" outlineLevel="0" collapsed="false">
      <c r="B32" s="7"/>
      <c r="C32" s="5"/>
      <c r="D32" s="9" t="str">
        <f aca="false">IF(C32="","",IFERROR(VLOOKUP(C32,EQUIPOS!$B$3:$C$18,2,0),"NO EXISTE"))</f>
        <v/>
      </c>
      <c r="E32" s="9" t="str">
        <f aca="false">IF(C32="","",IFERROR(VLOOKUP(C32,EQUIPOS!$B$3:$F$18,5,0),""))</f>
        <v/>
      </c>
      <c r="F32" s="5" t="str">
        <f aca="false">IF(C32="","",IFERROR(VLOOKUP(C32,EQUIPOS!$B$3:$G$18,6,0),""))</f>
        <v/>
      </c>
      <c r="G32" s="8"/>
      <c r="H32" s="5"/>
      <c r="I32" s="5"/>
      <c r="J32" s="9"/>
      <c r="K32" s="17" t="str">
        <f aca="false">IF(H32="","",IFERROR(SUMIFS(BD_PLAN!$I$3:$I$312,BD_PLAN!$B$3:$B$312,E32,BD_PLAN!$C$3:$C$312,INDEX(BD_CICLO!$F$3:$F$54,MATCH(E32&amp;"|"&amp;H32,BD_CICLO!$G$3:$G$54,0))),""))</f>
        <v/>
      </c>
      <c r="L32" s="9"/>
      <c r="M32" s="9"/>
      <c r="N32" s="1" t="str">
        <f aca="false">IF(C32="","",C32&amp;"|"&amp;COUNTIF(C$3:C32,C32))</f>
        <v/>
      </c>
      <c r="O32" s="1" t="str">
        <f aca="false">IF(OR(C32="",M32=""),"",C32&amp;"|"&amp;COUNTIFS(C$3:C32,C32,M$3:M32,"&lt;&gt;"))</f>
        <v/>
      </c>
    </row>
    <row r="33" customFormat="false" ht="15" hidden="false" customHeight="false" outlineLevel="0" collapsed="false">
      <c r="B33" s="7"/>
      <c r="C33" s="5"/>
      <c r="D33" s="9" t="str">
        <f aca="false">IF(C33="","",IFERROR(VLOOKUP(C33,EQUIPOS!$B$3:$C$18,2,0),"NO EXISTE"))</f>
        <v/>
      </c>
      <c r="E33" s="9" t="str">
        <f aca="false">IF(C33="","",IFERROR(VLOOKUP(C33,EQUIPOS!$B$3:$F$18,5,0),""))</f>
        <v/>
      </c>
      <c r="F33" s="5" t="str">
        <f aca="false">IF(C33="","",IFERROR(VLOOKUP(C33,EQUIPOS!$B$3:$G$18,6,0),""))</f>
        <v/>
      </c>
      <c r="G33" s="8"/>
      <c r="H33" s="5"/>
      <c r="I33" s="5"/>
      <c r="J33" s="9"/>
      <c r="K33" s="17" t="str">
        <f aca="false">IF(H33="","",IFERROR(SUMIFS(BD_PLAN!$I$3:$I$312,BD_PLAN!$B$3:$B$312,E33,BD_PLAN!$C$3:$C$312,INDEX(BD_CICLO!$F$3:$F$54,MATCH(E33&amp;"|"&amp;H33,BD_CICLO!$G$3:$G$54,0))),""))</f>
        <v/>
      </c>
      <c r="L33" s="9"/>
      <c r="M33" s="9"/>
      <c r="N33" s="1" t="str">
        <f aca="false">IF(C33="","",C33&amp;"|"&amp;COUNTIF(C$3:C33,C33))</f>
        <v/>
      </c>
      <c r="O33" s="1" t="str">
        <f aca="false">IF(OR(C33="",M33=""),"",C33&amp;"|"&amp;COUNTIFS(C$3:C33,C33,M$3:M33,"&lt;&gt;"))</f>
        <v/>
      </c>
    </row>
    <row r="34" customFormat="false" ht="15" hidden="false" customHeight="false" outlineLevel="0" collapsed="false">
      <c r="B34" s="7"/>
      <c r="C34" s="5"/>
      <c r="D34" s="9" t="str">
        <f aca="false">IF(C34="","",IFERROR(VLOOKUP(C34,EQUIPOS!$B$3:$C$18,2,0),"NO EXISTE"))</f>
        <v/>
      </c>
      <c r="E34" s="9" t="str">
        <f aca="false">IF(C34="","",IFERROR(VLOOKUP(C34,EQUIPOS!$B$3:$F$18,5,0),""))</f>
        <v/>
      </c>
      <c r="F34" s="5" t="str">
        <f aca="false">IF(C34="","",IFERROR(VLOOKUP(C34,EQUIPOS!$B$3:$G$18,6,0),""))</f>
        <v/>
      </c>
      <c r="G34" s="8"/>
      <c r="H34" s="5"/>
      <c r="I34" s="5"/>
      <c r="J34" s="9"/>
      <c r="K34" s="17" t="str">
        <f aca="false">IF(H34="","",IFERROR(SUMIFS(BD_PLAN!$I$3:$I$312,BD_PLAN!$B$3:$B$312,E34,BD_PLAN!$C$3:$C$312,INDEX(BD_CICLO!$F$3:$F$54,MATCH(E34&amp;"|"&amp;H34,BD_CICLO!$G$3:$G$54,0))),""))</f>
        <v/>
      </c>
      <c r="L34" s="9"/>
      <c r="M34" s="9"/>
      <c r="N34" s="1" t="str">
        <f aca="false">IF(C34="","",C34&amp;"|"&amp;COUNTIF(C$3:C34,C34))</f>
        <v/>
      </c>
      <c r="O34" s="1" t="str">
        <f aca="false">IF(OR(C34="",M34=""),"",C34&amp;"|"&amp;COUNTIFS(C$3:C34,C34,M$3:M34,"&lt;&gt;"))</f>
        <v/>
      </c>
    </row>
    <row r="35" customFormat="false" ht="15" hidden="false" customHeight="false" outlineLevel="0" collapsed="false">
      <c r="B35" s="7"/>
      <c r="C35" s="5"/>
      <c r="D35" s="9" t="str">
        <f aca="false">IF(C35="","",IFERROR(VLOOKUP(C35,EQUIPOS!$B$3:$C$18,2,0),"NO EXISTE"))</f>
        <v/>
      </c>
      <c r="E35" s="9" t="str">
        <f aca="false">IF(C35="","",IFERROR(VLOOKUP(C35,EQUIPOS!$B$3:$F$18,5,0),""))</f>
        <v/>
      </c>
      <c r="F35" s="5" t="str">
        <f aca="false">IF(C35="","",IFERROR(VLOOKUP(C35,EQUIPOS!$B$3:$G$18,6,0),""))</f>
        <v/>
      </c>
      <c r="G35" s="8"/>
      <c r="H35" s="5"/>
      <c r="I35" s="5"/>
      <c r="J35" s="9"/>
      <c r="K35" s="17" t="str">
        <f aca="false">IF(H35="","",IFERROR(SUMIFS(BD_PLAN!$I$3:$I$312,BD_PLAN!$B$3:$B$312,E35,BD_PLAN!$C$3:$C$312,INDEX(BD_CICLO!$F$3:$F$54,MATCH(E35&amp;"|"&amp;H35,BD_CICLO!$G$3:$G$54,0))),""))</f>
        <v/>
      </c>
      <c r="L35" s="9"/>
      <c r="M35" s="9"/>
      <c r="N35" s="1" t="str">
        <f aca="false">IF(C35="","",C35&amp;"|"&amp;COUNTIF(C$3:C35,C35))</f>
        <v/>
      </c>
      <c r="O35" s="1" t="str">
        <f aca="false">IF(OR(C35="",M35=""),"",C35&amp;"|"&amp;COUNTIFS(C$3:C35,C35,M$3:M35,"&lt;&gt;"))</f>
        <v/>
      </c>
    </row>
    <row r="36" customFormat="false" ht="15" hidden="false" customHeight="false" outlineLevel="0" collapsed="false">
      <c r="B36" s="7"/>
      <c r="C36" s="5"/>
      <c r="D36" s="9" t="str">
        <f aca="false">IF(C36="","",IFERROR(VLOOKUP(C36,EQUIPOS!$B$3:$C$18,2,0),"NO EXISTE"))</f>
        <v/>
      </c>
      <c r="E36" s="9" t="str">
        <f aca="false">IF(C36="","",IFERROR(VLOOKUP(C36,EQUIPOS!$B$3:$F$18,5,0),""))</f>
        <v/>
      </c>
      <c r="F36" s="5" t="str">
        <f aca="false">IF(C36="","",IFERROR(VLOOKUP(C36,EQUIPOS!$B$3:$G$18,6,0),""))</f>
        <v/>
      </c>
      <c r="G36" s="8"/>
      <c r="H36" s="5"/>
      <c r="I36" s="5"/>
      <c r="J36" s="9"/>
      <c r="K36" s="17" t="str">
        <f aca="false">IF(H36="","",IFERROR(SUMIFS(BD_PLAN!$I$3:$I$312,BD_PLAN!$B$3:$B$312,E36,BD_PLAN!$C$3:$C$312,INDEX(BD_CICLO!$F$3:$F$54,MATCH(E36&amp;"|"&amp;H36,BD_CICLO!$G$3:$G$54,0))),""))</f>
        <v/>
      </c>
      <c r="L36" s="9"/>
      <c r="M36" s="9"/>
      <c r="N36" s="1" t="str">
        <f aca="false">IF(C36="","",C36&amp;"|"&amp;COUNTIF(C$3:C36,C36))</f>
        <v/>
      </c>
      <c r="O36" s="1" t="str">
        <f aca="false">IF(OR(C36="",M36=""),"",C36&amp;"|"&amp;COUNTIFS(C$3:C36,C36,M$3:M36,"&lt;&gt;"))</f>
        <v/>
      </c>
    </row>
    <row r="37" customFormat="false" ht="15" hidden="false" customHeight="false" outlineLevel="0" collapsed="false">
      <c r="B37" s="7"/>
      <c r="C37" s="5"/>
      <c r="D37" s="9" t="str">
        <f aca="false">IF(C37="","",IFERROR(VLOOKUP(C37,EQUIPOS!$B$3:$C$18,2,0),"NO EXISTE"))</f>
        <v/>
      </c>
      <c r="E37" s="9" t="str">
        <f aca="false">IF(C37="","",IFERROR(VLOOKUP(C37,EQUIPOS!$B$3:$F$18,5,0),""))</f>
        <v/>
      </c>
      <c r="F37" s="5" t="str">
        <f aca="false">IF(C37="","",IFERROR(VLOOKUP(C37,EQUIPOS!$B$3:$G$18,6,0),""))</f>
        <v/>
      </c>
      <c r="G37" s="8"/>
      <c r="H37" s="5"/>
      <c r="I37" s="5"/>
      <c r="J37" s="9"/>
      <c r="K37" s="17" t="str">
        <f aca="false">IF(H37="","",IFERROR(SUMIFS(BD_PLAN!$I$3:$I$312,BD_PLAN!$B$3:$B$312,E37,BD_PLAN!$C$3:$C$312,INDEX(BD_CICLO!$F$3:$F$54,MATCH(E37&amp;"|"&amp;H37,BD_CICLO!$G$3:$G$54,0))),""))</f>
        <v/>
      </c>
      <c r="L37" s="9"/>
      <c r="M37" s="9"/>
      <c r="N37" s="1" t="str">
        <f aca="false">IF(C37="","",C37&amp;"|"&amp;COUNTIF(C$3:C37,C37))</f>
        <v/>
      </c>
      <c r="O37" s="1" t="str">
        <f aca="false">IF(OR(C37="",M37=""),"",C37&amp;"|"&amp;COUNTIFS(C$3:C37,C37,M$3:M37,"&lt;&gt;"))</f>
        <v/>
      </c>
    </row>
    <row r="38" customFormat="false" ht="15" hidden="false" customHeight="false" outlineLevel="0" collapsed="false">
      <c r="B38" s="7"/>
      <c r="C38" s="5"/>
      <c r="D38" s="9" t="str">
        <f aca="false">IF(C38="","",IFERROR(VLOOKUP(C38,EQUIPOS!$B$3:$C$18,2,0),"NO EXISTE"))</f>
        <v/>
      </c>
      <c r="E38" s="9" t="str">
        <f aca="false">IF(C38="","",IFERROR(VLOOKUP(C38,EQUIPOS!$B$3:$F$18,5,0),""))</f>
        <v/>
      </c>
      <c r="F38" s="5" t="str">
        <f aca="false">IF(C38="","",IFERROR(VLOOKUP(C38,EQUIPOS!$B$3:$G$18,6,0),""))</f>
        <v/>
      </c>
      <c r="G38" s="8"/>
      <c r="H38" s="5"/>
      <c r="I38" s="5"/>
      <c r="J38" s="9"/>
      <c r="K38" s="17" t="str">
        <f aca="false">IF(H38="","",IFERROR(SUMIFS(BD_PLAN!$I$3:$I$312,BD_PLAN!$B$3:$B$312,E38,BD_PLAN!$C$3:$C$312,INDEX(BD_CICLO!$F$3:$F$54,MATCH(E38&amp;"|"&amp;H38,BD_CICLO!$G$3:$G$54,0))),""))</f>
        <v/>
      </c>
      <c r="L38" s="9"/>
      <c r="M38" s="9"/>
      <c r="N38" s="1" t="str">
        <f aca="false">IF(C38="","",C38&amp;"|"&amp;COUNTIF(C$3:C38,C38))</f>
        <v/>
      </c>
      <c r="O38" s="1" t="str">
        <f aca="false">IF(OR(C38="",M38=""),"",C38&amp;"|"&amp;COUNTIFS(C$3:C38,C38,M$3:M38,"&lt;&gt;"))</f>
        <v/>
      </c>
    </row>
    <row r="39" customFormat="false" ht="15" hidden="false" customHeight="false" outlineLevel="0" collapsed="false">
      <c r="B39" s="7"/>
      <c r="C39" s="5"/>
      <c r="D39" s="9" t="str">
        <f aca="false">IF(C39="","",IFERROR(VLOOKUP(C39,EQUIPOS!$B$3:$C$18,2,0),"NO EXISTE"))</f>
        <v/>
      </c>
      <c r="E39" s="9" t="str">
        <f aca="false">IF(C39="","",IFERROR(VLOOKUP(C39,EQUIPOS!$B$3:$F$18,5,0),""))</f>
        <v/>
      </c>
      <c r="F39" s="5" t="str">
        <f aca="false">IF(C39="","",IFERROR(VLOOKUP(C39,EQUIPOS!$B$3:$G$18,6,0),""))</f>
        <v/>
      </c>
      <c r="G39" s="8"/>
      <c r="H39" s="5"/>
      <c r="I39" s="5"/>
      <c r="J39" s="9"/>
      <c r="K39" s="17" t="str">
        <f aca="false">IF(H39="","",IFERROR(SUMIFS(BD_PLAN!$I$3:$I$312,BD_PLAN!$B$3:$B$312,E39,BD_PLAN!$C$3:$C$312,INDEX(BD_CICLO!$F$3:$F$54,MATCH(E39&amp;"|"&amp;H39,BD_CICLO!$G$3:$G$54,0))),""))</f>
        <v/>
      </c>
      <c r="L39" s="9"/>
      <c r="M39" s="9"/>
      <c r="N39" s="1" t="str">
        <f aca="false">IF(C39="","",C39&amp;"|"&amp;COUNTIF(C$3:C39,C39))</f>
        <v/>
      </c>
      <c r="O39" s="1" t="str">
        <f aca="false">IF(OR(C39="",M39=""),"",C39&amp;"|"&amp;COUNTIFS(C$3:C39,C39,M$3:M39,"&lt;&gt;"))</f>
        <v/>
      </c>
    </row>
    <row r="40" customFormat="false" ht="15" hidden="false" customHeight="false" outlineLevel="0" collapsed="false">
      <c r="B40" s="7"/>
      <c r="C40" s="5"/>
      <c r="D40" s="9" t="str">
        <f aca="false">IF(C40="","",IFERROR(VLOOKUP(C40,EQUIPOS!$B$3:$C$18,2,0),"NO EXISTE"))</f>
        <v/>
      </c>
      <c r="E40" s="9" t="str">
        <f aca="false">IF(C40="","",IFERROR(VLOOKUP(C40,EQUIPOS!$B$3:$F$18,5,0),""))</f>
        <v/>
      </c>
      <c r="F40" s="5" t="str">
        <f aca="false">IF(C40="","",IFERROR(VLOOKUP(C40,EQUIPOS!$B$3:$G$18,6,0),""))</f>
        <v/>
      </c>
      <c r="G40" s="8"/>
      <c r="H40" s="5"/>
      <c r="I40" s="5"/>
      <c r="J40" s="9"/>
      <c r="K40" s="17" t="str">
        <f aca="false">IF(H40="","",IFERROR(SUMIFS(BD_PLAN!$I$3:$I$312,BD_PLAN!$B$3:$B$312,E40,BD_PLAN!$C$3:$C$312,INDEX(BD_CICLO!$F$3:$F$54,MATCH(E40&amp;"|"&amp;H40,BD_CICLO!$G$3:$G$54,0))),""))</f>
        <v/>
      </c>
      <c r="L40" s="9"/>
      <c r="M40" s="9"/>
      <c r="N40" s="1" t="str">
        <f aca="false">IF(C40="","",C40&amp;"|"&amp;COUNTIF(C$3:C40,C40))</f>
        <v/>
      </c>
      <c r="O40" s="1" t="str">
        <f aca="false">IF(OR(C40="",M40=""),"",C40&amp;"|"&amp;COUNTIFS(C$3:C40,C40,M$3:M40,"&lt;&gt;"))</f>
        <v/>
      </c>
    </row>
    <row r="41" customFormat="false" ht="15" hidden="false" customHeight="false" outlineLevel="0" collapsed="false">
      <c r="B41" s="7"/>
      <c r="C41" s="5"/>
      <c r="D41" s="9" t="str">
        <f aca="false">IF(C41="","",IFERROR(VLOOKUP(C41,EQUIPOS!$B$3:$C$18,2,0),"NO EXISTE"))</f>
        <v/>
      </c>
      <c r="E41" s="9" t="str">
        <f aca="false">IF(C41="","",IFERROR(VLOOKUP(C41,EQUIPOS!$B$3:$F$18,5,0),""))</f>
        <v/>
      </c>
      <c r="F41" s="5" t="str">
        <f aca="false">IF(C41="","",IFERROR(VLOOKUP(C41,EQUIPOS!$B$3:$G$18,6,0),""))</f>
        <v/>
      </c>
      <c r="G41" s="8"/>
      <c r="H41" s="5"/>
      <c r="I41" s="5"/>
      <c r="J41" s="9"/>
      <c r="K41" s="17" t="str">
        <f aca="false">IF(H41="","",IFERROR(SUMIFS(BD_PLAN!$I$3:$I$312,BD_PLAN!$B$3:$B$312,E41,BD_PLAN!$C$3:$C$312,INDEX(BD_CICLO!$F$3:$F$54,MATCH(E41&amp;"|"&amp;H41,BD_CICLO!$G$3:$G$54,0))),""))</f>
        <v/>
      </c>
      <c r="L41" s="9"/>
      <c r="M41" s="9"/>
      <c r="N41" s="1" t="str">
        <f aca="false">IF(C41="","",C41&amp;"|"&amp;COUNTIF(C$3:C41,C41))</f>
        <v/>
      </c>
      <c r="O41" s="1" t="str">
        <f aca="false">IF(OR(C41="",M41=""),"",C41&amp;"|"&amp;COUNTIFS(C$3:C41,C41,M$3:M41,"&lt;&gt;"))</f>
        <v/>
      </c>
    </row>
    <row r="42" customFormat="false" ht="15" hidden="false" customHeight="false" outlineLevel="0" collapsed="false">
      <c r="B42" s="7"/>
      <c r="C42" s="5"/>
      <c r="D42" s="9" t="str">
        <f aca="false">IF(C42="","",IFERROR(VLOOKUP(C42,EQUIPOS!$B$3:$C$18,2,0),"NO EXISTE"))</f>
        <v/>
      </c>
      <c r="E42" s="9" t="str">
        <f aca="false">IF(C42="","",IFERROR(VLOOKUP(C42,EQUIPOS!$B$3:$F$18,5,0),""))</f>
        <v/>
      </c>
      <c r="F42" s="5" t="str">
        <f aca="false">IF(C42="","",IFERROR(VLOOKUP(C42,EQUIPOS!$B$3:$G$18,6,0),""))</f>
        <v/>
      </c>
      <c r="G42" s="8"/>
      <c r="H42" s="5"/>
      <c r="I42" s="5"/>
      <c r="J42" s="9"/>
      <c r="K42" s="17" t="str">
        <f aca="false">IF(H42="","",IFERROR(SUMIFS(BD_PLAN!$I$3:$I$312,BD_PLAN!$B$3:$B$312,E42,BD_PLAN!$C$3:$C$312,INDEX(BD_CICLO!$F$3:$F$54,MATCH(E42&amp;"|"&amp;H42,BD_CICLO!$G$3:$G$54,0))),""))</f>
        <v/>
      </c>
      <c r="L42" s="9"/>
      <c r="M42" s="9"/>
      <c r="N42" s="1" t="str">
        <f aca="false">IF(C42="","",C42&amp;"|"&amp;COUNTIF(C$3:C42,C42))</f>
        <v/>
      </c>
      <c r="O42" s="1" t="str">
        <f aca="false">IF(OR(C42="",M42=""),"",C42&amp;"|"&amp;COUNTIFS(C$3:C42,C42,M$3:M42,"&lt;&gt;"))</f>
        <v/>
      </c>
    </row>
    <row r="43" customFormat="false" ht="15" hidden="false" customHeight="false" outlineLevel="0" collapsed="false">
      <c r="B43" s="7"/>
      <c r="C43" s="5"/>
      <c r="D43" s="9" t="str">
        <f aca="false">IF(C43="","",IFERROR(VLOOKUP(C43,EQUIPOS!$B$3:$C$18,2,0),"NO EXISTE"))</f>
        <v/>
      </c>
      <c r="E43" s="9" t="str">
        <f aca="false">IF(C43="","",IFERROR(VLOOKUP(C43,EQUIPOS!$B$3:$F$18,5,0),""))</f>
        <v/>
      </c>
      <c r="F43" s="5" t="str">
        <f aca="false">IF(C43="","",IFERROR(VLOOKUP(C43,EQUIPOS!$B$3:$G$18,6,0),""))</f>
        <v/>
      </c>
      <c r="G43" s="8"/>
      <c r="H43" s="5"/>
      <c r="I43" s="5"/>
      <c r="J43" s="9"/>
      <c r="K43" s="17" t="str">
        <f aca="false">IF(H43="","",IFERROR(SUMIFS(BD_PLAN!$I$3:$I$312,BD_PLAN!$B$3:$B$312,E43,BD_PLAN!$C$3:$C$312,INDEX(BD_CICLO!$F$3:$F$54,MATCH(E43&amp;"|"&amp;H43,BD_CICLO!$G$3:$G$54,0))),""))</f>
        <v/>
      </c>
      <c r="L43" s="9"/>
      <c r="M43" s="9"/>
      <c r="N43" s="1" t="str">
        <f aca="false">IF(C43="","",C43&amp;"|"&amp;COUNTIF(C$3:C43,C43))</f>
        <v/>
      </c>
      <c r="O43" s="1" t="str">
        <f aca="false">IF(OR(C43="",M43=""),"",C43&amp;"|"&amp;COUNTIFS(C$3:C43,C43,M$3:M43,"&lt;&gt;"))</f>
        <v/>
      </c>
    </row>
    <row r="44" customFormat="false" ht="15" hidden="false" customHeight="false" outlineLevel="0" collapsed="false">
      <c r="B44" s="7"/>
      <c r="C44" s="5"/>
      <c r="D44" s="9" t="str">
        <f aca="false">IF(C44="","",IFERROR(VLOOKUP(C44,EQUIPOS!$B$3:$C$18,2,0),"NO EXISTE"))</f>
        <v/>
      </c>
      <c r="E44" s="9" t="str">
        <f aca="false">IF(C44="","",IFERROR(VLOOKUP(C44,EQUIPOS!$B$3:$F$18,5,0),""))</f>
        <v/>
      </c>
      <c r="F44" s="5" t="str">
        <f aca="false">IF(C44="","",IFERROR(VLOOKUP(C44,EQUIPOS!$B$3:$G$18,6,0),""))</f>
        <v/>
      </c>
      <c r="G44" s="8"/>
      <c r="H44" s="5"/>
      <c r="I44" s="5"/>
      <c r="J44" s="9"/>
      <c r="K44" s="17" t="str">
        <f aca="false">IF(H44="","",IFERROR(SUMIFS(BD_PLAN!$I$3:$I$312,BD_PLAN!$B$3:$B$312,E44,BD_PLAN!$C$3:$C$312,INDEX(BD_CICLO!$F$3:$F$54,MATCH(E44&amp;"|"&amp;H44,BD_CICLO!$G$3:$G$54,0))),""))</f>
        <v/>
      </c>
      <c r="L44" s="9"/>
      <c r="M44" s="9"/>
      <c r="N44" s="1" t="str">
        <f aca="false">IF(C44="","",C44&amp;"|"&amp;COUNTIF(C$3:C44,C44))</f>
        <v/>
      </c>
      <c r="O44" s="1" t="str">
        <f aca="false">IF(OR(C44="",M44=""),"",C44&amp;"|"&amp;COUNTIFS(C$3:C44,C44,M$3:M44,"&lt;&gt;"))</f>
        <v/>
      </c>
    </row>
    <row r="45" customFormat="false" ht="15" hidden="false" customHeight="false" outlineLevel="0" collapsed="false">
      <c r="B45" s="7"/>
      <c r="C45" s="5"/>
      <c r="D45" s="9" t="str">
        <f aca="false">IF(C45="","",IFERROR(VLOOKUP(C45,EQUIPOS!$B$3:$C$18,2,0),"NO EXISTE"))</f>
        <v/>
      </c>
      <c r="E45" s="9" t="str">
        <f aca="false">IF(C45="","",IFERROR(VLOOKUP(C45,EQUIPOS!$B$3:$F$18,5,0),""))</f>
        <v/>
      </c>
      <c r="F45" s="5" t="str">
        <f aca="false">IF(C45="","",IFERROR(VLOOKUP(C45,EQUIPOS!$B$3:$G$18,6,0),""))</f>
        <v/>
      </c>
      <c r="G45" s="8"/>
      <c r="H45" s="5"/>
      <c r="I45" s="5"/>
      <c r="J45" s="9"/>
      <c r="K45" s="17" t="str">
        <f aca="false">IF(H45="","",IFERROR(SUMIFS(BD_PLAN!$I$3:$I$312,BD_PLAN!$B$3:$B$312,E45,BD_PLAN!$C$3:$C$312,INDEX(BD_CICLO!$F$3:$F$54,MATCH(E45&amp;"|"&amp;H45,BD_CICLO!$G$3:$G$54,0))),""))</f>
        <v/>
      </c>
      <c r="L45" s="9"/>
      <c r="M45" s="9"/>
      <c r="N45" s="1" t="str">
        <f aca="false">IF(C45="","",C45&amp;"|"&amp;COUNTIF(C$3:C45,C45))</f>
        <v/>
      </c>
      <c r="O45" s="1" t="str">
        <f aca="false">IF(OR(C45="",M45=""),"",C45&amp;"|"&amp;COUNTIFS(C$3:C45,C45,M$3:M45,"&lt;&gt;"))</f>
        <v/>
      </c>
    </row>
    <row r="46" customFormat="false" ht="15" hidden="false" customHeight="false" outlineLevel="0" collapsed="false">
      <c r="B46" s="7"/>
      <c r="C46" s="5"/>
      <c r="D46" s="9" t="str">
        <f aca="false">IF(C46="","",IFERROR(VLOOKUP(C46,EQUIPOS!$B$3:$C$18,2,0),"NO EXISTE"))</f>
        <v/>
      </c>
      <c r="E46" s="9" t="str">
        <f aca="false">IF(C46="","",IFERROR(VLOOKUP(C46,EQUIPOS!$B$3:$F$18,5,0),""))</f>
        <v/>
      </c>
      <c r="F46" s="5" t="str">
        <f aca="false">IF(C46="","",IFERROR(VLOOKUP(C46,EQUIPOS!$B$3:$G$18,6,0),""))</f>
        <v/>
      </c>
      <c r="G46" s="8"/>
      <c r="H46" s="5"/>
      <c r="I46" s="5"/>
      <c r="J46" s="9"/>
      <c r="K46" s="17" t="str">
        <f aca="false">IF(H46="","",IFERROR(SUMIFS(BD_PLAN!$I$3:$I$312,BD_PLAN!$B$3:$B$312,E46,BD_PLAN!$C$3:$C$312,INDEX(BD_CICLO!$F$3:$F$54,MATCH(E46&amp;"|"&amp;H46,BD_CICLO!$G$3:$G$54,0))),""))</f>
        <v/>
      </c>
      <c r="L46" s="9"/>
      <c r="M46" s="9"/>
      <c r="N46" s="1" t="str">
        <f aca="false">IF(C46="","",C46&amp;"|"&amp;COUNTIF(C$3:C46,C46))</f>
        <v/>
      </c>
      <c r="O46" s="1" t="str">
        <f aca="false">IF(OR(C46="",M46=""),"",C46&amp;"|"&amp;COUNTIFS(C$3:C46,C46,M$3:M46,"&lt;&gt;"))</f>
        <v/>
      </c>
    </row>
    <row r="47" customFormat="false" ht="15" hidden="false" customHeight="false" outlineLevel="0" collapsed="false">
      <c r="B47" s="7"/>
      <c r="C47" s="5"/>
      <c r="D47" s="9" t="str">
        <f aca="false">IF(C47="","",IFERROR(VLOOKUP(C47,EQUIPOS!$B$3:$C$18,2,0),"NO EXISTE"))</f>
        <v/>
      </c>
      <c r="E47" s="9" t="str">
        <f aca="false">IF(C47="","",IFERROR(VLOOKUP(C47,EQUIPOS!$B$3:$F$18,5,0),""))</f>
        <v/>
      </c>
      <c r="F47" s="5" t="str">
        <f aca="false">IF(C47="","",IFERROR(VLOOKUP(C47,EQUIPOS!$B$3:$G$18,6,0),""))</f>
        <v/>
      </c>
      <c r="G47" s="8"/>
      <c r="H47" s="5"/>
      <c r="I47" s="5"/>
      <c r="J47" s="9"/>
      <c r="K47" s="17" t="str">
        <f aca="false">IF(H47="","",IFERROR(SUMIFS(BD_PLAN!$I$3:$I$312,BD_PLAN!$B$3:$B$312,E47,BD_PLAN!$C$3:$C$312,INDEX(BD_CICLO!$F$3:$F$54,MATCH(E47&amp;"|"&amp;H47,BD_CICLO!$G$3:$G$54,0))),""))</f>
        <v/>
      </c>
      <c r="L47" s="9"/>
      <c r="M47" s="9"/>
      <c r="N47" s="1" t="str">
        <f aca="false">IF(C47="","",C47&amp;"|"&amp;COUNTIF(C$3:C47,C47))</f>
        <v/>
      </c>
      <c r="O47" s="1" t="str">
        <f aca="false">IF(OR(C47="",M47=""),"",C47&amp;"|"&amp;COUNTIFS(C$3:C47,C47,M$3:M47,"&lt;&gt;"))</f>
        <v/>
      </c>
    </row>
    <row r="48" customFormat="false" ht="15" hidden="false" customHeight="false" outlineLevel="0" collapsed="false">
      <c r="B48" s="7"/>
      <c r="C48" s="5"/>
      <c r="D48" s="9" t="str">
        <f aca="false">IF(C48="","",IFERROR(VLOOKUP(C48,EQUIPOS!$B$3:$C$18,2,0),"NO EXISTE"))</f>
        <v/>
      </c>
      <c r="E48" s="9" t="str">
        <f aca="false">IF(C48="","",IFERROR(VLOOKUP(C48,EQUIPOS!$B$3:$F$18,5,0),""))</f>
        <v/>
      </c>
      <c r="F48" s="5" t="str">
        <f aca="false">IF(C48="","",IFERROR(VLOOKUP(C48,EQUIPOS!$B$3:$G$18,6,0),""))</f>
        <v/>
      </c>
      <c r="G48" s="8"/>
      <c r="H48" s="5"/>
      <c r="I48" s="5"/>
      <c r="J48" s="9"/>
      <c r="K48" s="17" t="str">
        <f aca="false">IF(H48="","",IFERROR(SUMIFS(BD_PLAN!$I$3:$I$312,BD_PLAN!$B$3:$B$312,E48,BD_PLAN!$C$3:$C$312,INDEX(BD_CICLO!$F$3:$F$54,MATCH(E48&amp;"|"&amp;H48,BD_CICLO!$G$3:$G$54,0))),""))</f>
        <v/>
      </c>
      <c r="L48" s="9"/>
      <c r="M48" s="9"/>
      <c r="N48" s="1" t="str">
        <f aca="false">IF(C48="","",C48&amp;"|"&amp;COUNTIF(C$3:C48,C48))</f>
        <v/>
      </c>
      <c r="O48" s="1" t="str">
        <f aca="false">IF(OR(C48="",M48=""),"",C48&amp;"|"&amp;COUNTIFS(C$3:C48,C48,M$3:M48,"&lt;&gt;"))</f>
        <v/>
      </c>
    </row>
    <row r="49" customFormat="false" ht="15" hidden="false" customHeight="false" outlineLevel="0" collapsed="false">
      <c r="B49" s="7"/>
      <c r="C49" s="5"/>
      <c r="D49" s="9" t="str">
        <f aca="false">IF(C49="","",IFERROR(VLOOKUP(C49,EQUIPOS!$B$3:$C$18,2,0),"NO EXISTE"))</f>
        <v/>
      </c>
      <c r="E49" s="9" t="str">
        <f aca="false">IF(C49="","",IFERROR(VLOOKUP(C49,EQUIPOS!$B$3:$F$18,5,0),""))</f>
        <v/>
      </c>
      <c r="F49" s="5" t="str">
        <f aca="false">IF(C49="","",IFERROR(VLOOKUP(C49,EQUIPOS!$B$3:$G$18,6,0),""))</f>
        <v/>
      </c>
      <c r="G49" s="8"/>
      <c r="H49" s="5"/>
      <c r="I49" s="5"/>
      <c r="J49" s="9"/>
      <c r="K49" s="17" t="str">
        <f aca="false">IF(H49="","",IFERROR(SUMIFS(BD_PLAN!$I$3:$I$312,BD_PLAN!$B$3:$B$312,E49,BD_PLAN!$C$3:$C$312,INDEX(BD_CICLO!$F$3:$F$54,MATCH(E49&amp;"|"&amp;H49,BD_CICLO!$G$3:$G$54,0))),""))</f>
        <v/>
      </c>
      <c r="L49" s="9"/>
      <c r="M49" s="9"/>
      <c r="N49" s="1" t="str">
        <f aca="false">IF(C49="","",C49&amp;"|"&amp;COUNTIF(C$3:C49,C49))</f>
        <v/>
      </c>
      <c r="O49" s="1" t="str">
        <f aca="false">IF(OR(C49="",M49=""),"",C49&amp;"|"&amp;COUNTIFS(C$3:C49,C49,M$3:M49,"&lt;&gt;"))</f>
        <v/>
      </c>
    </row>
    <row r="50" customFormat="false" ht="15" hidden="false" customHeight="false" outlineLevel="0" collapsed="false">
      <c r="B50" s="7"/>
      <c r="C50" s="5"/>
      <c r="D50" s="9" t="str">
        <f aca="false">IF(C50="","",IFERROR(VLOOKUP(C50,EQUIPOS!$B$3:$C$18,2,0),"NO EXISTE"))</f>
        <v/>
      </c>
      <c r="E50" s="9" t="str">
        <f aca="false">IF(C50="","",IFERROR(VLOOKUP(C50,EQUIPOS!$B$3:$F$18,5,0),""))</f>
        <v/>
      </c>
      <c r="F50" s="5" t="str">
        <f aca="false">IF(C50="","",IFERROR(VLOOKUP(C50,EQUIPOS!$B$3:$G$18,6,0),""))</f>
        <v/>
      </c>
      <c r="G50" s="8"/>
      <c r="H50" s="5"/>
      <c r="I50" s="5"/>
      <c r="J50" s="9"/>
      <c r="K50" s="17" t="str">
        <f aca="false">IF(H50="","",IFERROR(SUMIFS(BD_PLAN!$I$3:$I$312,BD_PLAN!$B$3:$B$312,E50,BD_PLAN!$C$3:$C$312,INDEX(BD_CICLO!$F$3:$F$54,MATCH(E50&amp;"|"&amp;H50,BD_CICLO!$G$3:$G$54,0))),""))</f>
        <v/>
      </c>
      <c r="L50" s="9"/>
      <c r="M50" s="9"/>
      <c r="N50" s="1" t="str">
        <f aca="false">IF(C50="","",C50&amp;"|"&amp;COUNTIF(C$3:C50,C50))</f>
        <v/>
      </c>
      <c r="O50" s="1" t="str">
        <f aca="false">IF(OR(C50="",M50=""),"",C50&amp;"|"&amp;COUNTIFS(C$3:C50,C50,M$3:M50,"&lt;&gt;"))</f>
        <v/>
      </c>
    </row>
    <row r="51" customFormat="false" ht="15" hidden="false" customHeight="false" outlineLevel="0" collapsed="false">
      <c r="B51" s="7"/>
      <c r="C51" s="5"/>
      <c r="D51" s="9" t="str">
        <f aca="false">IF(C51="","",IFERROR(VLOOKUP(C51,EQUIPOS!$B$3:$C$18,2,0),"NO EXISTE"))</f>
        <v/>
      </c>
      <c r="E51" s="9" t="str">
        <f aca="false">IF(C51="","",IFERROR(VLOOKUP(C51,EQUIPOS!$B$3:$F$18,5,0),""))</f>
        <v/>
      </c>
      <c r="F51" s="5" t="str">
        <f aca="false">IF(C51="","",IFERROR(VLOOKUP(C51,EQUIPOS!$B$3:$G$18,6,0),""))</f>
        <v/>
      </c>
      <c r="G51" s="8"/>
      <c r="H51" s="5"/>
      <c r="I51" s="5"/>
      <c r="J51" s="9"/>
      <c r="K51" s="17" t="str">
        <f aca="false">IF(H51="","",IFERROR(SUMIFS(BD_PLAN!$I$3:$I$312,BD_PLAN!$B$3:$B$312,E51,BD_PLAN!$C$3:$C$312,INDEX(BD_CICLO!$F$3:$F$54,MATCH(E51&amp;"|"&amp;H51,BD_CICLO!$G$3:$G$54,0))),""))</f>
        <v/>
      </c>
      <c r="L51" s="9"/>
      <c r="M51" s="9"/>
      <c r="N51" s="1" t="str">
        <f aca="false">IF(C51="","",C51&amp;"|"&amp;COUNTIF(C$3:C51,C51))</f>
        <v/>
      </c>
      <c r="O51" s="1" t="str">
        <f aca="false">IF(OR(C51="",M51=""),"",C51&amp;"|"&amp;COUNTIFS(C$3:C51,C51,M$3:M51,"&lt;&gt;"))</f>
        <v/>
      </c>
    </row>
    <row r="52" customFormat="false" ht="15" hidden="false" customHeight="false" outlineLevel="0" collapsed="false">
      <c r="B52" s="7"/>
      <c r="C52" s="5"/>
      <c r="D52" s="9" t="str">
        <f aca="false">IF(C52="","",IFERROR(VLOOKUP(C52,EQUIPOS!$B$3:$C$18,2,0),"NO EXISTE"))</f>
        <v/>
      </c>
      <c r="E52" s="9" t="str">
        <f aca="false">IF(C52="","",IFERROR(VLOOKUP(C52,EQUIPOS!$B$3:$F$18,5,0),""))</f>
        <v/>
      </c>
      <c r="F52" s="5" t="str">
        <f aca="false">IF(C52="","",IFERROR(VLOOKUP(C52,EQUIPOS!$B$3:$G$18,6,0),""))</f>
        <v/>
      </c>
      <c r="G52" s="8"/>
      <c r="H52" s="5"/>
      <c r="I52" s="5"/>
      <c r="J52" s="9"/>
      <c r="K52" s="17" t="str">
        <f aca="false">IF(H52="","",IFERROR(SUMIFS(BD_PLAN!$I$3:$I$312,BD_PLAN!$B$3:$B$312,E52,BD_PLAN!$C$3:$C$312,INDEX(BD_CICLO!$F$3:$F$54,MATCH(E52&amp;"|"&amp;H52,BD_CICLO!$G$3:$G$54,0))),""))</f>
        <v/>
      </c>
      <c r="L52" s="9"/>
      <c r="M52" s="9"/>
      <c r="N52" s="1" t="str">
        <f aca="false">IF(C52="","",C52&amp;"|"&amp;COUNTIF(C$3:C52,C52))</f>
        <v/>
      </c>
      <c r="O52" s="1" t="str">
        <f aca="false">IF(OR(C52="",M52=""),"",C52&amp;"|"&amp;COUNTIFS(C$3:C52,C52,M$3:M52,"&lt;&gt;"))</f>
        <v/>
      </c>
    </row>
    <row r="53" customFormat="false" ht="15" hidden="false" customHeight="false" outlineLevel="0" collapsed="false">
      <c r="B53" s="7"/>
      <c r="C53" s="5"/>
      <c r="D53" s="9" t="str">
        <f aca="false">IF(C53="","",IFERROR(VLOOKUP(C53,EQUIPOS!$B$3:$C$18,2,0),"NO EXISTE"))</f>
        <v/>
      </c>
      <c r="E53" s="9" t="str">
        <f aca="false">IF(C53="","",IFERROR(VLOOKUP(C53,EQUIPOS!$B$3:$F$18,5,0),""))</f>
        <v/>
      </c>
      <c r="F53" s="5" t="str">
        <f aca="false">IF(C53="","",IFERROR(VLOOKUP(C53,EQUIPOS!$B$3:$G$18,6,0),""))</f>
        <v/>
      </c>
      <c r="G53" s="8"/>
      <c r="H53" s="5"/>
      <c r="I53" s="5"/>
      <c r="J53" s="9"/>
      <c r="K53" s="17" t="str">
        <f aca="false">IF(H53="","",IFERROR(SUMIFS(BD_PLAN!$I$3:$I$312,BD_PLAN!$B$3:$B$312,E53,BD_PLAN!$C$3:$C$312,INDEX(BD_CICLO!$F$3:$F$54,MATCH(E53&amp;"|"&amp;H53,BD_CICLO!$G$3:$G$54,0))),""))</f>
        <v/>
      </c>
      <c r="L53" s="9"/>
      <c r="M53" s="9"/>
      <c r="N53" s="1" t="str">
        <f aca="false">IF(C53="","",C53&amp;"|"&amp;COUNTIF(C$3:C53,C53))</f>
        <v/>
      </c>
      <c r="O53" s="1" t="str">
        <f aca="false">IF(OR(C53="",M53=""),"",C53&amp;"|"&amp;COUNTIFS(C$3:C53,C53,M$3:M53,"&lt;&gt;"))</f>
        <v/>
      </c>
    </row>
    <row r="54" customFormat="false" ht="15" hidden="false" customHeight="false" outlineLevel="0" collapsed="false">
      <c r="B54" s="7"/>
      <c r="C54" s="5"/>
      <c r="D54" s="9" t="str">
        <f aca="false">IF(C54="","",IFERROR(VLOOKUP(C54,EQUIPOS!$B$3:$C$18,2,0),"NO EXISTE"))</f>
        <v/>
      </c>
      <c r="E54" s="9" t="str">
        <f aca="false">IF(C54="","",IFERROR(VLOOKUP(C54,EQUIPOS!$B$3:$F$18,5,0),""))</f>
        <v/>
      </c>
      <c r="F54" s="5" t="str">
        <f aca="false">IF(C54="","",IFERROR(VLOOKUP(C54,EQUIPOS!$B$3:$G$18,6,0),""))</f>
        <v/>
      </c>
      <c r="G54" s="8"/>
      <c r="H54" s="5"/>
      <c r="I54" s="5"/>
      <c r="J54" s="9"/>
      <c r="K54" s="17" t="str">
        <f aca="false">IF(H54="","",IFERROR(SUMIFS(BD_PLAN!$I$3:$I$312,BD_PLAN!$B$3:$B$312,E54,BD_PLAN!$C$3:$C$312,INDEX(BD_CICLO!$F$3:$F$54,MATCH(E54&amp;"|"&amp;H54,BD_CICLO!$G$3:$G$54,0))),""))</f>
        <v/>
      </c>
      <c r="L54" s="9"/>
      <c r="M54" s="9"/>
      <c r="N54" s="1" t="str">
        <f aca="false">IF(C54="","",C54&amp;"|"&amp;COUNTIF(C$3:C54,C54))</f>
        <v/>
      </c>
      <c r="O54" s="1" t="str">
        <f aca="false">IF(OR(C54="",M54=""),"",C54&amp;"|"&amp;COUNTIFS(C$3:C54,C54,M$3:M54,"&lt;&gt;"))</f>
        <v/>
      </c>
    </row>
    <row r="55" customFormat="false" ht="15" hidden="false" customHeight="false" outlineLevel="0" collapsed="false">
      <c r="B55" s="7"/>
      <c r="C55" s="5"/>
      <c r="D55" s="9" t="str">
        <f aca="false">IF(C55="","",IFERROR(VLOOKUP(C55,EQUIPOS!$B$3:$C$18,2,0),"NO EXISTE"))</f>
        <v/>
      </c>
      <c r="E55" s="9" t="str">
        <f aca="false">IF(C55="","",IFERROR(VLOOKUP(C55,EQUIPOS!$B$3:$F$18,5,0),""))</f>
        <v/>
      </c>
      <c r="F55" s="5" t="str">
        <f aca="false">IF(C55="","",IFERROR(VLOOKUP(C55,EQUIPOS!$B$3:$G$18,6,0),""))</f>
        <v/>
      </c>
      <c r="G55" s="8"/>
      <c r="H55" s="5"/>
      <c r="I55" s="5"/>
      <c r="J55" s="9"/>
      <c r="K55" s="17" t="str">
        <f aca="false">IF(H55="","",IFERROR(SUMIFS(BD_PLAN!$I$3:$I$312,BD_PLAN!$B$3:$B$312,E55,BD_PLAN!$C$3:$C$312,INDEX(BD_CICLO!$F$3:$F$54,MATCH(E55&amp;"|"&amp;H55,BD_CICLO!$G$3:$G$54,0))),""))</f>
        <v/>
      </c>
      <c r="L55" s="9"/>
      <c r="M55" s="9"/>
      <c r="N55" s="1" t="str">
        <f aca="false">IF(C55="","",C55&amp;"|"&amp;COUNTIF(C$3:C55,C55))</f>
        <v/>
      </c>
      <c r="O55" s="1" t="str">
        <f aca="false">IF(OR(C55="",M55=""),"",C55&amp;"|"&amp;COUNTIFS(C$3:C55,C55,M$3:M55,"&lt;&gt;"))</f>
        <v/>
      </c>
    </row>
    <row r="56" customFormat="false" ht="15" hidden="false" customHeight="false" outlineLevel="0" collapsed="false">
      <c r="B56" s="7"/>
      <c r="C56" s="5"/>
      <c r="D56" s="9" t="str">
        <f aca="false">IF(C56="","",IFERROR(VLOOKUP(C56,EQUIPOS!$B$3:$C$18,2,0),"NO EXISTE"))</f>
        <v/>
      </c>
      <c r="E56" s="9" t="str">
        <f aca="false">IF(C56="","",IFERROR(VLOOKUP(C56,EQUIPOS!$B$3:$F$18,5,0),""))</f>
        <v/>
      </c>
      <c r="F56" s="5" t="str">
        <f aca="false">IF(C56="","",IFERROR(VLOOKUP(C56,EQUIPOS!$B$3:$G$18,6,0),""))</f>
        <v/>
      </c>
      <c r="G56" s="8"/>
      <c r="H56" s="5"/>
      <c r="I56" s="5"/>
      <c r="J56" s="9"/>
      <c r="K56" s="17" t="str">
        <f aca="false">IF(H56="","",IFERROR(SUMIFS(BD_PLAN!$I$3:$I$312,BD_PLAN!$B$3:$B$312,E56,BD_PLAN!$C$3:$C$312,INDEX(BD_CICLO!$F$3:$F$54,MATCH(E56&amp;"|"&amp;H56,BD_CICLO!$G$3:$G$54,0))),""))</f>
        <v/>
      </c>
      <c r="L56" s="9"/>
      <c r="M56" s="9"/>
      <c r="N56" s="1" t="str">
        <f aca="false">IF(C56="","",C56&amp;"|"&amp;COUNTIF(C$3:C56,C56))</f>
        <v/>
      </c>
      <c r="O56" s="1" t="str">
        <f aca="false">IF(OR(C56="",M56=""),"",C56&amp;"|"&amp;COUNTIFS(C$3:C56,C56,M$3:M56,"&lt;&gt;"))</f>
        <v/>
      </c>
    </row>
    <row r="57" customFormat="false" ht="15" hidden="false" customHeight="false" outlineLevel="0" collapsed="false">
      <c r="B57" s="7"/>
      <c r="C57" s="5"/>
      <c r="D57" s="9" t="str">
        <f aca="false">IF(C57="","",IFERROR(VLOOKUP(C57,EQUIPOS!$B$3:$C$18,2,0),"NO EXISTE"))</f>
        <v/>
      </c>
      <c r="E57" s="9" t="str">
        <f aca="false">IF(C57="","",IFERROR(VLOOKUP(C57,EQUIPOS!$B$3:$F$18,5,0),""))</f>
        <v/>
      </c>
      <c r="F57" s="5" t="str">
        <f aca="false">IF(C57="","",IFERROR(VLOOKUP(C57,EQUIPOS!$B$3:$G$18,6,0),""))</f>
        <v/>
      </c>
      <c r="G57" s="8"/>
      <c r="H57" s="5"/>
      <c r="I57" s="5"/>
      <c r="J57" s="9"/>
      <c r="K57" s="17" t="str">
        <f aca="false">IF(H57="","",IFERROR(SUMIFS(BD_PLAN!$I$3:$I$312,BD_PLAN!$B$3:$B$312,E57,BD_PLAN!$C$3:$C$312,INDEX(BD_CICLO!$F$3:$F$54,MATCH(E57&amp;"|"&amp;H57,BD_CICLO!$G$3:$G$54,0))),""))</f>
        <v/>
      </c>
      <c r="L57" s="9"/>
      <c r="M57" s="9"/>
      <c r="N57" s="1" t="str">
        <f aca="false">IF(C57="","",C57&amp;"|"&amp;COUNTIF(C$3:C57,C57))</f>
        <v/>
      </c>
      <c r="O57" s="1" t="str">
        <f aca="false">IF(OR(C57="",M57=""),"",C57&amp;"|"&amp;COUNTIFS(C$3:C57,C57,M$3:M57,"&lt;&gt;"))</f>
        <v/>
      </c>
    </row>
    <row r="58" customFormat="false" ht="15" hidden="false" customHeight="false" outlineLevel="0" collapsed="false">
      <c r="B58" s="7"/>
      <c r="C58" s="5"/>
      <c r="D58" s="9" t="str">
        <f aca="false">IF(C58="","",IFERROR(VLOOKUP(C58,EQUIPOS!$B$3:$C$18,2,0),"NO EXISTE"))</f>
        <v/>
      </c>
      <c r="E58" s="9" t="str">
        <f aca="false">IF(C58="","",IFERROR(VLOOKUP(C58,EQUIPOS!$B$3:$F$18,5,0),""))</f>
        <v/>
      </c>
      <c r="F58" s="5" t="str">
        <f aca="false">IF(C58="","",IFERROR(VLOOKUP(C58,EQUIPOS!$B$3:$G$18,6,0),""))</f>
        <v/>
      </c>
      <c r="G58" s="8"/>
      <c r="H58" s="5"/>
      <c r="I58" s="5"/>
      <c r="J58" s="9"/>
      <c r="K58" s="17" t="str">
        <f aca="false">IF(H58="","",IFERROR(SUMIFS(BD_PLAN!$I$3:$I$312,BD_PLAN!$B$3:$B$312,E58,BD_PLAN!$C$3:$C$312,INDEX(BD_CICLO!$F$3:$F$54,MATCH(E58&amp;"|"&amp;H58,BD_CICLO!$G$3:$G$54,0))),""))</f>
        <v/>
      </c>
      <c r="L58" s="9"/>
      <c r="M58" s="9"/>
      <c r="N58" s="1" t="str">
        <f aca="false">IF(C58="","",C58&amp;"|"&amp;COUNTIF(C$3:C58,C58))</f>
        <v/>
      </c>
      <c r="O58" s="1" t="str">
        <f aca="false">IF(OR(C58="",M58=""),"",C58&amp;"|"&amp;COUNTIFS(C$3:C58,C58,M$3:M58,"&lt;&gt;"))</f>
        <v/>
      </c>
    </row>
    <row r="59" customFormat="false" ht="15" hidden="false" customHeight="false" outlineLevel="0" collapsed="false">
      <c r="B59" s="7"/>
      <c r="C59" s="5"/>
      <c r="D59" s="9" t="str">
        <f aca="false">IF(C59="","",IFERROR(VLOOKUP(C59,EQUIPOS!$B$3:$C$18,2,0),"NO EXISTE"))</f>
        <v/>
      </c>
      <c r="E59" s="9" t="str">
        <f aca="false">IF(C59="","",IFERROR(VLOOKUP(C59,EQUIPOS!$B$3:$F$18,5,0),""))</f>
        <v/>
      </c>
      <c r="F59" s="5" t="str">
        <f aca="false">IF(C59="","",IFERROR(VLOOKUP(C59,EQUIPOS!$B$3:$G$18,6,0),""))</f>
        <v/>
      </c>
      <c r="G59" s="8"/>
      <c r="H59" s="5"/>
      <c r="I59" s="5"/>
      <c r="J59" s="9"/>
      <c r="K59" s="17" t="str">
        <f aca="false">IF(H59="","",IFERROR(SUMIFS(BD_PLAN!$I$3:$I$312,BD_PLAN!$B$3:$B$312,E59,BD_PLAN!$C$3:$C$312,INDEX(BD_CICLO!$F$3:$F$54,MATCH(E59&amp;"|"&amp;H59,BD_CICLO!$G$3:$G$54,0))),""))</f>
        <v/>
      </c>
      <c r="L59" s="9"/>
      <c r="M59" s="9"/>
      <c r="N59" s="1" t="str">
        <f aca="false">IF(C59="","",C59&amp;"|"&amp;COUNTIF(C$3:C59,C59))</f>
        <v/>
      </c>
      <c r="O59" s="1" t="str">
        <f aca="false">IF(OR(C59="",M59=""),"",C59&amp;"|"&amp;COUNTIFS(C$3:C59,C59,M$3:M59,"&lt;&gt;"))</f>
        <v/>
      </c>
    </row>
    <row r="60" customFormat="false" ht="15" hidden="false" customHeight="false" outlineLevel="0" collapsed="false">
      <c r="B60" s="7"/>
      <c r="C60" s="5"/>
      <c r="D60" s="9" t="str">
        <f aca="false">IF(C60="","",IFERROR(VLOOKUP(C60,EQUIPOS!$B$3:$C$18,2,0),"NO EXISTE"))</f>
        <v/>
      </c>
      <c r="E60" s="9" t="str">
        <f aca="false">IF(C60="","",IFERROR(VLOOKUP(C60,EQUIPOS!$B$3:$F$18,5,0),""))</f>
        <v/>
      </c>
      <c r="F60" s="5" t="str">
        <f aca="false">IF(C60="","",IFERROR(VLOOKUP(C60,EQUIPOS!$B$3:$G$18,6,0),""))</f>
        <v/>
      </c>
      <c r="G60" s="8"/>
      <c r="H60" s="5"/>
      <c r="I60" s="5"/>
      <c r="J60" s="9"/>
      <c r="K60" s="17" t="str">
        <f aca="false">IF(H60="","",IFERROR(SUMIFS(BD_PLAN!$I$3:$I$312,BD_PLAN!$B$3:$B$312,E60,BD_PLAN!$C$3:$C$312,INDEX(BD_CICLO!$F$3:$F$54,MATCH(E60&amp;"|"&amp;H60,BD_CICLO!$G$3:$G$54,0))),""))</f>
        <v/>
      </c>
      <c r="L60" s="9"/>
      <c r="M60" s="9"/>
      <c r="N60" s="1" t="str">
        <f aca="false">IF(C60="","",C60&amp;"|"&amp;COUNTIF(C$3:C60,C60))</f>
        <v/>
      </c>
      <c r="O60" s="1" t="str">
        <f aca="false">IF(OR(C60="",M60=""),"",C60&amp;"|"&amp;COUNTIFS(C$3:C60,C60,M$3:M60,"&lt;&gt;"))</f>
        <v/>
      </c>
    </row>
    <row r="61" customFormat="false" ht="15" hidden="false" customHeight="false" outlineLevel="0" collapsed="false">
      <c r="B61" s="7"/>
      <c r="C61" s="5"/>
      <c r="D61" s="9" t="str">
        <f aca="false">IF(C61="","",IFERROR(VLOOKUP(C61,EQUIPOS!$B$3:$C$18,2,0),"NO EXISTE"))</f>
        <v/>
      </c>
      <c r="E61" s="9" t="str">
        <f aca="false">IF(C61="","",IFERROR(VLOOKUP(C61,EQUIPOS!$B$3:$F$18,5,0),""))</f>
        <v/>
      </c>
      <c r="F61" s="5" t="str">
        <f aca="false">IF(C61="","",IFERROR(VLOOKUP(C61,EQUIPOS!$B$3:$G$18,6,0),""))</f>
        <v/>
      </c>
      <c r="G61" s="8"/>
      <c r="H61" s="5"/>
      <c r="I61" s="5"/>
      <c r="J61" s="9"/>
      <c r="K61" s="17" t="str">
        <f aca="false">IF(H61="","",IFERROR(SUMIFS(BD_PLAN!$I$3:$I$312,BD_PLAN!$B$3:$B$312,E61,BD_PLAN!$C$3:$C$312,INDEX(BD_CICLO!$F$3:$F$54,MATCH(E61&amp;"|"&amp;H61,BD_CICLO!$G$3:$G$54,0))),""))</f>
        <v/>
      </c>
      <c r="L61" s="9"/>
      <c r="M61" s="9"/>
      <c r="N61" s="1" t="str">
        <f aca="false">IF(C61="","",C61&amp;"|"&amp;COUNTIF(C$3:C61,C61))</f>
        <v/>
      </c>
      <c r="O61" s="1" t="str">
        <f aca="false">IF(OR(C61="",M61=""),"",C61&amp;"|"&amp;COUNTIFS(C$3:C61,C61,M$3:M61,"&lt;&gt;"))</f>
        <v/>
      </c>
    </row>
    <row r="62" customFormat="false" ht="15" hidden="false" customHeight="false" outlineLevel="0" collapsed="false">
      <c r="B62" s="7"/>
      <c r="C62" s="5"/>
      <c r="D62" s="9" t="str">
        <f aca="false">IF(C62="","",IFERROR(VLOOKUP(C62,EQUIPOS!$B$3:$C$18,2,0),"NO EXISTE"))</f>
        <v/>
      </c>
      <c r="E62" s="9" t="str">
        <f aca="false">IF(C62="","",IFERROR(VLOOKUP(C62,EQUIPOS!$B$3:$F$18,5,0),""))</f>
        <v/>
      </c>
      <c r="F62" s="5" t="str">
        <f aca="false">IF(C62="","",IFERROR(VLOOKUP(C62,EQUIPOS!$B$3:$G$18,6,0),""))</f>
        <v/>
      </c>
      <c r="G62" s="8"/>
      <c r="H62" s="5"/>
      <c r="I62" s="5"/>
      <c r="J62" s="9"/>
      <c r="K62" s="17" t="str">
        <f aca="false">IF(H62="","",IFERROR(SUMIFS(BD_PLAN!$I$3:$I$312,BD_PLAN!$B$3:$B$312,E62,BD_PLAN!$C$3:$C$312,INDEX(BD_CICLO!$F$3:$F$54,MATCH(E62&amp;"|"&amp;H62,BD_CICLO!$G$3:$G$54,0))),""))</f>
        <v/>
      </c>
      <c r="L62" s="9"/>
      <c r="M62" s="9"/>
      <c r="N62" s="1" t="str">
        <f aca="false">IF(C62="","",C62&amp;"|"&amp;COUNTIF(C$3:C62,C62))</f>
        <v/>
      </c>
      <c r="O62" s="1" t="str">
        <f aca="false">IF(OR(C62="",M62=""),"",C62&amp;"|"&amp;COUNTIFS(C$3:C62,C62,M$3:M62,"&lt;&gt;"))</f>
        <v/>
      </c>
    </row>
    <row r="63" customFormat="false" ht="15" hidden="false" customHeight="false" outlineLevel="0" collapsed="false">
      <c r="B63" s="7"/>
      <c r="C63" s="5"/>
      <c r="D63" s="9" t="str">
        <f aca="false">IF(C63="","",IFERROR(VLOOKUP(C63,EQUIPOS!$B$3:$C$18,2,0),"NO EXISTE"))</f>
        <v/>
      </c>
      <c r="E63" s="9" t="str">
        <f aca="false">IF(C63="","",IFERROR(VLOOKUP(C63,EQUIPOS!$B$3:$F$18,5,0),""))</f>
        <v/>
      </c>
      <c r="F63" s="5" t="str">
        <f aca="false">IF(C63="","",IFERROR(VLOOKUP(C63,EQUIPOS!$B$3:$G$18,6,0),""))</f>
        <v/>
      </c>
      <c r="G63" s="8"/>
      <c r="H63" s="5"/>
      <c r="I63" s="5"/>
      <c r="J63" s="9"/>
      <c r="K63" s="17" t="str">
        <f aca="false">IF(H63="","",IFERROR(SUMIFS(BD_PLAN!$I$3:$I$312,BD_PLAN!$B$3:$B$312,E63,BD_PLAN!$C$3:$C$312,INDEX(BD_CICLO!$F$3:$F$54,MATCH(E63&amp;"|"&amp;H63,BD_CICLO!$G$3:$G$54,0))),""))</f>
        <v/>
      </c>
      <c r="L63" s="9"/>
      <c r="M63" s="9"/>
      <c r="N63" s="1" t="str">
        <f aca="false">IF(C63="","",C63&amp;"|"&amp;COUNTIF(C$3:C63,C63))</f>
        <v/>
      </c>
      <c r="O63" s="1" t="str">
        <f aca="false">IF(OR(C63="",M63=""),"",C63&amp;"|"&amp;COUNTIFS(C$3:C63,C63,M$3:M63,"&lt;&gt;"))</f>
        <v/>
      </c>
    </row>
    <row r="64" customFormat="false" ht="15" hidden="false" customHeight="false" outlineLevel="0" collapsed="false">
      <c r="B64" s="7"/>
      <c r="C64" s="5"/>
      <c r="D64" s="9" t="str">
        <f aca="false">IF(C64="","",IFERROR(VLOOKUP(C64,EQUIPOS!$B$3:$C$18,2,0),"NO EXISTE"))</f>
        <v/>
      </c>
      <c r="E64" s="9" t="str">
        <f aca="false">IF(C64="","",IFERROR(VLOOKUP(C64,EQUIPOS!$B$3:$F$18,5,0),""))</f>
        <v/>
      </c>
      <c r="F64" s="5" t="str">
        <f aca="false">IF(C64="","",IFERROR(VLOOKUP(C64,EQUIPOS!$B$3:$G$18,6,0),""))</f>
        <v/>
      </c>
      <c r="G64" s="8"/>
      <c r="H64" s="5"/>
      <c r="I64" s="5"/>
      <c r="J64" s="9"/>
      <c r="K64" s="17" t="str">
        <f aca="false">IF(H64="","",IFERROR(SUMIFS(BD_PLAN!$I$3:$I$312,BD_PLAN!$B$3:$B$312,E64,BD_PLAN!$C$3:$C$312,INDEX(BD_CICLO!$F$3:$F$54,MATCH(E64&amp;"|"&amp;H64,BD_CICLO!$G$3:$G$54,0))),""))</f>
        <v/>
      </c>
      <c r="L64" s="9"/>
      <c r="M64" s="9"/>
      <c r="N64" s="1" t="str">
        <f aca="false">IF(C64="","",C64&amp;"|"&amp;COUNTIF(C$3:C64,C64))</f>
        <v/>
      </c>
      <c r="O64" s="1" t="str">
        <f aca="false">IF(OR(C64="",M64=""),"",C64&amp;"|"&amp;COUNTIFS(C$3:C64,C64,M$3:M64,"&lt;&gt;"))</f>
        <v/>
      </c>
    </row>
    <row r="65" customFormat="false" ht="15" hidden="false" customHeight="false" outlineLevel="0" collapsed="false">
      <c r="B65" s="7"/>
      <c r="C65" s="5"/>
      <c r="D65" s="9" t="str">
        <f aca="false">IF(C65="","",IFERROR(VLOOKUP(C65,EQUIPOS!$B$3:$C$18,2,0),"NO EXISTE"))</f>
        <v/>
      </c>
      <c r="E65" s="9" t="str">
        <f aca="false">IF(C65="","",IFERROR(VLOOKUP(C65,EQUIPOS!$B$3:$F$18,5,0),""))</f>
        <v/>
      </c>
      <c r="F65" s="5" t="str">
        <f aca="false">IF(C65="","",IFERROR(VLOOKUP(C65,EQUIPOS!$B$3:$G$18,6,0),""))</f>
        <v/>
      </c>
      <c r="G65" s="8"/>
      <c r="H65" s="5"/>
      <c r="I65" s="5"/>
      <c r="J65" s="9"/>
      <c r="K65" s="17" t="str">
        <f aca="false">IF(H65="","",IFERROR(SUMIFS(BD_PLAN!$I$3:$I$312,BD_PLAN!$B$3:$B$312,E65,BD_PLAN!$C$3:$C$312,INDEX(BD_CICLO!$F$3:$F$54,MATCH(E65&amp;"|"&amp;H65,BD_CICLO!$G$3:$G$54,0))),""))</f>
        <v/>
      </c>
      <c r="L65" s="9"/>
      <c r="M65" s="9"/>
      <c r="N65" s="1" t="str">
        <f aca="false">IF(C65="","",C65&amp;"|"&amp;COUNTIF(C$3:C65,C65))</f>
        <v/>
      </c>
      <c r="O65" s="1" t="str">
        <f aca="false">IF(OR(C65="",M65=""),"",C65&amp;"|"&amp;COUNTIFS(C$3:C65,C65,M$3:M65,"&lt;&gt;"))</f>
        <v/>
      </c>
    </row>
    <row r="66" customFormat="false" ht="15" hidden="false" customHeight="false" outlineLevel="0" collapsed="false">
      <c r="B66" s="7"/>
      <c r="C66" s="5"/>
      <c r="D66" s="9" t="str">
        <f aca="false">IF(C66="","",IFERROR(VLOOKUP(C66,EQUIPOS!$B$3:$C$18,2,0),"NO EXISTE"))</f>
        <v/>
      </c>
      <c r="E66" s="9" t="str">
        <f aca="false">IF(C66="","",IFERROR(VLOOKUP(C66,EQUIPOS!$B$3:$F$18,5,0),""))</f>
        <v/>
      </c>
      <c r="F66" s="5" t="str">
        <f aca="false">IF(C66="","",IFERROR(VLOOKUP(C66,EQUIPOS!$B$3:$G$18,6,0),""))</f>
        <v/>
      </c>
      <c r="G66" s="8"/>
      <c r="H66" s="5"/>
      <c r="I66" s="5"/>
      <c r="J66" s="9"/>
      <c r="K66" s="17" t="str">
        <f aca="false">IF(H66="","",IFERROR(SUMIFS(BD_PLAN!$I$3:$I$312,BD_PLAN!$B$3:$B$312,E66,BD_PLAN!$C$3:$C$312,INDEX(BD_CICLO!$F$3:$F$54,MATCH(E66&amp;"|"&amp;H66,BD_CICLO!$G$3:$G$54,0))),""))</f>
        <v/>
      </c>
      <c r="L66" s="9"/>
      <c r="M66" s="9"/>
      <c r="N66" s="1" t="str">
        <f aca="false">IF(C66="","",C66&amp;"|"&amp;COUNTIF(C$3:C66,C66))</f>
        <v/>
      </c>
      <c r="O66" s="1" t="str">
        <f aca="false">IF(OR(C66="",M66=""),"",C66&amp;"|"&amp;COUNTIFS(C$3:C66,C66,M$3:M66,"&lt;&gt;"))</f>
        <v/>
      </c>
    </row>
    <row r="67" customFormat="false" ht="15" hidden="false" customHeight="false" outlineLevel="0" collapsed="false">
      <c r="B67" s="7"/>
      <c r="C67" s="5"/>
      <c r="D67" s="9" t="str">
        <f aca="false">IF(C67="","",IFERROR(VLOOKUP(C67,EQUIPOS!$B$3:$C$18,2,0),"NO EXISTE"))</f>
        <v/>
      </c>
      <c r="E67" s="9" t="str">
        <f aca="false">IF(C67="","",IFERROR(VLOOKUP(C67,EQUIPOS!$B$3:$F$18,5,0),""))</f>
        <v/>
      </c>
      <c r="F67" s="5" t="str">
        <f aca="false">IF(C67="","",IFERROR(VLOOKUP(C67,EQUIPOS!$B$3:$G$18,6,0),""))</f>
        <v/>
      </c>
      <c r="G67" s="8"/>
      <c r="H67" s="5"/>
      <c r="I67" s="5"/>
      <c r="J67" s="9"/>
      <c r="K67" s="17" t="str">
        <f aca="false">IF(H67="","",IFERROR(SUMIFS(BD_PLAN!$I$3:$I$312,BD_PLAN!$B$3:$B$312,E67,BD_PLAN!$C$3:$C$312,INDEX(BD_CICLO!$F$3:$F$54,MATCH(E67&amp;"|"&amp;H67,BD_CICLO!$G$3:$G$54,0))),""))</f>
        <v/>
      </c>
      <c r="L67" s="9"/>
      <c r="M67" s="9"/>
      <c r="N67" s="1" t="str">
        <f aca="false">IF(C67="","",C67&amp;"|"&amp;COUNTIF(C$3:C67,C67))</f>
        <v/>
      </c>
      <c r="O67" s="1" t="str">
        <f aca="false">IF(OR(C67="",M67=""),"",C67&amp;"|"&amp;COUNTIFS(C$3:C67,C67,M$3:M67,"&lt;&gt;"))</f>
        <v/>
      </c>
    </row>
    <row r="68" customFormat="false" ht="15" hidden="false" customHeight="false" outlineLevel="0" collapsed="false">
      <c r="B68" s="7"/>
      <c r="C68" s="5"/>
      <c r="D68" s="9" t="str">
        <f aca="false">IF(C68="","",IFERROR(VLOOKUP(C68,EQUIPOS!$B$3:$C$18,2,0),"NO EXISTE"))</f>
        <v/>
      </c>
      <c r="E68" s="9" t="str">
        <f aca="false">IF(C68="","",IFERROR(VLOOKUP(C68,EQUIPOS!$B$3:$F$18,5,0),""))</f>
        <v/>
      </c>
      <c r="F68" s="5" t="str">
        <f aca="false">IF(C68="","",IFERROR(VLOOKUP(C68,EQUIPOS!$B$3:$G$18,6,0),""))</f>
        <v/>
      </c>
      <c r="G68" s="8"/>
      <c r="H68" s="5"/>
      <c r="I68" s="5"/>
      <c r="J68" s="9"/>
      <c r="K68" s="17" t="str">
        <f aca="false">IF(H68="","",IFERROR(SUMIFS(BD_PLAN!$I$3:$I$312,BD_PLAN!$B$3:$B$312,E68,BD_PLAN!$C$3:$C$312,INDEX(BD_CICLO!$F$3:$F$54,MATCH(E68&amp;"|"&amp;H68,BD_CICLO!$G$3:$G$54,0))),""))</f>
        <v/>
      </c>
      <c r="L68" s="9"/>
      <c r="M68" s="9"/>
      <c r="N68" s="1" t="str">
        <f aca="false">IF(C68="","",C68&amp;"|"&amp;COUNTIF(C$3:C68,C68))</f>
        <v/>
      </c>
      <c r="O68" s="1" t="str">
        <f aca="false">IF(OR(C68="",M68=""),"",C68&amp;"|"&amp;COUNTIFS(C$3:C68,C68,M$3:M68,"&lt;&gt;"))</f>
        <v/>
      </c>
    </row>
    <row r="69" customFormat="false" ht="15" hidden="false" customHeight="false" outlineLevel="0" collapsed="false">
      <c r="B69" s="7"/>
      <c r="C69" s="5"/>
      <c r="D69" s="9" t="str">
        <f aca="false">IF(C69="","",IFERROR(VLOOKUP(C69,EQUIPOS!$B$3:$C$18,2,0),"NO EXISTE"))</f>
        <v/>
      </c>
      <c r="E69" s="9" t="str">
        <f aca="false">IF(C69="","",IFERROR(VLOOKUP(C69,EQUIPOS!$B$3:$F$18,5,0),""))</f>
        <v/>
      </c>
      <c r="F69" s="5" t="str">
        <f aca="false">IF(C69="","",IFERROR(VLOOKUP(C69,EQUIPOS!$B$3:$G$18,6,0),""))</f>
        <v/>
      </c>
      <c r="G69" s="8"/>
      <c r="H69" s="5"/>
      <c r="I69" s="5"/>
      <c r="J69" s="9"/>
      <c r="K69" s="17" t="str">
        <f aca="false">IF(H69="","",IFERROR(SUMIFS(BD_PLAN!$I$3:$I$312,BD_PLAN!$B$3:$B$312,E69,BD_PLAN!$C$3:$C$312,INDEX(BD_CICLO!$F$3:$F$54,MATCH(E69&amp;"|"&amp;H69,BD_CICLO!$G$3:$G$54,0))),""))</f>
        <v/>
      </c>
      <c r="L69" s="9"/>
      <c r="M69" s="9"/>
      <c r="N69" s="1" t="str">
        <f aca="false">IF(C69="","",C69&amp;"|"&amp;COUNTIF(C$3:C69,C69))</f>
        <v/>
      </c>
      <c r="O69" s="1" t="str">
        <f aca="false">IF(OR(C69="",M69=""),"",C69&amp;"|"&amp;COUNTIFS(C$3:C69,C69,M$3:M69,"&lt;&gt;"))</f>
        <v/>
      </c>
    </row>
    <row r="70" customFormat="false" ht="15" hidden="false" customHeight="false" outlineLevel="0" collapsed="false">
      <c r="B70" s="7"/>
      <c r="C70" s="5"/>
      <c r="D70" s="9" t="str">
        <f aca="false">IF(C70="","",IFERROR(VLOOKUP(C70,EQUIPOS!$B$3:$C$18,2,0),"NO EXISTE"))</f>
        <v/>
      </c>
      <c r="E70" s="9" t="str">
        <f aca="false">IF(C70="","",IFERROR(VLOOKUP(C70,EQUIPOS!$B$3:$F$18,5,0),""))</f>
        <v/>
      </c>
      <c r="F70" s="5" t="str">
        <f aca="false">IF(C70="","",IFERROR(VLOOKUP(C70,EQUIPOS!$B$3:$G$18,6,0),""))</f>
        <v/>
      </c>
      <c r="G70" s="8"/>
      <c r="H70" s="5"/>
      <c r="I70" s="5"/>
      <c r="J70" s="9"/>
      <c r="K70" s="17" t="str">
        <f aca="false">IF(H70="","",IFERROR(SUMIFS(BD_PLAN!$I$3:$I$312,BD_PLAN!$B$3:$B$312,E70,BD_PLAN!$C$3:$C$312,INDEX(BD_CICLO!$F$3:$F$54,MATCH(E70&amp;"|"&amp;H70,BD_CICLO!$G$3:$G$54,0))),""))</f>
        <v/>
      </c>
      <c r="L70" s="9"/>
      <c r="M70" s="9"/>
      <c r="N70" s="1" t="str">
        <f aca="false">IF(C70="","",C70&amp;"|"&amp;COUNTIF(C$3:C70,C70))</f>
        <v/>
      </c>
      <c r="O70" s="1" t="str">
        <f aca="false">IF(OR(C70="",M70=""),"",C70&amp;"|"&amp;COUNTIFS(C$3:C70,C70,M$3:M70,"&lt;&gt;"))</f>
        <v/>
      </c>
    </row>
    <row r="71" customFormat="false" ht="15" hidden="false" customHeight="false" outlineLevel="0" collapsed="false">
      <c r="B71" s="7"/>
      <c r="C71" s="5"/>
      <c r="D71" s="9" t="str">
        <f aca="false">IF(C71="","",IFERROR(VLOOKUP(C71,EQUIPOS!$B$3:$C$18,2,0),"NO EXISTE"))</f>
        <v/>
      </c>
      <c r="E71" s="9" t="str">
        <f aca="false">IF(C71="","",IFERROR(VLOOKUP(C71,EQUIPOS!$B$3:$F$18,5,0),""))</f>
        <v/>
      </c>
      <c r="F71" s="5" t="str">
        <f aca="false">IF(C71="","",IFERROR(VLOOKUP(C71,EQUIPOS!$B$3:$G$18,6,0),""))</f>
        <v/>
      </c>
      <c r="G71" s="8"/>
      <c r="H71" s="5"/>
      <c r="I71" s="5"/>
      <c r="J71" s="9"/>
      <c r="K71" s="17" t="str">
        <f aca="false">IF(H71="","",IFERROR(SUMIFS(BD_PLAN!$I$3:$I$312,BD_PLAN!$B$3:$B$312,E71,BD_PLAN!$C$3:$C$312,INDEX(BD_CICLO!$F$3:$F$54,MATCH(E71&amp;"|"&amp;H71,BD_CICLO!$G$3:$G$54,0))),""))</f>
        <v/>
      </c>
      <c r="L71" s="9"/>
      <c r="M71" s="9"/>
      <c r="N71" s="1" t="str">
        <f aca="false">IF(C71="","",C71&amp;"|"&amp;COUNTIF(C$3:C71,C71))</f>
        <v/>
      </c>
      <c r="O71" s="1" t="str">
        <f aca="false">IF(OR(C71="",M71=""),"",C71&amp;"|"&amp;COUNTIFS(C$3:C71,C71,M$3:M71,"&lt;&gt;"))</f>
        <v/>
      </c>
    </row>
    <row r="72" customFormat="false" ht="15" hidden="false" customHeight="false" outlineLevel="0" collapsed="false">
      <c r="B72" s="7"/>
      <c r="C72" s="5"/>
      <c r="D72" s="9" t="str">
        <f aca="false">IF(C72="","",IFERROR(VLOOKUP(C72,EQUIPOS!$B$3:$C$18,2,0),"NO EXISTE"))</f>
        <v/>
      </c>
      <c r="E72" s="9" t="str">
        <f aca="false">IF(C72="","",IFERROR(VLOOKUP(C72,EQUIPOS!$B$3:$F$18,5,0),""))</f>
        <v/>
      </c>
      <c r="F72" s="5" t="str">
        <f aca="false">IF(C72="","",IFERROR(VLOOKUP(C72,EQUIPOS!$B$3:$G$18,6,0),""))</f>
        <v/>
      </c>
      <c r="G72" s="8"/>
      <c r="H72" s="5"/>
      <c r="I72" s="5"/>
      <c r="J72" s="9"/>
      <c r="K72" s="17" t="str">
        <f aca="false">IF(H72="","",IFERROR(SUMIFS(BD_PLAN!$I$3:$I$312,BD_PLAN!$B$3:$B$312,E72,BD_PLAN!$C$3:$C$312,INDEX(BD_CICLO!$F$3:$F$54,MATCH(E72&amp;"|"&amp;H72,BD_CICLO!$G$3:$G$54,0))),""))</f>
        <v/>
      </c>
      <c r="L72" s="9"/>
      <c r="M72" s="9"/>
      <c r="N72" s="1" t="str">
        <f aca="false">IF(C72="","",C72&amp;"|"&amp;COUNTIF(C$3:C72,C72))</f>
        <v/>
      </c>
      <c r="O72" s="1" t="str">
        <f aca="false">IF(OR(C72="",M72=""),"",C72&amp;"|"&amp;COUNTIFS(C$3:C72,C72,M$3:M72,"&lt;&gt;"))</f>
        <v/>
      </c>
    </row>
    <row r="73" customFormat="false" ht="15" hidden="false" customHeight="false" outlineLevel="0" collapsed="false">
      <c r="B73" s="7"/>
      <c r="C73" s="5"/>
      <c r="D73" s="9" t="str">
        <f aca="false">IF(C73="","",IFERROR(VLOOKUP(C73,EQUIPOS!$B$3:$C$18,2,0),"NO EXISTE"))</f>
        <v/>
      </c>
      <c r="E73" s="9" t="str">
        <f aca="false">IF(C73="","",IFERROR(VLOOKUP(C73,EQUIPOS!$B$3:$F$18,5,0),""))</f>
        <v/>
      </c>
      <c r="F73" s="5" t="str">
        <f aca="false">IF(C73="","",IFERROR(VLOOKUP(C73,EQUIPOS!$B$3:$G$18,6,0),""))</f>
        <v/>
      </c>
      <c r="G73" s="8"/>
      <c r="H73" s="5"/>
      <c r="I73" s="5"/>
      <c r="J73" s="9"/>
      <c r="K73" s="17" t="str">
        <f aca="false">IF(H73="","",IFERROR(SUMIFS(BD_PLAN!$I$3:$I$312,BD_PLAN!$B$3:$B$312,E73,BD_PLAN!$C$3:$C$312,INDEX(BD_CICLO!$F$3:$F$54,MATCH(E73&amp;"|"&amp;H73,BD_CICLO!$G$3:$G$54,0))),""))</f>
        <v/>
      </c>
      <c r="L73" s="9"/>
      <c r="M73" s="9"/>
      <c r="N73" s="1" t="str">
        <f aca="false">IF(C73="","",C73&amp;"|"&amp;COUNTIF(C$3:C73,C73))</f>
        <v/>
      </c>
      <c r="O73" s="1" t="str">
        <f aca="false">IF(OR(C73="",M73=""),"",C73&amp;"|"&amp;COUNTIFS(C$3:C73,C73,M$3:M73,"&lt;&gt;"))</f>
        <v/>
      </c>
    </row>
    <row r="74" customFormat="false" ht="15" hidden="false" customHeight="false" outlineLevel="0" collapsed="false">
      <c r="B74" s="7"/>
      <c r="C74" s="5"/>
      <c r="D74" s="9" t="str">
        <f aca="false">IF(C74="","",IFERROR(VLOOKUP(C74,EQUIPOS!$B$3:$C$18,2,0),"NO EXISTE"))</f>
        <v/>
      </c>
      <c r="E74" s="9" t="str">
        <f aca="false">IF(C74="","",IFERROR(VLOOKUP(C74,EQUIPOS!$B$3:$F$18,5,0),""))</f>
        <v/>
      </c>
      <c r="F74" s="5" t="str">
        <f aca="false">IF(C74="","",IFERROR(VLOOKUP(C74,EQUIPOS!$B$3:$G$18,6,0),""))</f>
        <v/>
      </c>
      <c r="G74" s="8"/>
      <c r="H74" s="5"/>
      <c r="I74" s="5"/>
      <c r="J74" s="9"/>
      <c r="K74" s="17" t="str">
        <f aca="false">IF(H74="","",IFERROR(SUMIFS(BD_PLAN!$I$3:$I$312,BD_PLAN!$B$3:$B$312,E74,BD_PLAN!$C$3:$C$312,INDEX(BD_CICLO!$F$3:$F$54,MATCH(E74&amp;"|"&amp;H74,BD_CICLO!$G$3:$G$54,0))),""))</f>
        <v/>
      </c>
      <c r="L74" s="9"/>
      <c r="M74" s="9"/>
      <c r="N74" s="1" t="str">
        <f aca="false">IF(C74="","",C74&amp;"|"&amp;COUNTIF(C$3:C74,C74))</f>
        <v/>
      </c>
      <c r="O74" s="1" t="str">
        <f aca="false">IF(OR(C74="",M74=""),"",C74&amp;"|"&amp;COUNTIFS(C$3:C74,C74,M$3:M74,"&lt;&gt;"))</f>
        <v/>
      </c>
    </row>
    <row r="75" customFormat="false" ht="15" hidden="false" customHeight="false" outlineLevel="0" collapsed="false">
      <c r="B75" s="7"/>
      <c r="C75" s="5"/>
      <c r="D75" s="9" t="str">
        <f aca="false">IF(C75="","",IFERROR(VLOOKUP(C75,EQUIPOS!$B$3:$C$18,2,0),"NO EXISTE"))</f>
        <v/>
      </c>
      <c r="E75" s="9" t="str">
        <f aca="false">IF(C75="","",IFERROR(VLOOKUP(C75,EQUIPOS!$B$3:$F$18,5,0),""))</f>
        <v/>
      </c>
      <c r="F75" s="5" t="str">
        <f aca="false">IF(C75="","",IFERROR(VLOOKUP(C75,EQUIPOS!$B$3:$G$18,6,0),""))</f>
        <v/>
      </c>
      <c r="G75" s="8"/>
      <c r="H75" s="5"/>
      <c r="I75" s="5"/>
      <c r="J75" s="9"/>
      <c r="K75" s="17" t="str">
        <f aca="false">IF(H75="","",IFERROR(SUMIFS(BD_PLAN!$I$3:$I$312,BD_PLAN!$B$3:$B$312,E75,BD_PLAN!$C$3:$C$312,INDEX(BD_CICLO!$F$3:$F$54,MATCH(E75&amp;"|"&amp;H75,BD_CICLO!$G$3:$G$54,0))),""))</f>
        <v/>
      </c>
      <c r="L75" s="9"/>
      <c r="M75" s="9"/>
      <c r="N75" s="1" t="str">
        <f aca="false">IF(C75="","",C75&amp;"|"&amp;COUNTIF(C$3:C75,C75))</f>
        <v/>
      </c>
      <c r="O75" s="1" t="str">
        <f aca="false">IF(OR(C75="",M75=""),"",C75&amp;"|"&amp;COUNTIFS(C$3:C75,C75,M$3:M75,"&lt;&gt;"))</f>
        <v/>
      </c>
    </row>
    <row r="76" customFormat="false" ht="15" hidden="false" customHeight="false" outlineLevel="0" collapsed="false">
      <c r="B76" s="7"/>
      <c r="C76" s="5"/>
      <c r="D76" s="9" t="str">
        <f aca="false">IF(C76="","",IFERROR(VLOOKUP(C76,EQUIPOS!$B$3:$C$18,2,0),"NO EXISTE"))</f>
        <v/>
      </c>
      <c r="E76" s="9" t="str">
        <f aca="false">IF(C76="","",IFERROR(VLOOKUP(C76,EQUIPOS!$B$3:$F$18,5,0),""))</f>
        <v/>
      </c>
      <c r="F76" s="5" t="str">
        <f aca="false">IF(C76="","",IFERROR(VLOOKUP(C76,EQUIPOS!$B$3:$G$18,6,0),""))</f>
        <v/>
      </c>
      <c r="G76" s="8"/>
      <c r="H76" s="5"/>
      <c r="I76" s="5"/>
      <c r="J76" s="9"/>
      <c r="K76" s="17" t="str">
        <f aca="false">IF(H76="","",IFERROR(SUMIFS(BD_PLAN!$I$3:$I$312,BD_PLAN!$B$3:$B$312,E76,BD_PLAN!$C$3:$C$312,INDEX(BD_CICLO!$F$3:$F$54,MATCH(E76&amp;"|"&amp;H76,BD_CICLO!$G$3:$G$54,0))),""))</f>
        <v/>
      </c>
      <c r="L76" s="9"/>
      <c r="M76" s="9"/>
      <c r="N76" s="1" t="str">
        <f aca="false">IF(C76="","",C76&amp;"|"&amp;COUNTIF(C$3:C76,C76))</f>
        <v/>
      </c>
      <c r="O76" s="1" t="str">
        <f aca="false">IF(OR(C76="",M76=""),"",C76&amp;"|"&amp;COUNTIFS(C$3:C76,C76,M$3:M76,"&lt;&gt;"))</f>
        <v/>
      </c>
    </row>
    <row r="77" customFormat="false" ht="15" hidden="false" customHeight="false" outlineLevel="0" collapsed="false">
      <c r="B77" s="7"/>
      <c r="C77" s="5"/>
      <c r="D77" s="9" t="str">
        <f aca="false">IF(C77="","",IFERROR(VLOOKUP(C77,EQUIPOS!$B$3:$C$18,2,0),"NO EXISTE"))</f>
        <v/>
      </c>
      <c r="E77" s="9" t="str">
        <f aca="false">IF(C77="","",IFERROR(VLOOKUP(C77,EQUIPOS!$B$3:$F$18,5,0),""))</f>
        <v/>
      </c>
      <c r="F77" s="5" t="str">
        <f aca="false">IF(C77="","",IFERROR(VLOOKUP(C77,EQUIPOS!$B$3:$G$18,6,0),""))</f>
        <v/>
      </c>
      <c r="G77" s="8"/>
      <c r="H77" s="5"/>
      <c r="I77" s="5"/>
      <c r="J77" s="9"/>
      <c r="K77" s="17" t="str">
        <f aca="false">IF(H77="","",IFERROR(SUMIFS(BD_PLAN!$I$3:$I$312,BD_PLAN!$B$3:$B$312,E77,BD_PLAN!$C$3:$C$312,INDEX(BD_CICLO!$F$3:$F$54,MATCH(E77&amp;"|"&amp;H77,BD_CICLO!$G$3:$G$54,0))),""))</f>
        <v/>
      </c>
      <c r="L77" s="9"/>
      <c r="M77" s="9"/>
      <c r="N77" s="1" t="str">
        <f aca="false">IF(C77="","",C77&amp;"|"&amp;COUNTIF(C$3:C77,C77))</f>
        <v/>
      </c>
      <c r="O77" s="1" t="str">
        <f aca="false">IF(OR(C77="",M77=""),"",C77&amp;"|"&amp;COUNTIFS(C$3:C77,C77,M$3:M77,"&lt;&gt;"))</f>
        <v/>
      </c>
    </row>
    <row r="78" customFormat="false" ht="15" hidden="false" customHeight="false" outlineLevel="0" collapsed="false">
      <c r="B78" s="7"/>
      <c r="C78" s="5"/>
      <c r="D78" s="9" t="str">
        <f aca="false">IF(C78="","",IFERROR(VLOOKUP(C78,EQUIPOS!$B$3:$C$18,2,0),"NO EXISTE"))</f>
        <v/>
      </c>
      <c r="E78" s="9" t="str">
        <f aca="false">IF(C78="","",IFERROR(VLOOKUP(C78,EQUIPOS!$B$3:$F$18,5,0),""))</f>
        <v/>
      </c>
      <c r="F78" s="5" t="str">
        <f aca="false">IF(C78="","",IFERROR(VLOOKUP(C78,EQUIPOS!$B$3:$G$18,6,0),""))</f>
        <v/>
      </c>
      <c r="G78" s="8"/>
      <c r="H78" s="5"/>
      <c r="I78" s="5"/>
      <c r="J78" s="9"/>
      <c r="K78" s="17" t="str">
        <f aca="false">IF(H78="","",IFERROR(SUMIFS(BD_PLAN!$I$3:$I$312,BD_PLAN!$B$3:$B$312,E78,BD_PLAN!$C$3:$C$312,INDEX(BD_CICLO!$F$3:$F$54,MATCH(E78&amp;"|"&amp;H78,BD_CICLO!$G$3:$G$54,0))),""))</f>
        <v/>
      </c>
      <c r="L78" s="9"/>
      <c r="M78" s="9"/>
      <c r="N78" s="1" t="str">
        <f aca="false">IF(C78="","",C78&amp;"|"&amp;COUNTIF(C$3:C78,C78))</f>
        <v/>
      </c>
      <c r="O78" s="1" t="str">
        <f aca="false">IF(OR(C78="",M78=""),"",C78&amp;"|"&amp;COUNTIFS(C$3:C78,C78,M$3:M78,"&lt;&gt;"))</f>
        <v/>
      </c>
    </row>
    <row r="79" customFormat="false" ht="15" hidden="false" customHeight="false" outlineLevel="0" collapsed="false">
      <c r="B79" s="7"/>
      <c r="C79" s="5"/>
      <c r="D79" s="9" t="str">
        <f aca="false">IF(C79="","",IFERROR(VLOOKUP(C79,EQUIPOS!$B$3:$C$18,2,0),"NO EXISTE"))</f>
        <v/>
      </c>
      <c r="E79" s="9" t="str">
        <f aca="false">IF(C79="","",IFERROR(VLOOKUP(C79,EQUIPOS!$B$3:$F$18,5,0),""))</f>
        <v/>
      </c>
      <c r="F79" s="5" t="str">
        <f aca="false">IF(C79="","",IFERROR(VLOOKUP(C79,EQUIPOS!$B$3:$G$18,6,0),""))</f>
        <v/>
      </c>
      <c r="G79" s="8"/>
      <c r="H79" s="5"/>
      <c r="I79" s="5"/>
      <c r="J79" s="9"/>
      <c r="K79" s="17" t="str">
        <f aca="false">IF(H79="","",IFERROR(SUMIFS(BD_PLAN!$I$3:$I$312,BD_PLAN!$B$3:$B$312,E79,BD_PLAN!$C$3:$C$312,INDEX(BD_CICLO!$F$3:$F$54,MATCH(E79&amp;"|"&amp;H79,BD_CICLO!$G$3:$G$54,0))),""))</f>
        <v/>
      </c>
      <c r="L79" s="9"/>
      <c r="M79" s="9"/>
      <c r="N79" s="1" t="str">
        <f aca="false">IF(C79="","",C79&amp;"|"&amp;COUNTIF(C$3:C79,C79))</f>
        <v/>
      </c>
      <c r="O79" s="1" t="str">
        <f aca="false">IF(OR(C79="",M79=""),"",C79&amp;"|"&amp;COUNTIFS(C$3:C79,C79,M$3:M79,"&lt;&gt;"))</f>
        <v/>
      </c>
    </row>
    <row r="80" customFormat="false" ht="15" hidden="false" customHeight="false" outlineLevel="0" collapsed="false">
      <c r="B80" s="7"/>
      <c r="C80" s="5"/>
      <c r="D80" s="9" t="str">
        <f aca="false">IF(C80="","",IFERROR(VLOOKUP(C80,EQUIPOS!$B$3:$C$18,2,0),"NO EXISTE"))</f>
        <v/>
      </c>
      <c r="E80" s="9" t="str">
        <f aca="false">IF(C80="","",IFERROR(VLOOKUP(C80,EQUIPOS!$B$3:$F$18,5,0),""))</f>
        <v/>
      </c>
      <c r="F80" s="5" t="str">
        <f aca="false">IF(C80="","",IFERROR(VLOOKUP(C80,EQUIPOS!$B$3:$G$18,6,0),""))</f>
        <v/>
      </c>
      <c r="G80" s="8"/>
      <c r="H80" s="5"/>
      <c r="I80" s="5"/>
      <c r="J80" s="9"/>
      <c r="K80" s="17" t="str">
        <f aca="false">IF(H80="","",IFERROR(SUMIFS(BD_PLAN!$I$3:$I$312,BD_PLAN!$B$3:$B$312,E80,BD_PLAN!$C$3:$C$312,INDEX(BD_CICLO!$F$3:$F$54,MATCH(E80&amp;"|"&amp;H80,BD_CICLO!$G$3:$G$54,0))),""))</f>
        <v/>
      </c>
      <c r="L80" s="9"/>
      <c r="M80" s="9"/>
      <c r="N80" s="1" t="str">
        <f aca="false">IF(C80="","",C80&amp;"|"&amp;COUNTIF(C$3:C80,C80))</f>
        <v/>
      </c>
      <c r="O80" s="1" t="str">
        <f aca="false">IF(OR(C80="",M80=""),"",C80&amp;"|"&amp;COUNTIFS(C$3:C80,C80,M$3:M80,"&lt;&gt;"))</f>
        <v/>
      </c>
    </row>
    <row r="81" customFormat="false" ht="15" hidden="false" customHeight="false" outlineLevel="0" collapsed="false">
      <c r="B81" s="7"/>
      <c r="C81" s="5"/>
      <c r="D81" s="9" t="str">
        <f aca="false">IF(C81="","",IFERROR(VLOOKUP(C81,EQUIPOS!$B$3:$C$18,2,0),"NO EXISTE"))</f>
        <v/>
      </c>
      <c r="E81" s="9" t="str">
        <f aca="false">IF(C81="","",IFERROR(VLOOKUP(C81,EQUIPOS!$B$3:$F$18,5,0),""))</f>
        <v/>
      </c>
      <c r="F81" s="5" t="str">
        <f aca="false">IF(C81="","",IFERROR(VLOOKUP(C81,EQUIPOS!$B$3:$G$18,6,0),""))</f>
        <v/>
      </c>
      <c r="G81" s="8"/>
      <c r="H81" s="5"/>
      <c r="I81" s="5"/>
      <c r="J81" s="9"/>
      <c r="K81" s="17" t="str">
        <f aca="false">IF(H81="","",IFERROR(SUMIFS(BD_PLAN!$I$3:$I$312,BD_PLAN!$B$3:$B$312,E81,BD_PLAN!$C$3:$C$312,INDEX(BD_CICLO!$F$3:$F$54,MATCH(E81&amp;"|"&amp;H81,BD_CICLO!$G$3:$G$54,0))),""))</f>
        <v/>
      </c>
      <c r="L81" s="9"/>
      <c r="M81" s="9"/>
      <c r="N81" s="1" t="str">
        <f aca="false">IF(C81="","",C81&amp;"|"&amp;COUNTIF(C$3:C81,C81))</f>
        <v/>
      </c>
      <c r="O81" s="1" t="str">
        <f aca="false">IF(OR(C81="",M81=""),"",C81&amp;"|"&amp;COUNTIFS(C$3:C81,C81,M$3:M81,"&lt;&gt;"))</f>
        <v/>
      </c>
    </row>
    <row r="82" customFormat="false" ht="15" hidden="false" customHeight="false" outlineLevel="0" collapsed="false">
      <c r="B82" s="7"/>
      <c r="C82" s="5"/>
      <c r="D82" s="9" t="str">
        <f aca="false">IF(C82="","",IFERROR(VLOOKUP(C82,EQUIPOS!$B$3:$C$18,2,0),"NO EXISTE"))</f>
        <v/>
      </c>
      <c r="E82" s="9" t="str">
        <f aca="false">IF(C82="","",IFERROR(VLOOKUP(C82,EQUIPOS!$B$3:$F$18,5,0),""))</f>
        <v/>
      </c>
      <c r="F82" s="5" t="str">
        <f aca="false">IF(C82="","",IFERROR(VLOOKUP(C82,EQUIPOS!$B$3:$G$18,6,0),""))</f>
        <v/>
      </c>
      <c r="G82" s="8"/>
      <c r="H82" s="5"/>
      <c r="I82" s="5"/>
      <c r="J82" s="9"/>
      <c r="K82" s="17" t="str">
        <f aca="false">IF(H82="","",IFERROR(SUMIFS(BD_PLAN!$I$3:$I$312,BD_PLAN!$B$3:$B$312,E82,BD_PLAN!$C$3:$C$312,INDEX(BD_CICLO!$F$3:$F$54,MATCH(E82&amp;"|"&amp;H82,BD_CICLO!$G$3:$G$54,0))),""))</f>
        <v/>
      </c>
      <c r="L82" s="9"/>
      <c r="M82" s="9"/>
      <c r="N82" s="1" t="str">
        <f aca="false">IF(C82="","",C82&amp;"|"&amp;COUNTIF(C$3:C82,C82))</f>
        <v/>
      </c>
      <c r="O82" s="1" t="str">
        <f aca="false">IF(OR(C82="",M82=""),"",C82&amp;"|"&amp;COUNTIFS(C$3:C82,C82,M$3:M82,"&lt;&gt;"))</f>
        <v/>
      </c>
    </row>
    <row r="83" customFormat="false" ht="15" hidden="false" customHeight="false" outlineLevel="0" collapsed="false">
      <c r="B83" s="7"/>
      <c r="C83" s="5"/>
      <c r="D83" s="9" t="str">
        <f aca="false">IF(C83="","",IFERROR(VLOOKUP(C83,EQUIPOS!$B$3:$C$18,2,0),"NO EXISTE"))</f>
        <v/>
      </c>
      <c r="E83" s="9" t="str">
        <f aca="false">IF(C83="","",IFERROR(VLOOKUP(C83,EQUIPOS!$B$3:$F$18,5,0),""))</f>
        <v/>
      </c>
      <c r="F83" s="5" t="str">
        <f aca="false">IF(C83="","",IFERROR(VLOOKUP(C83,EQUIPOS!$B$3:$G$18,6,0),""))</f>
        <v/>
      </c>
      <c r="G83" s="8"/>
      <c r="H83" s="5"/>
      <c r="I83" s="5"/>
      <c r="J83" s="9"/>
      <c r="K83" s="17" t="str">
        <f aca="false">IF(H83="","",IFERROR(SUMIFS(BD_PLAN!$I$3:$I$312,BD_PLAN!$B$3:$B$312,E83,BD_PLAN!$C$3:$C$312,INDEX(BD_CICLO!$F$3:$F$54,MATCH(E83&amp;"|"&amp;H83,BD_CICLO!$G$3:$G$54,0))),""))</f>
        <v/>
      </c>
      <c r="L83" s="9"/>
      <c r="M83" s="9"/>
      <c r="N83" s="1" t="str">
        <f aca="false">IF(C83="","",C83&amp;"|"&amp;COUNTIF(C$3:C83,C83))</f>
        <v/>
      </c>
      <c r="O83" s="1" t="str">
        <f aca="false">IF(OR(C83="",M83=""),"",C83&amp;"|"&amp;COUNTIFS(C$3:C83,C83,M$3:M83,"&lt;&gt;"))</f>
        <v/>
      </c>
    </row>
    <row r="84" customFormat="false" ht="15" hidden="false" customHeight="false" outlineLevel="0" collapsed="false">
      <c r="B84" s="7"/>
      <c r="C84" s="5"/>
      <c r="D84" s="9" t="str">
        <f aca="false">IF(C84="","",IFERROR(VLOOKUP(C84,EQUIPOS!$B$3:$C$18,2,0),"NO EXISTE"))</f>
        <v/>
      </c>
      <c r="E84" s="9" t="str">
        <f aca="false">IF(C84="","",IFERROR(VLOOKUP(C84,EQUIPOS!$B$3:$F$18,5,0),""))</f>
        <v/>
      </c>
      <c r="F84" s="5" t="str">
        <f aca="false">IF(C84="","",IFERROR(VLOOKUP(C84,EQUIPOS!$B$3:$G$18,6,0),""))</f>
        <v/>
      </c>
      <c r="G84" s="8"/>
      <c r="H84" s="5"/>
      <c r="I84" s="5"/>
      <c r="J84" s="9"/>
      <c r="K84" s="17" t="str">
        <f aca="false">IF(H84="","",IFERROR(SUMIFS(BD_PLAN!$I$3:$I$312,BD_PLAN!$B$3:$B$312,E84,BD_PLAN!$C$3:$C$312,INDEX(BD_CICLO!$F$3:$F$54,MATCH(E84&amp;"|"&amp;H84,BD_CICLO!$G$3:$G$54,0))),""))</f>
        <v/>
      </c>
      <c r="L84" s="9"/>
      <c r="M84" s="9"/>
      <c r="N84" s="1" t="str">
        <f aca="false">IF(C84="","",C84&amp;"|"&amp;COUNTIF(C$3:C84,C84))</f>
        <v/>
      </c>
      <c r="O84" s="1" t="str">
        <f aca="false">IF(OR(C84="",M84=""),"",C84&amp;"|"&amp;COUNTIFS(C$3:C84,C84,M$3:M84,"&lt;&gt;"))</f>
        <v/>
      </c>
    </row>
    <row r="85" customFormat="false" ht="15" hidden="false" customHeight="false" outlineLevel="0" collapsed="false">
      <c r="B85" s="7"/>
      <c r="C85" s="5"/>
      <c r="D85" s="9" t="str">
        <f aca="false">IF(C85="","",IFERROR(VLOOKUP(C85,EQUIPOS!$B$3:$C$18,2,0),"NO EXISTE"))</f>
        <v/>
      </c>
      <c r="E85" s="9" t="str">
        <f aca="false">IF(C85="","",IFERROR(VLOOKUP(C85,EQUIPOS!$B$3:$F$18,5,0),""))</f>
        <v/>
      </c>
      <c r="F85" s="5" t="str">
        <f aca="false">IF(C85="","",IFERROR(VLOOKUP(C85,EQUIPOS!$B$3:$G$18,6,0),""))</f>
        <v/>
      </c>
      <c r="G85" s="8"/>
      <c r="H85" s="5"/>
      <c r="I85" s="5"/>
      <c r="J85" s="9"/>
      <c r="K85" s="17" t="str">
        <f aca="false">IF(H85="","",IFERROR(SUMIFS(BD_PLAN!$I$3:$I$312,BD_PLAN!$B$3:$B$312,E85,BD_PLAN!$C$3:$C$312,INDEX(BD_CICLO!$F$3:$F$54,MATCH(E85&amp;"|"&amp;H85,BD_CICLO!$G$3:$G$54,0))),""))</f>
        <v/>
      </c>
      <c r="L85" s="9"/>
      <c r="M85" s="9"/>
      <c r="N85" s="1" t="str">
        <f aca="false">IF(C85="","",C85&amp;"|"&amp;COUNTIF(C$3:C85,C85))</f>
        <v/>
      </c>
      <c r="O85" s="1" t="str">
        <f aca="false">IF(OR(C85="",M85=""),"",C85&amp;"|"&amp;COUNTIFS(C$3:C85,C85,M$3:M85,"&lt;&gt;"))</f>
        <v/>
      </c>
    </row>
    <row r="86" customFormat="false" ht="15" hidden="false" customHeight="false" outlineLevel="0" collapsed="false">
      <c r="B86" s="7"/>
      <c r="C86" s="5"/>
      <c r="D86" s="9" t="str">
        <f aca="false">IF(C86="","",IFERROR(VLOOKUP(C86,EQUIPOS!$B$3:$C$18,2,0),"NO EXISTE"))</f>
        <v/>
      </c>
      <c r="E86" s="9" t="str">
        <f aca="false">IF(C86="","",IFERROR(VLOOKUP(C86,EQUIPOS!$B$3:$F$18,5,0),""))</f>
        <v/>
      </c>
      <c r="F86" s="5" t="str">
        <f aca="false">IF(C86="","",IFERROR(VLOOKUP(C86,EQUIPOS!$B$3:$G$18,6,0),""))</f>
        <v/>
      </c>
      <c r="G86" s="8"/>
      <c r="H86" s="5"/>
      <c r="I86" s="5"/>
      <c r="J86" s="9"/>
      <c r="K86" s="17" t="str">
        <f aca="false">IF(H86="","",IFERROR(SUMIFS(BD_PLAN!$I$3:$I$312,BD_PLAN!$B$3:$B$312,E86,BD_PLAN!$C$3:$C$312,INDEX(BD_CICLO!$F$3:$F$54,MATCH(E86&amp;"|"&amp;H86,BD_CICLO!$G$3:$G$54,0))),""))</f>
        <v/>
      </c>
      <c r="L86" s="9"/>
      <c r="M86" s="9"/>
      <c r="N86" s="1" t="str">
        <f aca="false">IF(C86="","",C86&amp;"|"&amp;COUNTIF(C$3:C86,C86))</f>
        <v/>
      </c>
      <c r="O86" s="1" t="str">
        <f aca="false">IF(OR(C86="",M86=""),"",C86&amp;"|"&amp;COUNTIFS(C$3:C86,C86,M$3:M86,"&lt;&gt;"))</f>
        <v/>
      </c>
    </row>
    <row r="87" customFormat="false" ht="15" hidden="false" customHeight="false" outlineLevel="0" collapsed="false">
      <c r="B87" s="7"/>
      <c r="C87" s="5"/>
      <c r="D87" s="9" t="str">
        <f aca="false">IF(C87="","",IFERROR(VLOOKUP(C87,EQUIPOS!$B$3:$C$18,2,0),"NO EXISTE"))</f>
        <v/>
      </c>
      <c r="E87" s="9" t="str">
        <f aca="false">IF(C87="","",IFERROR(VLOOKUP(C87,EQUIPOS!$B$3:$F$18,5,0),""))</f>
        <v/>
      </c>
      <c r="F87" s="5" t="str">
        <f aca="false">IF(C87="","",IFERROR(VLOOKUP(C87,EQUIPOS!$B$3:$G$18,6,0),""))</f>
        <v/>
      </c>
      <c r="G87" s="8"/>
      <c r="H87" s="5"/>
      <c r="I87" s="5"/>
      <c r="J87" s="9"/>
      <c r="K87" s="17" t="str">
        <f aca="false">IF(H87="","",IFERROR(SUMIFS(BD_PLAN!$I$3:$I$312,BD_PLAN!$B$3:$B$312,E87,BD_PLAN!$C$3:$C$312,INDEX(BD_CICLO!$F$3:$F$54,MATCH(E87&amp;"|"&amp;H87,BD_CICLO!$G$3:$G$54,0))),""))</f>
        <v/>
      </c>
      <c r="L87" s="9"/>
      <c r="M87" s="9"/>
      <c r="N87" s="1" t="str">
        <f aca="false">IF(C87="","",C87&amp;"|"&amp;COUNTIF(C$3:C87,C87))</f>
        <v/>
      </c>
      <c r="O87" s="1" t="str">
        <f aca="false">IF(OR(C87="",M87=""),"",C87&amp;"|"&amp;COUNTIFS(C$3:C87,C87,M$3:M87,"&lt;&gt;"))</f>
        <v/>
      </c>
    </row>
    <row r="88" customFormat="false" ht="15" hidden="false" customHeight="false" outlineLevel="0" collapsed="false">
      <c r="B88" s="7"/>
      <c r="C88" s="5"/>
      <c r="D88" s="9" t="str">
        <f aca="false">IF(C88="","",IFERROR(VLOOKUP(C88,EQUIPOS!$B$3:$C$18,2,0),"NO EXISTE"))</f>
        <v/>
      </c>
      <c r="E88" s="9" t="str">
        <f aca="false">IF(C88="","",IFERROR(VLOOKUP(C88,EQUIPOS!$B$3:$F$18,5,0),""))</f>
        <v/>
      </c>
      <c r="F88" s="5" t="str">
        <f aca="false">IF(C88="","",IFERROR(VLOOKUP(C88,EQUIPOS!$B$3:$G$18,6,0),""))</f>
        <v/>
      </c>
      <c r="G88" s="8"/>
      <c r="H88" s="5"/>
      <c r="I88" s="5"/>
      <c r="J88" s="9"/>
      <c r="K88" s="17" t="str">
        <f aca="false">IF(H88="","",IFERROR(SUMIFS(BD_PLAN!$I$3:$I$312,BD_PLAN!$B$3:$B$312,E88,BD_PLAN!$C$3:$C$312,INDEX(BD_CICLO!$F$3:$F$54,MATCH(E88&amp;"|"&amp;H88,BD_CICLO!$G$3:$G$54,0))),""))</f>
        <v/>
      </c>
      <c r="L88" s="9"/>
      <c r="M88" s="9"/>
      <c r="N88" s="1" t="str">
        <f aca="false">IF(C88="","",C88&amp;"|"&amp;COUNTIF(C$3:C88,C88))</f>
        <v/>
      </c>
      <c r="O88" s="1" t="str">
        <f aca="false">IF(OR(C88="",M88=""),"",C88&amp;"|"&amp;COUNTIFS(C$3:C88,C88,M$3:M88,"&lt;&gt;"))</f>
        <v/>
      </c>
    </row>
    <row r="89" customFormat="false" ht="15" hidden="false" customHeight="false" outlineLevel="0" collapsed="false">
      <c r="B89" s="7"/>
      <c r="C89" s="5"/>
      <c r="D89" s="9" t="str">
        <f aca="false">IF(C89="","",IFERROR(VLOOKUP(C89,EQUIPOS!$B$3:$C$18,2,0),"NO EXISTE"))</f>
        <v/>
      </c>
      <c r="E89" s="9" t="str">
        <f aca="false">IF(C89="","",IFERROR(VLOOKUP(C89,EQUIPOS!$B$3:$F$18,5,0),""))</f>
        <v/>
      </c>
      <c r="F89" s="5" t="str">
        <f aca="false">IF(C89="","",IFERROR(VLOOKUP(C89,EQUIPOS!$B$3:$G$18,6,0),""))</f>
        <v/>
      </c>
      <c r="G89" s="8"/>
      <c r="H89" s="5"/>
      <c r="I89" s="5"/>
      <c r="J89" s="9"/>
      <c r="K89" s="17" t="str">
        <f aca="false">IF(H89="","",IFERROR(SUMIFS(BD_PLAN!$I$3:$I$312,BD_PLAN!$B$3:$B$312,E89,BD_PLAN!$C$3:$C$312,INDEX(BD_CICLO!$F$3:$F$54,MATCH(E89&amp;"|"&amp;H89,BD_CICLO!$G$3:$G$54,0))),""))</f>
        <v/>
      </c>
      <c r="L89" s="9"/>
      <c r="M89" s="9"/>
      <c r="N89" s="1" t="str">
        <f aca="false">IF(C89="","",C89&amp;"|"&amp;COUNTIF(C$3:C89,C89))</f>
        <v/>
      </c>
      <c r="O89" s="1" t="str">
        <f aca="false">IF(OR(C89="",M89=""),"",C89&amp;"|"&amp;COUNTIFS(C$3:C89,C89,M$3:M89,"&lt;&gt;"))</f>
        <v/>
      </c>
    </row>
    <row r="90" customFormat="false" ht="15" hidden="false" customHeight="false" outlineLevel="0" collapsed="false">
      <c r="B90" s="7"/>
      <c r="C90" s="5"/>
      <c r="D90" s="9" t="str">
        <f aca="false">IF(C90="","",IFERROR(VLOOKUP(C90,EQUIPOS!$B$3:$C$18,2,0),"NO EXISTE"))</f>
        <v/>
      </c>
      <c r="E90" s="9" t="str">
        <f aca="false">IF(C90="","",IFERROR(VLOOKUP(C90,EQUIPOS!$B$3:$F$18,5,0),""))</f>
        <v/>
      </c>
      <c r="F90" s="5" t="str">
        <f aca="false">IF(C90="","",IFERROR(VLOOKUP(C90,EQUIPOS!$B$3:$G$18,6,0),""))</f>
        <v/>
      </c>
      <c r="G90" s="8"/>
      <c r="H90" s="5"/>
      <c r="I90" s="5"/>
      <c r="J90" s="9"/>
      <c r="K90" s="17" t="str">
        <f aca="false">IF(H90="","",IFERROR(SUMIFS(BD_PLAN!$I$3:$I$312,BD_PLAN!$B$3:$B$312,E90,BD_PLAN!$C$3:$C$312,INDEX(BD_CICLO!$F$3:$F$54,MATCH(E90&amp;"|"&amp;H90,BD_CICLO!$G$3:$G$54,0))),""))</f>
        <v/>
      </c>
      <c r="L90" s="9"/>
      <c r="M90" s="9"/>
      <c r="N90" s="1" t="str">
        <f aca="false">IF(C90="","",C90&amp;"|"&amp;COUNTIF(C$3:C90,C90))</f>
        <v/>
      </c>
      <c r="O90" s="1" t="str">
        <f aca="false">IF(OR(C90="",M90=""),"",C90&amp;"|"&amp;COUNTIFS(C$3:C90,C90,M$3:M90,"&lt;&gt;"))</f>
        <v/>
      </c>
    </row>
    <row r="91" customFormat="false" ht="15" hidden="false" customHeight="false" outlineLevel="0" collapsed="false">
      <c r="B91" s="7"/>
      <c r="C91" s="5"/>
      <c r="D91" s="9" t="str">
        <f aca="false">IF(C91="","",IFERROR(VLOOKUP(C91,EQUIPOS!$B$3:$C$18,2,0),"NO EXISTE"))</f>
        <v/>
      </c>
      <c r="E91" s="9" t="str">
        <f aca="false">IF(C91="","",IFERROR(VLOOKUP(C91,EQUIPOS!$B$3:$F$18,5,0),""))</f>
        <v/>
      </c>
      <c r="F91" s="5" t="str">
        <f aca="false">IF(C91="","",IFERROR(VLOOKUP(C91,EQUIPOS!$B$3:$G$18,6,0),""))</f>
        <v/>
      </c>
      <c r="G91" s="8"/>
      <c r="H91" s="5"/>
      <c r="I91" s="5"/>
      <c r="J91" s="9"/>
      <c r="K91" s="17" t="str">
        <f aca="false">IF(H91="","",IFERROR(SUMIFS(BD_PLAN!$I$3:$I$312,BD_PLAN!$B$3:$B$312,E91,BD_PLAN!$C$3:$C$312,INDEX(BD_CICLO!$F$3:$F$54,MATCH(E91&amp;"|"&amp;H91,BD_CICLO!$G$3:$G$54,0))),""))</f>
        <v/>
      </c>
      <c r="L91" s="9"/>
      <c r="M91" s="9"/>
      <c r="N91" s="1" t="str">
        <f aca="false">IF(C91="","",C91&amp;"|"&amp;COUNTIF(C$3:C91,C91))</f>
        <v/>
      </c>
      <c r="O91" s="1" t="str">
        <f aca="false">IF(OR(C91="",M91=""),"",C91&amp;"|"&amp;COUNTIFS(C$3:C91,C91,M$3:M91,"&lt;&gt;"))</f>
        <v/>
      </c>
    </row>
    <row r="92" customFormat="false" ht="15" hidden="false" customHeight="false" outlineLevel="0" collapsed="false">
      <c r="B92" s="7"/>
      <c r="C92" s="5"/>
      <c r="D92" s="9" t="str">
        <f aca="false">IF(C92="","",IFERROR(VLOOKUP(C92,EQUIPOS!$B$3:$C$18,2,0),"NO EXISTE"))</f>
        <v/>
      </c>
      <c r="E92" s="9" t="str">
        <f aca="false">IF(C92="","",IFERROR(VLOOKUP(C92,EQUIPOS!$B$3:$F$18,5,0),""))</f>
        <v/>
      </c>
      <c r="F92" s="5" t="str">
        <f aca="false">IF(C92="","",IFERROR(VLOOKUP(C92,EQUIPOS!$B$3:$G$18,6,0),""))</f>
        <v/>
      </c>
      <c r="G92" s="8"/>
      <c r="H92" s="5"/>
      <c r="I92" s="5"/>
      <c r="J92" s="9"/>
      <c r="K92" s="17" t="str">
        <f aca="false">IF(H92="","",IFERROR(SUMIFS(BD_PLAN!$I$3:$I$312,BD_PLAN!$B$3:$B$312,E92,BD_PLAN!$C$3:$C$312,INDEX(BD_CICLO!$F$3:$F$54,MATCH(E92&amp;"|"&amp;H92,BD_CICLO!$G$3:$G$54,0))),""))</f>
        <v/>
      </c>
      <c r="L92" s="9"/>
      <c r="M92" s="9"/>
      <c r="N92" s="1" t="str">
        <f aca="false">IF(C92="","",C92&amp;"|"&amp;COUNTIF(C$3:C92,C92))</f>
        <v/>
      </c>
      <c r="O92" s="1" t="str">
        <f aca="false">IF(OR(C92="",M92=""),"",C92&amp;"|"&amp;COUNTIFS(C$3:C92,C92,M$3:M92,"&lt;&gt;"))</f>
        <v/>
      </c>
    </row>
    <row r="93" customFormat="false" ht="15" hidden="false" customHeight="false" outlineLevel="0" collapsed="false">
      <c r="B93" s="7"/>
      <c r="C93" s="5"/>
      <c r="D93" s="9" t="str">
        <f aca="false">IF(C93="","",IFERROR(VLOOKUP(C93,EQUIPOS!$B$3:$C$18,2,0),"NO EXISTE"))</f>
        <v/>
      </c>
      <c r="E93" s="9" t="str">
        <f aca="false">IF(C93="","",IFERROR(VLOOKUP(C93,EQUIPOS!$B$3:$F$18,5,0),""))</f>
        <v/>
      </c>
      <c r="F93" s="5" t="str">
        <f aca="false">IF(C93="","",IFERROR(VLOOKUP(C93,EQUIPOS!$B$3:$G$18,6,0),""))</f>
        <v/>
      </c>
      <c r="G93" s="8"/>
      <c r="H93" s="5"/>
      <c r="I93" s="5"/>
      <c r="J93" s="9"/>
      <c r="K93" s="17" t="str">
        <f aca="false">IF(H93="","",IFERROR(SUMIFS(BD_PLAN!$I$3:$I$312,BD_PLAN!$B$3:$B$312,E93,BD_PLAN!$C$3:$C$312,INDEX(BD_CICLO!$F$3:$F$54,MATCH(E93&amp;"|"&amp;H93,BD_CICLO!$G$3:$G$54,0))),""))</f>
        <v/>
      </c>
      <c r="L93" s="9"/>
      <c r="M93" s="9"/>
      <c r="N93" s="1" t="str">
        <f aca="false">IF(C93="","",C93&amp;"|"&amp;COUNTIF(C$3:C93,C93))</f>
        <v/>
      </c>
      <c r="O93" s="1" t="str">
        <f aca="false">IF(OR(C93="",M93=""),"",C93&amp;"|"&amp;COUNTIFS(C$3:C93,C93,M$3:M93,"&lt;&gt;"))</f>
        <v/>
      </c>
    </row>
    <row r="94" customFormat="false" ht="15" hidden="false" customHeight="false" outlineLevel="0" collapsed="false">
      <c r="B94" s="7"/>
      <c r="C94" s="5"/>
      <c r="D94" s="9" t="str">
        <f aca="false">IF(C94="","",IFERROR(VLOOKUP(C94,EQUIPOS!$B$3:$C$18,2,0),"NO EXISTE"))</f>
        <v/>
      </c>
      <c r="E94" s="9" t="str">
        <f aca="false">IF(C94="","",IFERROR(VLOOKUP(C94,EQUIPOS!$B$3:$F$18,5,0),""))</f>
        <v/>
      </c>
      <c r="F94" s="5" t="str">
        <f aca="false">IF(C94="","",IFERROR(VLOOKUP(C94,EQUIPOS!$B$3:$G$18,6,0),""))</f>
        <v/>
      </c>
      <c r="G94" s="8"/>
      <c r="H94" s="5"/>
      <c r="I94" s="5"/>
      <c r="J94" s="9"/>
      <c r="K94" s="17" t="str">
        <f aca="false">IF(H94="","",IFERROR(SUMIFS(BD_PLAN!$I$3:$I$312,BD_PLAN!$B$3:$B$312,E94,BD_PLAN!$C$3:$C$312,INDEX(BD_CICLO!$F$3:$F$54,MATCH(E94&amp;"|"&amp;H94,BD_CICLO!$G$3:$G$54,0))),""))</f>
        <v/>
      </c>
      <c r="L94" s="9"/>
      <c r="M94" s="9"/>
      <c r="N94" s="1" t="str">
        <f aca="false">IF(C94="","",C94&amp;"|"&amp;COUNTIF(C$3:C94,C94))</f>
        <v/>
      </c>
      <c r="O94" s="1" t="str">
        <f aca="false">IF(OR(C94="",M94=""),"",C94&amp;"|"&amp;COUNTIFS(C$3:C94,C94,M$3:M94,"&lt;&gt;"))</f>
        <v/>
      </c>
    </row>
    <row r="95" customFormat="false" ht="15" hidden="false" customHeight="false" outlineLevel="0" collapsed="false">
      <c r="B95" s="7"/>
      <c r="C95" s="5"/>
      <c r="D95" s="9" t="str">
        <f aca="false">IF(C95="","",IFERROR(VLOOKUP(C95,EQUIPOS!$B$3:$C$18,2,0),"NO EXISTE"))</f>
        <v/>
      </c>
      <c r="E95" s="9" t="str">
        <f aca="false">IF(C95="","",IFERROR(VLOOKUP(C95,EQUIPOS!$B$3:$F$18,5,0),""))</f>
        <v/>
      </c>
      <c r="F95" s="5" t="str">
        <f aca="false">IF(C95="","",IFERROR(VLOOKUP(C95,EQUIPOS!$B$3:$G$18,6,0),""))</f>
        <v/>
      </c>
      <c r="G95" s="8"/>
      <c r="H95" s="5"/>
      <c r="I95" s="5"/>
      <c r="J95" s="9"/>
      <c r="K95" s="17" t="str">
        <f aca="false">IF(H95="","",IFERROR(SUMIFS(BD_PLAN!$I$3:$I$312,BD_PLAN!$B$3:$B$312,E95,BD_PLAN!$C$3:$C$312,INDEX(BD_CICLO!$F$3:$F$54,MATCH(E95&amp;"|"&amp;H95,BD_CICLO!$G$3:$G$54,0))),""))</f>
        <v/>
      </c>
      <c r="L95" s="9"/>
      <c r="M95" s="9"/>
      <c r="N95" s="1" t="str">
        <f aca="false">IF(C95="","",C95&amp;"|"&amp;COUNTIF(C$3:C95,C95))</f>
        <v/>
      </c>
      <c r="O95" s="1" t="str">
        <f aca="false">IF(OR(C95="",M95=""),"",C95&amp;"|"&amp;COUNTIFS(C$3:C95,C95,M$3:M95,"&lt;&gt;"))</f>
        <v/>
      </c>
    </row>
    <row r="96" customFormat="false" ht="15" hidden="false" customHeight="false" outlineLevel="0" collapsed="false">
      <c r="B96" s="7"/>
      <c r="C96" s="5"/>
      <c r="D96" s="9" t="str">
        <f aca="false">IF(C96="","",IFERROR(VLOOKUP(C96,EQUIPOS!$B$3:$C$18,2,0),"NO EXISTE"))</f>
        <v/>
      </c>
      <c r="E96" s="9" t="str">
        <f aca="false">IF(C96="","",IFERROR(VLOOKUP(C96,EQUIPOS!$B$3:$F$18,5,0),""))</f>
        <v/>
      </c>
      <c r="F96" s="5" t="str">
        <f aca="false">IF(C96="","",IFERROR(VLOOKUP(C96,EQUIPOS!$B$3:$G$18,6,0),""))</f>
        <v/>
      </c>
      <c r="G96" s="8"/>
      <c r="H96" s="5"/>
      <c r="I96" s="5"/>
      <c r="J96" s="9"/>
      <c r="K96" s="17" t="str">
        <f aca="false">IF(H96="","",IFERROR(SUMIFS(BD_PLAN!$I$3:$I$312,BD_PLAN!$B$3:$B$312,E96,BD_PLAN!$C$3:$C$312,INDEX(BD_CICLO!$F$3:$F$54,MATCH(E96&amp;"|"&amp;H96,BD_CICLO!$G$3:$G$54,0))),""))</f>
        <v/>
      </c>
      <c r="L96" s="9"/>
      <c r="M96" s="9"/>
      <c r="N96" s="1" t="str">
        <f aca="false">IF(C96="","",C96&amp;"|"&amp;COUNTIF(C$3:C96,C96))</f>
        <v/>
      </c>
      <c r="O96" s="1" t="str">
        <f aca="false">IF(OR(C96="",M96=""),"",C96&amp;"|"&amp;COUNTIFS(C$3:C96,C96,M$3:M96,"&lt;&gt;"))</f>
        <v/>
      </c>
    </row>
    <row r="97" customFormat="false" ht="15" hidden="false" customHeight="false" outlineLevel="0" collapsed="false">
      <c r="B97" s="7"/>
      <c r="C97" s="5"/>
      <c r="D97" s="9" t="str">
        <f aca="false">IF(C97="","",IFERROR(VLOOKUP(C97,EQUIPOS!$B$3:$C$18,2,0),"NO EXISTE"))</f>
        <v/>
      </c>
      <c r="E97" s="9" t="str">
        <f aca="false">IF(C97="","",IFERROR(VLOOKUP(C97,EQUIPOS!$B$3:$F$18,5,0),""))</f>
        <v/>
      </c>
      <c r="F97" s="5" t="str">
        <f aca="false">IF(C97="","",IFERROR(VLOOKUP(C97,EQUIPOS!$B$3:$G$18,6,0),""))</f>
        <v/>
      </c>
      <c r="G97" s="8"/>
      <c r="H97" s="5"/>
      <c r="I97" s="5"/>
      <c r="J97" s="9"/>
      <c r="K97" s="17" t="str">
        <f aca="false">IF(H97="","",IFERROR(SUMIFS(BD_PLAN!$I$3:$I$312,BD_PLAN!$B$3:$B$312,E97,BD_PLAN!$C$3:$C$312,INDEX(BD_CICLO!$F$3:$F$54,MATCH(E97&amp;"|"&amp;H97,BD_CICLO!$G$3:$G$54,0))),""))</f>
        <v/>
      </c>
      <c r="L97" s="9"/>
      <c r="M97" s="9"/>
      <c r="N97" s="1" t="str">
        <f aca="false">IF(C97="","",C97&amp;"|"&amp;COUNTIF(C$3:C97,C97))</f>
        <v/>
      </c>
      <c r="O97" s="1" t="str">
        <f aca="false">IF(OR(C97="",M97=""),"",C97&amp;"|"&amp;COUNTIFS(C$3:C97,C97,M$3:M97,"&lt;&gt;"))</f>
        <v/>
      </c>
    </row>
    <row r="98" customFormat="false" ht="15" hidden="false" customHeight="false" outlineLevel="0" collapsed="false">
      <c r="B98" s="7"/>
      <c r="C98" s="5"/>
      <c r="D98" s="9" t="str">
        <f aca="false">IF(C98="","",IFERROR(VLOOKUP(C98,EQUIPOS!$B$3:$C$18,2,0),"NO EXISTE"))</f>
        <v/>
      </c>
      <c r="E98" s="9" t="str">
        <f aca="false">IF(C98="","",IFERROR(VLOOKUP(C98,EQUIPOS!$B$3:$F$18,5,0),""))</f>
        <v/>
      </c>
      <c r="F98" s="5" t="str">
        <f aca="false">IF(C98="","",IFERROR(VLOOKUP(C98,EQUIPOS!$B$3:$G$18,6,0),""))</f>
        <v/>
      </c>
      <c r="G98" s="8"/>
      <c r="H98" s="5"/>
      <c r="I98" s="5"/>
      <c r="J98" s="9"/>
      <c r="K98" s="17" t="str">
        <f aca="false">IF(H98="","",IFERROR(SUMIFS(BD_PLAN!$I$3:$I$312,BD_PLAN!$B$3:$B$312,E98,BD_PLAN!$C$3:$C$312,INDEX(BD_CICLO!$F$3:$F$54,MATCH(E98&amp;"|"&amp;H98,BD_CICLO!$G$3:$G$54,0))),""))</f>
        <v/>
      </c>
      <c r="L98" s="9"/>
      <c r="M98" s="9"/>
      <c r="N98" s="1" t="str">
        <f aca="false">IF(C98="","",C98&amp;"|"&amp;COUNTIF(C$3:C98,C98))</f>
        <v/>
      </c>
      <c r="O98" s="1" t="str">
        <f aca="false">IF(OR(C98="",M98=""),"",C98&amp;"|"&amp;COUNTIFS(C$3:C98,C98,M$3:M98,"&lt;&gt;"))</f>
        <v/>
      </c>
    </row>
    <row r="99" customFormat="false" ht="15" hidden="false" customHeight="false" outlineLevel="0" collapsed="false">
      <c r="B99" s="7"/>
      <c r="C99" s="5"/>
      <c r="D99" s="9" t="str">
        <f aca="false">IF(C99="","",IFERROR(VLOOKUP(C99,EQUIPOS!$B$3:$C$18,2,0),"NO EXISTE"))</f>
        <v/>
      </c>
      <c r="E99" s="9" t="str">
        <f aca="false">IF(C99="","",IFERROR(VLOOKUP(C99,EQUIPOS!$B$3:$F$18,5,0),""))</f>
        <v/>
      </c>
      <c r="F99" s="5" t="str">
        <f aca="false">IF(C99="","",IFERROR(VLOOKUP(C99,EQUIPOS!$B$3:$G$18,6,0),""))</f>
        <v/>
      </c>
      <c r="G99" s="8"/>
      <c r="H99" s="5"/>
      <c r="I99" s="5"/>
      <c r="J99" s="9"/>
      <c r="K99" s="17" t="str">
        <f aca="false">IF(H99="","",IFERROR(SUMIFS(BD_PLAN!$I$3:$I$312,BD_PLAN!$B$3:$B$312,E99,BD_PLAN!$C$3:$C$312,INDEX(BD_CICLO!$F$3:$F$54,MATCH(E99&amp;"|"&amp;H99,BD_CICLO!$G$3:$G$54,0))),""))</f>
        <v/>
      </c>
      <c r="L99" s="9"/>
      <c r="M99" s="9"/>
      <c r="N99" s="1" t="str">
        <f aca="false">IF(C99="","",C99&amp;"|"&amp;COUNTIF(C$3:C99,C99))</f>
        <v/>
      </c>
      <c r="O99" s="1" t="str">
        <f aca="false">IF(OR(C99="",M99=""),"",C99&amp;"|"&amp;COUNTIFS(C$3:C99,C99,M$3:M99,"&lt;&gt;"))</f>
        <v/>
      </c>
    </row>
    <row r="100" customFormat="false" ht="15" hidden="false" customHeight="false" outlineLevel="0" collapsed="false">
      <c r="B100" s="7"/>
      <c r="C100" s="5"/>
      <c r="D100" s="9" t="str">
        <f aca="false">IF(C100="","",IFERROR(VLOOKUP(C100,EQUIPOS!$B$3:$C$18,2,0),"NO EXISTE"))</f>
        <v/>
      </c>
      <c r="E100" s="9" t="str">
        <f aca="false">IF(C100="","",IFERROR(VLOOKUP(C100,EQUIPOS!$B$3:$F$18,5,0),""))</f>
        <v/>
      </c>
      <c r="F100" s="5" t="str">
        <f aca="false">IF(C100="","",IFERROR(VLOOKUP(C100,EQUIPOS!$B$3:$G$18,6,0),""))</f>
        <v/>
      </c>
      <c r="G100" s="8"/>
      <c r="H100" s="5"/>
      <c r="I100" s="5"/>
      <c r="J100" s="9"/>
      <c r="K100" s="17" t="str">
        <f aca="false">IF(H100="","",IFERROR(SUMIFS(BD_PLAN!$I$3:$I$312,BD_PLAN!$B$3:$B$312,E100,BD_PLAN!$C$3:$C$312,INDEX(BD_CICLO!$F$3:$F$54,MATCH(E100&amp;"|"&amp;H100,BD_CICLO!$G$3:$G$54,0))),""))</f>
        <v/>
      </c>
      <c r="L100" s="9"/>
      <c r="M100" s="9"/>
      <c r="N100" s="1" t="str">
        <f aca="false">IF(C100="","",C100&amp;"|"&amp;COUNTIF(C$3:C100,C100))</f>
        <v/>
      </c>
      <c r="O100" s="1" t="str">
        <f aca="false">IF(OR(C100="",M100=""),"",C100&amp;"|"&amp;COUNTIFS(C$3:C100,C100,M$3:M100,"&lt;&gt;"))</f>
        <v/>
      </c>
    </row>
    <row r="101" customFormat="false" ht="15" hidden="false" customHeight="false" outlineLevel="0" collapsed="false">
      <c r="B101" s="7"/>
      <c r="C101" s="5"/>
      <c r="D101" s="9" t="str">
        <f aca="false">IF(C101="","",IFERROR(VLOOKUP(C101,EQUIPOS!$B$3:$C$18,2,0),"NO EXISTE"))</f>
        <v/>
      </c>
      <c r="E101" s="9" t="str">
        <f aca="false">IF(C101="","",IFERROR(VLOOKUP(C101,EQUIPOS!$B$3:$F$18,5,0),""))</f>
        <v/>
      </c>
      <c r="F101" s="5" t="str">
        <f aca="false">IF(C101="","",IFERROR(VLOOKUP(C101,EQUIPOS!$B$3:$G$18,6,0),""))</f>
        <v/>
      </c>
      <c r="G101" s="8"/>
      <c r="H101" s="5"/>
      <c r="I101" s="5"/>
      <c r="J101" s="9"/>
      <c r="K101" s="17" t="str">
        <f aca="false">IF(H101="","",IFERROR(SUMIFS(BD_PLAN!$I$3:$I$312,BD_PLAN!$B$3:$B$312,E101,BD_PLAN!$C$3:$C$312,INDEX(BD_CICLO!$F$3:$F$54,MATCH(E101&amp;"|"&amp;H101,BD_CICLO!$G$3:$G$54,0))),""))</f>
        <v/>
      </c>
      <c r="L101" s="9"/>
      <c r="M101" s="9"/>
      <c r="N101" s="1" t="str">
        <f aca="false">IF(C101="","",C101&amp;"|"&amp;COUNTIF(C$3:C101,C101))</f>
        <v/>
      </c>
      <c r="O101" s="1" t="str">
        <f aca="false">IF(OR(C101="",M101=""),"",C101&amp;"|"&amp;COUNTIFS(C$3:C101,C101,M$3:M101,"&lt;&gt;"))</f>
        <v/>
      </c>
    </row>
    <row r="102" customFormat="false" ht="15" hidden="false" customHeight="false" outlineLevel="0" collapsed="false">
      <c r="B102" s="7"/>
      <c r="C102" s="5"/>
      <c r="D102" s="9" t="str">
        <f aca="false">IF(C102="","",IFERROR(VLOOKUP(C102,EQUIPOS!$B$3:$C$18,2,0),"NO EXISTE"))</f>
        <v/>
      </c>
      <c r="E102" s="9" t="str">
        <f aca="false">IF(C102="","",IFERROR(VLOOKUP(C102,EQUIPOS!$B$3:$F$18,5,0),""))</f>
        <v/>
      </c>
      <c r="F102" s="5" t="str">
        <f aca="false">IF(C102="","",IFERROR(VLOOKUP(C102,EQUIPOS!$B$3:$G$18,6,0),""))</f>
        <v/>
      </c>
      <c r="G102" s="8"/>
      <c r="H102" s="5"/>
      <c r="I102" s="5"/>
      <c r="J102" s="9"/>
      <c r="K102" s="17" t="str">
        <f aca="false">IF(H102="","",IFERROR(SUMIFS(BD_PLAN!$I$3:$I$312,BD_PLAN!$B$3:$B$312,E102,BD_PLAN!$C$3:$C$312,INDEX(BD_CICLO!$F$3:$F$54,MATCH(E102&amp;"|"&amp;H102,BD_CICLO!$G$3:$G$54,0))),""))</f>
        <v/>
      </c>
      <c r="L102" s="9"/>
      <c r="M102" s="9"/>
      <c r="N102" s="1" t="str">
        <f aca="false">IF(C102="","",C102&amp;"|"&amp;COUNTIF(C$3:C102,C102))</f>
        <v/>
      </c>
      <c r="O102" s="1" t="str">
        <f aca="false">IF(OR(C102="",M102=""),"",C102&amp;"|"&amp;COUNTIFS(C$3:C102,C102,M$3:M102,"&lt;&gt;"))</f>
        <v/>
      </c>
    </row>
    <row r="103" customFormat="false" ht="15" hidden="false" customHeight="false" outlineLevel="0" collapsed="false">
      <c r="B103" s="7"/>
      <c r="C103" s="5"/>
      <c r="D103" s="9" t="str">
        <f aca="false">IF(C103="","",IFERROR(VLOOKUP(C103,EQUIPOS!$B$3:$C$18,2,0),"NO EXISTE"))</f>
        <v/>
      </c>
      <c r="E103" s="9" t="str">
        <f aca="false">IF(C103="","",IFERROR(VLOOKUP(C103,EQUIPOS!$B$3:$F$18,5,0),""))</f>
        <v/>
      </c>
      <c r="F103" s="5" t="str">
        <f aca="false">IF(C103="","",IFERROR(VLOOKUP(C103,EQUIPOS!$B$3:$G$18,6,0),""))</f>
        <v/>
      </c>
      <c r="G103" s="8"/>
      <c r="H103" s="5"/>
      <c r="I103" s="5"/>
      <c r="J103" s="9"/>
      <c r="K103" s="17" t="str">
        <f aca="false">IF(H103="","",IFERROR(SUMIFS(BD_PLAN!$I$3:$I$312,BD_PLAN!$B$3:$B$312,E103,BD_PLAN!$C$3:$C$312,INDEX(BD_CICLO!$F$3:$F$54,MATCH(E103&amp;"|"&amp;H103,BD_CICLO!$G$3:$G$54,0))),""))</f>
        <v/>
      </c>
      <c r="L103" s="9"/>
      <c r="M103" s="9"/>
      <c r="N103" s="1" t="str">
        <f aca="false">IF(C103="","",C103&amp;"|"&amp;COUNTIF(C$3:C103,C103))</f>
        <v/>
      </c>
      <c r="O103" s="1" t="str">
        <f aca="false">IF(OR(C103="",M103=""),"",C103&amp;"|"&amp;COUNTIFS(C$3:C103,C103,M$3:M103,"&lt;&gt;"))</f>
        <v/>
      </c>
    </row>
    <row r="104" customFormat="false" ht="15" hidden="false" customHeight="false" outlineLevel="0" collapsed="false">
      <c r="B104" s="7"/>
      <c r="C104" s="5"/>
      <c r="D104" s="9" t="str">
        <f aca="false">IF(C104="","",IFERROR(VLOOKUP(C104,EQUIPOS!$B$3:$C$18,2,0),"NO EXISTE"))</f>
        <v/>
      </c>
      <c r="E104" s="9" t="str">
        <f aca="false">IF(C104="","",IFERROR(VLOOKUP(C104,EQUIPOS!$B$3:$F$18,5,0),""))</f>
        <v/>
      </c>
      <c r="F104" s="5" t="str">
        <f aca="false">IF(C104="","",IFERROR(VLOOKUP(C104,EQUIPOS!$B$3:$G$18,6,0),""))</f>
        <v/>
      </c>
      <c r="G104" s="8"/>
      <c r="H104" s="5"/>
      <c r="I104" s="5"/>
      <c r="J104" s="9"/>
      <c r="K104" s="17" t="str">
        <f aca="false">IF(H104="","",IFERROR(SUMIFS(BD_PLAN!$I$3:$I$312,BD_PLAN!$B$3:$B$312,E104,BD_PLAN!$C$3:$C$312,INDEX(BD_CICLO!$F$3:$F$54,MATCH(E104&amp;"|"&amp;H104,BD_CICLO!$G$3:$G$54,0))),""))</f>
        <v/>
      </c>
      <c r="L104" s="9"/>
      <c r="M104" s="9"/>
      <c r="N104" s="1" t="str">
        <f aca="false">IF(C104="","",C104&amp;"|"&amp;COUNTIF(C$3:C104,C104))</f>
        <v/>
      </c>
      <c r="O104" s="1" t="str">
        <f aca="false">IF(OR(C104="",M104=""),"",C104&amp;"|"&amp;COUNTIFS(C$3:C104,C104,M$3:M104,"&lt;&gt;"))</f>
        <v/>
      </c>
    </row>
    <row r="105" customFormat="false" ht="15" hidden="false" customHeight="false" outlineLevel="0" collapsed="false">
      <c r="B105" s="7"/>
      <c r="C105" s="5"/>
      <c r="D105" s="9" t="str">
        <f aca="false">IF(C105="","",IFERROR(VLOOKUP(C105,EQUIPOS!$B$3:$C$18,2,0),"NO EXISTE"))</f>
        <v/>
      </c>
      <c r="E105" s="9" t="str">
        <f aca="false">IF(C105="","",IFERROR(VLOOKUP(C105,EQUIPOS!$B$3:$F$18,5,0),""))</f>
        <v/>
      </c>
      <c r="F105" s="5" t="str">
        <f aca="false">IF(C105="","",IFERROR(VLOOKUP(C105,EQUIPOS!$B$3:$G$18,6,0),""))</f>
        <v/>
      </c>
      <c r="G105" s="8"/>
      <c r="H105" s="5"/>
      <c r="I105" s="5"/>
      <c r="J105" s="9"/>
      <c r="K105" s="17" t="str">
        <f aca="false">IF(H105="","",IFERROR(SUMIFS(BD_PLAN!$I$3:$I$312,BD_PLAN!$B$3:$B$312,E105,BD_PLAN!$C$3:$C$312,INDEX(BD_CICLO!$F$3:$F$54,MATCH(E105&amp;"|"&amp;H105,BD_CICLO!$G$3:$G$54,0))),""))</f>
        <v/>
      </c>
      <c r="L105" s="9"/>
      <c r="M105" s="9"/>
      <c r="N105" s="1" t="str">
        <f aca="false">IF(C105="","",C105&amp;"|"&amp;COUNTIF(C$3:C105,C105))</f>
        <v/>
      </c>
      <c r="O105" s="1" t="str">
        <f aca="false">IF(OR(C105="",M105=""),"",C105&amp;"|"&amp;COUNTIFS(C$3:C105,C105,M$3:M105,"&lt;&gt;"))</f>
        <v/>
      </c>
    </row>
    <row r="106" customFormat="false" ht="15" hidden="false" customHeight="false" outlineLevel="0" collapsed="false">
      <c r="B106" s="7"/>
      <c r="C106" s="5"/>
      <c r="D106" s="9" t="str">
        <f aca="false">IF(C106="","",IFERROR(VLOOKUP(C106,EQUIPOS!$B$3:$C$18,2,0),"NO EXISTE"))</f>
        <v/>
      </c>
      <c r="E106" s="9" t="str">
        <f aca="false">IF(C106="","",IFERROR(VLOOKUP(C106,EQUIPOS!$B$3:$F$18,5,0),""))</f>
        <v/>
      </c>
      <c r="F106" s="5" t="str">
        <f aca="false">IF(C106="","",IFERROR(VLOOKUP(C106,EQUIPOS!$B$3:$G$18,6,0),""))</f>
        <v/>
      </c>
      <c r="G106" s="8"/>
      <c r="H106" s="5"/>
      <c r="I106" s="5"/>
      <c r="J106" s="9"/>
      <c r="K106" s="17" t="str">
        <f aca="false">IF(H106="","",IFERROR(SUMIFS(BD_PLAN!$I$3:$I$312,BD_PLAN!$B$3:$B$312,E106,BD_PLAN!$C$3:$C$312,INDEX(BD_CICLO!$F$3:$F$54,MATCH(E106&amp;"|"&amp;H106,BD_CICLO!$G$3:$G$54,0))),""))</f>
        <v/>
      </c>
      <c r="L106" s="9"/>
      <c r="M106" s="9"/>
      <c r="N106" s="1" t="str">
        <f aca="false">IF(C106="","",C106&amp;"|"&amp;COUNTIF(C$3:C106,C106))</f>
        <v/>
      </c>
      <c r="O106" s="1" t="str">
        <f aca="false">IF(OR(C106="",M106=""),"",C106&amp;"|"&amp;COUNTIFS(C$3:C106,C106,M$3:M106,"&lt;&gt;"))</f>
        <v/>
      </c>
    </row>
    <row r="107" customFormat="false" ht="15" hidden="false" customHeight="false" outlineLevel="0" collapsed="false">
      <c r="B107" s="7"/>
      <c r="C107" s="5"/>
      <c r="D107" s="9" t="str">
        <f aca="false">IF(C107="","",IFERROR(VLOOKUP(C107,EQUIPOS!$B$3:$C$18,2,0),"NO EXISTE"))</f>
        <v/>
      </c>
      <c r="E107" s="9" t="str">
        <f aca="false">IF(C107="","",IFERROR(VLOOKUP(C107,EQUIPOS!$B$3:$F$18,5,0),""))</f>
        <v/>
      </c>
      <c r="F107" s="5" t="str">
        <f aca="false">IF(C107="","",IFERROR(VLOOKUP(C107,EQUIPOS!$B$3:$G$18,6,0),""))</f>
        <v/>
      </c>
      <c r="G107" s="8"/>
      <c r="H107" s="5"/>
      <c r="I107" s="5"/>
      <c r="J107" s="9"/>
      <c r="K107" s="17" t="str">
        <f aca="false">IF(H107="","",IFERROR(SUMIFS(BD_PLAN!$I$3:$I$312,BD_PLAN!$B$3:$B$312,E107,BD_PLAN!$C$3:$C$312,INDEX(BD_CICLO!$F$3:$F$54,MATCH(E107&amp;"|"&amp;H107,BD_CICLO!$G$3:$G$54,0))),""))</f>
        <v/>
      </c>
      <c r="L107" s="9"/>
      <c r="M107" s="9"/>
      <c r="N107" s="1" t="str">
        <f aca="false">IF(C107="","",C107&amp;"|"&amp;COUNTIF(C$3:C107,C107))</f>
        <v/>
      </c>
      <c r="O107" s="1" t="str">
        <f aca="false">IF(OR(C107="",M107=""),"",C107&amp;"|"&amp;COUNTIFS(C$3:C107,C107,M$3:M107,"&lt;&gt;"))</f>
        <v/>
      </c>
    </row>
    <row r="108" customFormat="false" ht="15" hidden="false" customHeight="false" outlineLevel="0" collapsed="false">
      <c r="B108" s="7"/>
      <c r="C108" s="5"/>
      <c r="D108" s="9" t="str">
        <f aca="false">IF(C108="","",IFERROR(VLOOKUP(C108,EQUIPOS!$B$3:$C$18,2,0),"NO EXISTE"))</f>
        <v/>
      </c>
      <c r="E108" s="9" t="str">
        <f aca="false">IF(C108="","",IFERROR(VLOOKUP(C108,EQUIPOS!$B$3:$F$18,5,0),""))</f>
        <v/>
      </c>
      <c r="F108" s="5" t="str">
        <f aca="false">IF(C108="","",IFERROR(VLOOKUP(C108,EQUIPOS!$B$3:$G$18,6,0),""))</f>
        <v/>
      </c>
      <c r="G108" s="8"/>
      <c r="H108" s="5"/>
      <c r="I108" s="5"/>
      <c r="J108" s="9"/>
      <c r="K108" s="17" t="str">
        <f aca="false">IF(H108="","",IFERROR(SUMIFS(BD_PLAN!$I$3:$I$312,BD_PLAN!$B$3:$B$312,E108,BD_PLAN!$C$3:$C$312,INDEX(BD_CICLO!$F$3:$F$54,MATCH(E108&amp;"|"&amp;H108,BD_CICLO!$G$3:$G$54,0))),""))</f>
        <v/>
      </c>
      <c r="L108" s="9"/>
      <c r="M108" s="9"/>
      <c r="N108" s="1" t="str">
        <f aca="false">IF(C108="","",C108&amp;"|"&amp;COUNTIF(C$3:C108,C108))</f>
        <v/>
      </c>
      <c r="O108" s="1" t="str">
        <f aca="false">IF(OR(C108="",M108=""),"",C108&amp;"|"&amp;COUNTIFS(C$3:C108,C108,M$3:M108,"&lt;&gt;"))</f>
        <v/>
      </c>
    </row>
    <row r="109" customFormat="false" ht="15" hidden="false" customHeight="false" outlineLevel="0" collapsed="false">
      <c r="B109" s="7"/>
      <c r="C109" s="5"/>
      <c r="D109" s="9" t="str">
        <f aca="false">IF(C109="","",IFERROR(VLOOKUP(C109,EQUIPOS!$B$3:$C$18,2,0),"NO EXISTE"))</f>
        <v/>
      </c>
      <c r="E109" s="9" t="str">
        <f aca="false">IF(C109="","",IFERROR(VLOOKUP(C109,EQUIPOS!$B$3:$F$18,5,0),""))</f>
        <v/>
      </c>
      <c r="F109" s="5" t="str">
        <f aca="false">IF(C109="","",IFERROR(VLOOKUP(C109,EQUIPOS!$B$3:$G$18,6,0),""))</f>
        <v/>
      </c>
      <c r="G109" s="8"/>
      <c r="H109" s="5"/>
      <c r="I109" s="5"/>
      <c r="J109" s="9"/>
      <c r="K109" s="17" t="str">
        <f aca="false">IF(H109="","",IFERROR(SUMIFS(BD_PLAN!$I$3:$I$312,BD_PLAN!$B$3:$B$312,E109,BD_PLAN!$C$3:$C$312,INDEX(BD_CICLO!$F$3:$F$54,MATCH(E109&amp;"|"&amp;H109,BD_CICLO!$G$3:$G$54,0))),""))</f>
        <v/>
      </c>
      <c r="L109" s="9"/>
      <c r="M109" s="9"/>
      <c r="N109" s="1" t="str">
        <f aca="false">IF(C109="","",C109&amp;"|"&amp;COUNTIF(C$3:C109,C109))</f>
        <v/>
      </c>
      <c r="O109" s="1" t="str">
        <f aca="false">IF(OR(C109="",M109=""),"",C109&amp;"|"&amp;COUNTIFS(C$3:C109,C109,M$3:M109,"&lt;&gt;"))</f>
        <v/>
      </c>
    </row>
    <row r="110" customFormat="false" ht="15" hidden="false" customHeight="false" outlineLevel="0" collapsed="false">
      <c r="B110" s="7"/>
      <c r="C110" s="5"/>
      <c r="D110" s="9" t="str">
        <f aca="false">IF(C110="","",IFERROR(VLOOKUP(C110,EQUIPOS!$B$3:$C$18,2,0),"NO EXISTE"))</f>
        <v/>
      </c>
      <c r="E110" s="9" t="str">
        <f aca="false">IF(C110="","",IFERROR(VLOOKUP(C110,EQUIPOS!$B$3:$F$18,5,0),""))</f>
        <v/>
      </c>
      <c r="F110" s="5" t="str">
        <f aca="false">IF(C110="","",IFERROR(VLOOKUP(C110,EQUIPOS!$B$3:$G$18,6,0),""))</f>
        <v/>
      </c>
      <c r="G110" s="8"/>
      <c r="H110" s="5"/>
      <c r="I110" s="5"/>
      <c r="J110" s="9"/>
      <c r="K110" s="17" t="str">
        <f aca="false">IF(H110="","",IFERROR(SUMIFS(BD_PLAN!$I$3:$I$312,BD_PLAN!$B$3:$B$312,E110,BD_PLAN!$C$3:$C$312,INDEX(BD_CICLO!$F$3:$F$54,MATCH(E110&amp;"|"&amp;H110,BD_CICLO!$G$3:$G$54,0))),""))</f>
        <v/>
      </c>
      <c r="L110" s="9"/>
      <c r="M110" s="9"/>
      <c r="N110" s="1" t="str">
        <f aca="false">IF(C110="","",C110&amp;"|"&amp;COUNTIF(C$3:C110,C110))</f>
        <v/>
      </c>
      <c r="O110" s="1" t="str">
        <f aca="false">IF(OR(C110="",M110=""),"",C110&amp;"|"&amp;COUNTIFS(C$3:C110,C110,M$3:M110,"&lt;&gt;"))</f>
        <v/>
      </c>
    </row>
    <row r="111" customFormat="false" ht="15" hidden="false" customHeight="false" outlineLevel="0" collapsed="false">
      <c r="B111" s="7"/>
      <c r="C111" s="5"/>
      <c r="D111" s="9" t="str">
        <f aca="false">IF(C111="","",IFERROR(VLOOKUP(C111,EQUIPOS!$B$3:$C$18,2,0),"NO EXISTE"))</f>
        <v/>
      </c>
      <c r="E111" s="9" t="str">
        <f aca="false">IF(C111="","",IFERROR(VLOOKUP(C111,EQUIPOS!$B$3:$F$18,5,0),""))</f>
        <v/>
      </c>
      <c r="F111" s="5" t="str">
        <f aca="false">IF(C111="","",IFERROR(VLOOKUP(C111,EQUIPOS!$B$3:$G$18,6,0),""))</f>
        <v/>
      </c>
      <c r="G111" s="8"/>
      <c r="H111" s="5"/>
      <c r="I111" s="5"/>
      <c r="J111" s="9"/>
      <c r="K111" s="17" t="str">
        <f aca="false">IF(H111="","",IFERROR(SUMIFS(BD_PLAN!$I$3:$I$312,BD_PLAN!$B$3:$B$312,E111,BD_PLAN!$C$3:$C$312,INDEX(BD_CICLO!$F$3:$F$54,MATCH(E111&amp;"|"&amp;H111,BD_CICLO!$G$3:$G$54,0))),""))</f>
        <v/>
      </c>
      <c r="L111" s="9"/>
      <c r="M111" s="9"/>
      <c r="N111" s="1" t="str">
        <f aca="false">IF(C111="","",C111&amp;"|"&amp;COUNTIF(C$3:C111,C111))</f>
        <v/>
      </c>
      <c r="O111" s="1" t="str">
        <f aca="false">IF(OR(C111="",M111=""),"",C111&amp;"|"&amp;COUNTIFS(C$3:C111,C111,M$3:M111,"&lt;&gt;"))</f>
        <v/>
      </c>
    </row>
    <row r="112" customFormat="false" ht="15" hidden="false" customHeight="false" outlineLevel="0" collapsed="false">
      <c r="B112" s="7"/>
      <c r="C112" s="5"/>
      <c r="D112" s="9" t="str">
        <f aca="false">IF(C112="","",IFERROR(VLOOKUP(C112,EQUIPOS!$B$3:$C$18,2,0),"NO EXISTE"))</f>
        <v/>
      </c>
      <c r="E112" s="9" t="str">
        <f aca="false">IF(C112="","",IFERROR(VLOOKUP(C112,EQUIPOS!$B$3:$F$18,5,0),""))</f>
        <v/>
      </c>
      <c r="F112" s="5" t="str">
        <f aca="false">IF(C112="","",IFERROR(VLOOKUP(C112,EQUIPOS!$B$3:$G$18,6,0),""))</f>
        <v/>
      </c>
      <c r="G112" s="8"/>
      <c r="H112" s="5"/>
      <c r="I112" s="5"/>
      <c r="J112" s="9"/>
      <c r="K112" s="17" t="str">
        <f aca="false">IF(H112="","",IFERROR(SUMIFS(BD_PLAN!$I$3:$I$312,BD_PLAN!$B$3:$B$312,E112,BD_PLAN!$C$3:$C$312,INDEX(BD_CICLO!$F$3:$F$54,MATCH(E112&amp;"|"&amp;H112,BD_CICLO!$G$3:$G$54,0))),""))</f>
        <v/>
      </c>
      <c r="L112" s="9"/>
      <c r="M112" s="9"/>
      <c r="N112" s="1" t="str">
        <f aca="false">IF(C112="","",C112&amp;"|"&amp;COUNTIF(C$3:C112,C112))</f>
        <v/>
      </c>
      <c r="O112" s="1" t="str">
        <f aca="false">IF(OR(C112="",M112=""),"",C112&amp;"|"&amp;COUNTIFS(C$3:C112,C112,M$3:M112,"&lt;&gt;"))</f>
        <v/>
      </c>
    </row>
    <row r="113" customFormat="false" ht="15" hidden="false" customHeight="false" outlineLevel="0" collapsed="false">
      <c r="B113" s="7"/>
      <c r="C113" s="5"/>
      <c r="D113" s="9" t="str">
        <f aca="false">IF(C113="","",IFERROR(VLOOKUP(C113,EQUIPOS!$B$3:$C$18,2,0),"NO EXISTE"))</f>
        <v/>
      </c>
      <c r="E113" s="9" t="str">
        <f aca="false">IF(C113="","",IFERROR(VLOOKUP(C113,EQUIPOS!$B$3:$F$18,5,0),""))</f>
        <v/>
      </c>
      <c r="F113" s="5" t="str">
        <f aca="false">IF(C113="","",IFERROR(VLOOKUP(C113,EQUIPOS!$B$3:$G$18,6,0),""))</f>
        <v/>
      </c>
      <c r="G113" s="8"/>
      <c r="H113" s="5"/>
      <c r="I113" s="5"/>
      <c r="J113" s="9"/>
      <c r="K113" s="17" t="str">
        <f aca="false">IF(H113="","",IFERROR(SUMIFS(BD_PLAN!$I$3:$I$312,BD_PLAN!$B$3:$B$312,E113,BD_PLAN!$C$3:$C$312,INDEX(BD_CICLO!$F$3:$F$54,MATCH(E113&amp;"|"&amp;H113,BD_CICLO!$G$3:$G$54,0))),""))</f>
        <v/>
      </c>
      <c r="L113" s="9"/>
      <c r="M113" s="9"/>
      <c r="N113" s="1" t="str">
        <f aca="false">IF(C113="","",C113&amp;"|"&amp;COUNTIF(C$3:C113,C113))</f>
        <v/>
      </c>
      <c r="O113" s="1" t="str">
        <f aca="false">IF(OR(C113="",M113=""),"",C113&amp;"|"&amp;COUNTIFS(C$3:C113,C113,M$3:M113,"&lt;&gt;"))</f>
        <v/>
      </c>
    </row>
    <row r="114" customFormat="false" ht="15" hidden="false" customHeight="false" outlineLevel="0" collapsed="false">
      <c r="B114" s="7"/>
      <c r="C114" s="5"/>
      <c r="D114" s="9" t="str">
        <f aca="false">IF(C114="","",IFERROR(VLOOKUP(C114,EQUIPOS!$B$3:$C$18,2,0),"NO EXISTE"))</f>
        <v/>
      </c>
      <c r="E114" s="9" t="str">
        <f aca="false">IF(C114="","",IFERROR(VLOOKUP(C114,EQUIPOS!$B$3:$F$18,5,0),""))</f>
        <v/>
      </c>
      <c r="F114" s="5" t="str">
        <f aca="false">IF(C114="","",IFERROR(VLOOKUP(C114,EQUIPOS!$B$3:$G$18,6,0),""))</f>
        <v/>
      </c>
      <c r="G114" s="8"/>
      <c r="H114" s="5"/>
      <c r="I114" s="5"/>
      <c r="J114" s="9"/>
      <c r="K114" s="17" t="str">
        <f aca="false">IF(H114="","",IFERROR(SUMIFS(BD_PLAN!$I$3:$I$312,BD_PLAN!$B$3:$B$312,E114,BD_PLAN!$C$3:$C$312,INDEX(BD_CICLO!$F$3:$F$54,MATCH(E114&amp;"|"&amp;H114,BD_CICLO!$G$3:$G$54,0))),""))</f>
        <v/>
      </c>
      <c r="L114" s="9"/>
      <c r="M114" s="9"/>
      <c r="N114" s="1" t="str">
        <f aca="false">IF(C114="","",C114&amp;"|"&amp;COUNTIF(C$3:C114,C114))</f>
        <v/>
      </c>
      <c r="O114" s="1" t="str">
        <f aca="false">IF(OR(C114="",M114=""),"",C114&amp;"|"&amp;COUNTIFS(C$3:C114,C114,M$3:M114,"&lt;&gt;"))</f>
        <v/>
      </c>
    </row>
    <row r="115" customFormat="false" ht="15" hidden="false" customHeight="false" outlineLevel="0" collapsed="false">
      <c r="B115" s="7"/>
      <c r="C115" s="5"/>
      <c r="D115" s="9" t="str">
        <f aca="false">IF(C115="","",IFERROR(VLOOKUP(C115,EQUIPOS!$B$3:$C$18,2,0),"NO EXISTE"))</f>
        <v/>
      </c>
      <c r="E115" s="9" t="str">
        <f aca="false">IF(C115="","",IFERROR(VLOOKUP(C115,EQUIPOS!$B$3:$F$18,5,0),""))</f>
        <v/>
      </c>
      <c r="F115" s="5" t="str">
        <f aca="false">IF(C115="","",IFERROR(VLOOKUP(C115,EQUIPOS!$B$3:$G$18,6,0),""))</f>
        <v/>
      </c>
      <c r="G115" s="8"/>
      <c r="H115" s="5"/>
      <c r="I115" s="5"/>
      <c r="J115" s="9"/>
      <c r="K115" s="17" t="str">
        <f aca="false">IF(H115="","",IFERROR(SUMIFS(BD_PLAN!$I$3:$I$312,BD_PLAN!$B$3:$B$312,E115,BD_PLAN!$C$3:$C$312,INDEX(BD_CICLO!$F$3:$F$54,MATCH(E115&amp;"|"&amp;H115,BD_CICLO!$G$3:$G$54,0))),""))</f>
        <v/>
      </c>
      <c r="L115" s="9"/>
      <c r="M115" s="9"/>
      <c r="N115" s="1" t="str">
        <f aca="false">IF(C115="","",C115&amp;"|"&amp;COUNTIF(C$3:C115,C115))</f>
        <v/>
      </c>
      <c r="O115" s="1" t="str">
        <f aca="false">IF(OR(C115="",M115=""),"",C115&amp;"|"&amp;COUNTIFS(C$3:C115,C115,M$3:M115,"&lt;&gt;"))</f>
        <v/>
      </c>
    </row>
    <row r="116" customFormat="false" ht="15" hidden="false" customHeight="false" outlineLevel="0" collapsed="false">
      <c r="B116" s="7"/>
      <c r="C116" s="5"/>
      <c r="D116" s="9" t="str">
        <f aca="false">IF(C116="","",IFERROR(VLOOKUP(C116,EQUIPOS!$B$3:$C$18,2,0),"NO EXISTE"))</f>
        <v/>
      </c>
      <c r="E116" s="9" t="str">
        <f aca="false">IF(C116="","",IFERROR(VLOOKUP(C116,EQUIPOS!$B$3:$F$18,5,0),""))</f>
        <v/>
      </c>
      <c r="F116" s="5" t="str">
        <f aca="false">IF(C116="","",IFERROR(VLOOKUP(C116,EQUIPOS!$B$3:$G$18,6,0),""))</f>
        <v/>
      </c>
      <c r="G116" s="8"/>
      <c r="H116" s="5"/>
      <c r="I116" s="5"/>
      <c r="J116" s="9"/>
      <c r="K116" s="17" t="str">
        <f aca="false">IF(H116="","",IFERROR(SUMIFS(BD_PLAN!$I$3:$I$312,BD_PLAN!$B$3:$B$312,E116,BD_PLAN!$C$3:$C$312,INDEX(BD_CICLO!$F$3:$F$54,MATCH(E116&amp;"|"&amp;H116,BD_CICLO!$G$3:$G$54,0))),""))</f>
        <v/>
      </c>
      <c r="L116" s="9"/>
      <c r="M116" s="9"/>
      <c r="N116" s="1" t="str">
        <f aca="false">IF(C116="","",C116&amp;"|"&amp;COUNTIF(C$3:C116,C116))</f>
        <v/>
      </c>
      <c r="O116" s="1" t="str">
        <f aca="false">IF(OR(C116="",M116=""),"",C116&amp;"|"&amp;COUNTIFS(C$3:C116,C116,M$3:M116,"&lt;&gt;"))</f>
        <v/>
      </c>
    </row>
    <row r="117" customFormat="false" ht="15" hidden="false" customHeight="false" outlineLevel="0" collapsed="false">
      <c r="B117" s="7"/>
      <c r="C117" s="5"/>
      <c r="D117" s="9" t="str">
        <f aca="false">IF(C117="","",IFERROR(VLOOKUP(C117,EQUIPOS!$B$3:$C$18,2,0),"NO EXISTE"))</f>
        <v/>
      </c>
      <c r="E117" s="9" t="str">
        <f aca="false">IF(C117="","",IFERROR(VLOOKUP(C117,EQUIPOS!$B$3:$F$18,5,0),""))</f>
        <v/>
      </c>
      <c r="F117" s="5" t="str">
        <f aca="false">IF(C117="","",IFERROR(VLOOKUP(C117,EQUIPOS!$B$3:$G$18,6,0),""))</f>
        <v/>
      </c>
      <c r="G117" s="8"/>
      <c r="H117" s="5"/>
      <c r="I117" s="5"/>
      <c r="J117" s="9"/>
      <c r="K117" s="17" t="str">
        <f aca="false">IF(H117="","",IFERROR(SUMIFS(BD_PLAN!$I$3:$I$312,BD_PLAN!$B$3:$B$312,E117,BD_PLAN!$C$3:$C$312,INDEX(BD_CICLO!$F$3:$F$54,MATCH(E117&amp;"|"&amp;H117,BD_CICLO!$G$3:$G$54,0))),""))</f>
        <v/>
      </c>
      <c r="L117" s="9"/>
      <c r="M117" s="9"/>
      <c r="N117" s="1" t="str">
        <f aca="false">IF(C117="","",C117&amp;"|"&amp;COUNTIF(C$3:C117,C117))</f>
        <v/>
      </c>
      <c r="O117" s="1" t="str">
        <f aca="false">IF(OR(C117="",M117=""),"",C117&amp;"|"&amp;COUNTIFS(C$3:C117,C117,M$3:M117,"&lt;&gt;"))</f>
        <v/>
      </c>
    </row>
    <row r="118" customFormat="false" ht="15" hidden="false" customHeight="false" outlineLevel="0" collapsed="false">
      <c r="B118" s="7"/>
      <c r="C118" s="5"/>
      <c r="D118" s="9" t="str">
        <f aca="false">IF(C118="","",IFERROR(VLOOKUP(C118,EQUIPOS!$B$3:$C$18,2,0),"NO EXISTE"))</f>
        <v/>
      </c>
      <c r="E118" s="9" t="str">
        <f aca="false">IF(C118="","",IFERROR(VLOOKUP(C118,EQUIPOS!$B$3:$F$18,5,0),""))</f>
        <v/>
      </c>
      <c r="F118" s="5" t="str">
        <f aca="false">IF(C118="","",IFERROR(VLOOKUP(C118,EQUIPOS!$B$3:$G$18,6,0),""))</f>
        <v/>
      </c>
      <c r="G118" s="8"/>
      <c r="H118" s="5"/>
      <c r="I118" s="5"/>
      <c r="J118" s="9"/>
      <c r="K118" s="17" t="str">
        <f aca="false">IF(H118="","",IFERROR(SUMIFS(BD_PLAN!$I$3:$I$312,BD_PLAN!$B$3:$B$312,E118,BD_PLAN!$C$3:$C$312,INDEX(BD_CICLO!$F$3:$F$54,MATCH(E118&amp;"|"&amp;H118,BD_CICLO!$G$3:$G$54,0))),""))</f>
        <v/>
      </c>
      <c r="L118" s="9"/>
      <c r="M118" s="9"/>
      <c r="N118" s="1" t="str">
        <f aca="false">IF(C118="","",C118&amp;"|"&amp;COUNTIF(C$3:C118,C118))</f>
        <v/>
      </c>
      <c r="O118" s="1" t="str">
        <f aca="false">IF(OR(C118="",M118=""),"",C118&amp;"|"&amp;COUNTIFS(C$3:C118,C118,M$3:M118,"&lt;&gt;"))</f>
        <v/>
      </c>
    </row>
    <row r="119" customFormat="false" ht="15" hidden="false" customHeight="false" outlineLevel="0" collapsed="false">
      <c r="B119" s="7"/>
      <c r="C119" s="5"/>
      <c r="D119" s="9" t="str">
        <f aca="false">IF(C119="","",IFERROR(VLOOKUP(C119,EQUIPOS!$B$3:$C$18,2,0),"NO EXISTE"))</f>
        <v/>
      </c>
      <c r="E119" s="9" t="str">
        <f aca="false">IF(C119="","",IFERROR(VLOOKUP(C119,EQUIPOS!$B$3:$F$18,5,0),""))</f>
        <v/>
      </c>
      <c r="F119" s="5" t="str">
        <f aca="false">IF(C119="","",IFERROR(VLOOKUP(C119,EQUIPOS!$B$3:$G$18,6,0),""))</f>
        <v/>
      </c>
      <c r="G119" s="8"/>
      <c r="H119" s="5"/>
      <c r="I119" s="5"/>
      <c r="J119" s="9"/>
      <c r="K119" s="17" t="str">
        <f aca="false">IF(H119="","",IFERROR(SUMIFS(BD_PLAN!$I$3:$I$312,BD_PLAN!$B$3:$B$312,E119,BD_PLAN!$C$3:$C$312,INDEX(BD_CICLO!$F$3:$F$54,MATCH(E119&amp;"|"&amp;H119,BD_CICLO!$G$3:$G$54,0))),""))</f>
        <v/>
      </c>
      <c r="L119" s="9"/>
      <c r="M119" s="9"/>
      <c r="N119" s="1" t="str">
        <f aca="false">IF(C119="","",C119&amp;"|"&amp;COUNTIF(C$3:C119,C119))</f>
        <v/>
      </c>
      <c r="O119" s="1" t="str">
        <f aca="false">IF(OR(C119="",M119=""),"",C119&amp;"|"&amp;COUNTIFS(C$3:C119,C119,M$3:M119,"&lt;&gt;"))</f>
        <v/>
      </c>
    </row>
    <row r="120" customFormat="false" ht="15" hidden="false" customHeight="false" outlineLevel="0" collapsed="false">
      <c r="B120" s="7"/>
      <c r="C120" s="5"/>
      <c r="D120" s="9" t="str">
        <f aca="false">IF(C120="","",IFERROR(VLOOKUP(C120,EQUIPOS!$B$3:$C$18,2,0),"NO EXISTE"))</f>
        <v/>
      </c>
      <c r="E120" s="9" t="str">
        <f aca="false">IF(C120="","",IFERROR(VLOOKUP(C120,EQUIPOS!$B$3:$F$18,5,0),""))</f>
        <v/>
      </c>
      <c r="F120" s="5" t="str">
        <f aca="false">IF(C120="","",IFERROR(VLOOKUP(C120,EQUIPOS!$B$3:$G$18,6,0),""))</f>
        <v/>
      </c>
      <c r="G120" s="8"/>
      <c r="H120" s="5"/>
      <c r="I120" s="5"/>
      <c r="J120" s="9"/>
      <c r="K120" s="17" t="str">
        <f aca="false">IF(H120="","",IFERROR(SUMIFS(BD_PLAN!$I$3:$I$312,BD_PLAN!$B$3:$B$312,E120,BD_PLAN!$C$3:$C$312,INDEX(BD_CICLO!$F$3:$F$54,MATCH(E120&amp;"|"&amp;H120,BD_CICLO!$G$3:$G$54,0))),""))</f>
        <v/>
      </c>
      <c r="L120" s="9"/>
      <c r="M120" s="9"/>
      <c r="N120" s="1" t="str">
        <f aca="false">IF(C120="","",C120&amp;"|"&amp;COUNTIF(C$3:C120,C120))</f>
        <v/>
      </c>
      <c r="O120" s="1" t="str">
        <f aca="false">IF(OR(C120="",M120=""),"",C120&amp;"|"&amp;COUNTIFS(C$3:C120,C120,M$3:M120,"&lt;&gt;"))</f>
        <v/>
      </c>
    </row>
    <row r="121" customFormat="false" ht="15" hidden="false" customHeight="false" outlineLevel="0" collapsed="false">
      <c r="B121" s="7"/>
      <c r="C121" s="5"/>
      <c r="D121" s="9" t="str">
        <f aca="false">IF(C121="","",IFERROR(VLOOKUP(C121,EQUIPOS!$B$3:$C$18,2,0),"NO EXISTE"))</f>
        <v/>
      </c>
      <c r="E121" s="9" t="str">
        <f aca="false">IF(C121="","",IFERROR(VLOOKUP(C121,EQUIPOS!$B$3:$F$18,5,0),""))</f>
        <v/>
      </c>
      <c r="F121" s="5" t="str">
        <f aca="false">IF(C121="","",IFERROR(VLOOKUP(C121,EQUIPOS!$B$3:$G$18,6,0),""))</f>
        <v/>
      </c>
      <c r="G121" s="8"/>
      <c r="H121" s="5"/>
      <c r="I121" s="5"/>
      <c r="J121" s="9"/>
      <c r="K121" s="17" t="str">
        <f aca="false">IF(H121="","",IFERROR(SUMIFS(BD_PLAN!$I$3:$I$312,BD_PLAN!$B$3:$B$312,E121,BD_PLAN!$C$3:$C$312,INDEX(BD_CICLO!$F$3:$F$54,MATCH(E121&amp;"|"&amp;H121,BD_CICLO!$G$3:$G$54,0))),""))</f>
        <v/>
      </c>
      <c r="L121" s="9"/>
      <c r="M121" s="9"/>
      <c r="N121" s="1" t="str">
        <f aca="false">IF(C121="","",C121&amp;"|"&amp;COUNTIF(C$3:C121,C121))</f>
        <v/>
      </c>
      <c r="O121" s="1" t="str">
        <f aca="false">IF(OR(C121="",M121=""),"",C121&amp;"|"&amp;COUNTIFS(C$3:C121,C121,M$3:M121,"&lt;&gt;"))</f>
        <v/>
      </c>
    </row>
    <row r="122" customFormat="false" ht="15" hidden="false" customHeight="false" outlineLevel="0" collapsed="false">
      <c r="B122" s="7"/>
      <c r="C122" s="5"/>
      <c r="D122" s="9" t="str">
        <f aca="false">IF(C122="","",IFERROR(VLOOKUP(C122,EQUIPOS!$B$3:$C$18,2,0),"NO EXISTE"))</f>
        <v/>
      </c>
      <c r="E122" s="9" t="str">
        <f aca="false">IF(C122="","",IFERROR(VLOOKUP(C122,EQUIPOS!$B$3:$F$18,5,0),""))</f>
        <v/>
      </c>
      <c r="F122" s="5" t="str">
        <f aca="false">IF(C122="","",IFERROR(VLOOKUP(C122,EQUIPOS!$B$3:$G$18,6,0),""))</f>
        <v/>
      </c>
      <c r="G122" s="8"/>
      <c r="H122" s="5"/>
      <c r="I122" s="5"/>
      <c r="J122" s="9"/>
      <c r="K122" s="17" t="str">
        <f aca="false">IF(H122="","",IFERROR(SUMIFS(BD_PLAN!$I$3:$I$312,BD_PLAN!$B$3:$B$312,E122,BD_PLAN!$C$3:$C$312,INDEX(BD_CICLO!$F$3:$F$54,MATCH(E122&amp;"|"&amp;H122,BD_CICLO!$G$3:$G$54,0))),""))</f>
        <v/>
      </c>
      <c r="L122" s="9"/>
      <c r="M122" s="9"/>
      <c r="N122" s="1" t="str">
        <f aca="false">IF(C122="","",C122&amp;"|"&amp;COUNTIF(C$3:C122,C122))</f>
        <v/>
      </c>
      <c r="O122" s="1" t="str">
        <f aca="false">IF(OR(C122="",M122=""),"",C122&amp;"|"&amp;COUNTIFS(C$3:C122,C122,M$3:M122,"&lt;&gt;"))</f>
        <v/>
      </c>
    </row>
    <row r="123" customFormat="false" ht="15" hidden="false" customHeight="false" outlineLevel="0" collapsed="false">
      <c r="B123" s="7"/>
      <c r="C123" s="5"/>
      <c r="D123" s="9" t="str">
        <f aca="false">IF(C123="","",IFERROR(VLOOKUP(C123,EQUIPOS!$B$3:$C$18,2,0),"NO EXISTE"))</f>
        <v/>
      </c>
      <c r="E123" s="9" t="str">
        <f aca="false">IF(C123="","",IFERROR(VLOOKUP(C123,EQUIPOS!$B$3:$F$18,5,0),""))</f>
        <v/>
      </c>
      <c r="F123" s="5" t="str">
        <f aca="false">IF(C123="","",IFERROR(VLOOKUP(C123,EQUIPOS!$B$3:$G$18,6,0),""))</f>
        <v/>
      </c>
      <c r="G123" s="8"/>
      <c r="H123" s="5"/>
      <c r="I123" s="5"/>
      <c r="J123" s="9"/>
      <c r="K123" s="17" t="str">
        <f aca="false">IF(H123="","",IFERROR(SUMIFS(BD_PLAN!$I$3:$I$312,BD_PLAN!$B$3:$B$312,E123,BD_PLAN!$C$3:$C$312,INDEX(BD_CICLO!$F$3:$F$54,MATCH(E123&amp;"|"&amp;H123,BD_CICLO!$G$3:$G$54,0))),""))</f>
        <v/>
      </c>
      <c r="L123" s="9"/>
      <c r="M123" s="9"/>
      <c r="N123" s="1" t="str">
        <f aca="false">IF(C123="","",C123&amp;"|"&amp;COUNTIF(C$3:C123,C123))</f>
        <v/>
      </c>
      <c r="O123" s="1" t="str">
        <f aca="false">IF(OR(C123="",M123=""),"",C123&amp;"|"&amp;COUNTIFS(C$3:C123,C123,M$3:M123,"&lt;&gt;"))</f>
        <v/>
      </c>
    </row>
    <row r="124" customFormat="false" ht="15" hidden="false" customHeight="false" outlineLevel="0" collapsed="false">
      <c r="B124" s="7"/>
      <c r="C124" s="5"/>
      <c r="D124" s="9" t="str">
        <f aca="false">IF(C124="","",IFERROR(VLOOKUP(C124,EQUIPOS!$B$3:$C$18,2,0),"NO EXISTE"))</f>
        <v/>
      </c>
      <c r="E124" s="9" t="str">
        <f aca="false">IF(C124="","",IFERROR(VLOOKUP(C124,EQUIPOS!$B$3:$F$18,5,0),""))</f>
        <v/>
      </c>
      <c r="F124" s="5" t="str">
        <f aca="false">IF(C124="","",IFERROR(VLOOKUP(C124,EQUIPOS!$B$3:$G$18,6,0),""))</f>
        <v/>
      </c>
      <c r="G124" s="8"/>
      <c r="H124" s="5"/>
      <c r="I124" s="5"/>
      <c r="J124" s="9"/>
      <c r="K124" s="17" t="str">
        <f aca="false">IF(H124="","",IFERROR(SUMIFS(BD_PLAN!$I$3:$I$312,BD_PLAN!$B$3:$B$312,E124,BD_PLAN!$C$3:$C$312,INDEX(BD_CICLO!$F$3:$F$54,MATCH(E124&amp;"|"&amp;H124,BD_CICLO!$G$3:$G$54,0))),""))</f>
        <v/>
      </c>
      <c r="L124" s="9"/>
      <c r="M124" s="9"/>
      <c r="N124" s="1" t="str">
        <f aca="false">IF(C124="","",C124&amp;"|"&amp;COUNTIF(C$3:C124,C124))</f>
        <v/>
      </c>
      <c r="O124" s="1" t="str">
        <f aca="false">IF(OR(C124="",M124=""),"",C124&amp;"|"&amp;COUNTIFS(C$3:C124,C124,M$3:M124,"&lt;&gt;"))</f>
        <v/>
      </c>
    </row>
    <row r="125" customFormat="false" ht="15" hidden="false" customHeight="false" outlineLevel="0" collapsed="false">
      <c r="B125" s="7"/>
      <c r="C125" s="5"/>
      <c r="D125" s="9" t="str">
        <f aca="false">IF(C125="","",IFERROR(VLOOKUP(C125,EQUIPOS!$B$3:$C$18,2,0),"NO EXISTE"))</f>
        <v/>
      </c>
      <c r="E125" s="9" t="str">
        <f aca="false">IF(C125="","",IFERROR(VLOOKUP(C125,EQUIPOS!$B$3:$F$18,5,0),""))</f>
        <v/>
      </c>
      <c r="F125" s="5" t="str">
        <f aca="false">IF(C125="","",IFERROR(VLOOKUP(C125,EQUIPOS!$B$3:$G$18,6,0),""))</f>
        <v/>
      </c>
      <c r="G125" s="8"/>
      <c r="H125" s="5"/>
      <c r="I125" s="5"/>
      <c r="J125" s="9"/>
      <c r="K125" s="17" t="str">
        <f aca="false">IF(H125="","",IFERROR(SUMIFS(BD_PLAN!$I$3:$I$312,BD_PLAN!$B$3:$B$312,E125,BD_PLAN!$C$3:$C$312,INDEX(BD_CICLO!$F$3:$F$54,MATCH(E125&amp;"|"&amp;H125,BD_CICLO!$G$3:$G$54,0))),""))</f>
        <v/>
      </c>
      <c r="L125" s="9"/>
      <c r="M125" s="9"/>
      <c r="N125" s="1" t="str">
        <f aca="false">IF(C125="","",C125&amp;"|"&amp;COUNTIF(C$3:C125,C125))</f>
        <v/>
      </c>
      <c r="O125" s="1" t="str">
        <f aca="false">IF(OR(C125="",M125=""),"",C125&amp;"|"&amp;COUNTIFS(C$3:C125,C125,M$3:M125,"&lt;&gt;"))</f>
        <v/>
      </c>
    </row>
    <row r="126" customFormat="false" ht="15" hidden="false" customHeight="false" outlineLevel="0" collapsed="false">
      <c r="B126" s="7"/>
      <c r="C126" s="5"/>
      <c r="D126" s="9" t="str">
        <f aca="false">IF(C126="","",IFERROR(VLOOKUP(C126,EQUIPOS!$B$3:$C$18,2,0),"NO EXISTE"))</f>
        <v/>
      </c>
      <c r="E126" s="9" t="str">
        <f aca="false">IF(C126="","",IFERROR(VLOOKUP(C126,EQUIPOS!$B$3:$F$18,5,0),""))</f>
        <v/>
      </c>
      <c r="F126" s="5" t="str">
        <f aca="false">IF(C126="","",IFERROR(VLOOKUP(C126,EQUIPOS!$B$3:$G$18,6,0),""))</f>
        <v/>
      </c>
      <c r="G126" s="8"/>
      <c r="H126" s="5"/>
      <c r="I126" s="5"/>
      <c r="J126" s="9"/>
      <c r="K126" s="17" t="str">
        <f aca="false">IF(H126="","",IFERROR(SUMIFS(BD_PLAN!$I$3:$I$312,BD_PLAN!$B$3:$B$312,E126,BD_PLAN!$C$3:$C$312,INDEX(BD_CICLO!$F$3:$F$54,MATCH(E126&amp;"|"&amp;H126,BD_CICLO!$G$3:$G$54,0))),""))</f>
        <v/>
      </c>
      <c r="L126" s="9"/>
      <c r="M126" s="9"/>
      <c r="N126" s="1" t="str">
        <f aca="false">IF(C126="","",C126&amp;"|"&amp;COUNTIF(C$3:C126,C126))</f>
        <v/>
      </c>
      <c r="O126" s="1" t="str">
        <f aca="false">IF(OR(C126="",M126=""),"",C126&amp;"|"&amp;COUNTIFS(C$3:C126,C126,M$3:M126,"&lt;&gt;"))</f>
        <v/>
      </c>
    </row>
    <row r="127" customFormat="false" ht="15" hidden="false" customHeight="false" outlineLevel="0" collapsed="false">
      <c r="B127" s="7"/>
      <c r="C127" s="5"/>
      <c r="D127" s="9" t="str">
        <f aca="false">IF(C127="","",IFERROR(VLOOKUP(C127,EQUIPOS!$B$3:$C$18,2,0),"NO EXISTE"))</f>
        <v/>
      </c>
      <c r="E127" s="9" t="str">
        <f aca="false">IF(C127="","",IFERROR(VLOOKUP(C127,EQUIPOS!$B$3:$F$18,5,0),""))</f>
        <v/>
      </c>
      <c r="F127" s="5" t="str">
        <f aca="false">IF(C127="","",IFERROR(VLOOKUP(C127,EQUIPOS!$B$3:$G$18,6,0),""))</f>
        <v/>
      </c>
      <c r="G127" s="8"/>
      <c r="H127" s="5"/>
      <c r="I127" s="5"/>
      <c r="J127" s="9"/>
      <c r="K127" s="17" t="str">
        <f aca="false">IF(H127="","",IFERROR(SUMIFS(BD_PLAN!$I$3:$I$312,BD_PLAN!$B$3:$B$312,E127,BD_PLAN!$C$3:$C$312,INDEX(BD_CICLO!$F$3:$F$54,MATCH(E127&amp;"|"&amp;H127,BD_CICLO!$G$3:$G$54,0))),""))</f>
        <v/>
      </c>
      <c r="L127" s="9"/>
      <c r="M127" s="9"/>
      <c r="N127" s="1" t="str">
        <f aca="false">IF(C127="","",C127&amp;"|"&amp;COUNTIF(C$3:C127,C127))</f>
        <v/>
      </c>
      <c r="O127" s="1" t="str">
        <f aca="false">IF(OR(C127="",M127=""),"",C127&amp;"|"&amp;COUNTIFS(C$3:C127,C127,M$3:M127,"&lt;&gt;"))</f>
        <v/>
      </c>
    </row>
    <row r="128" customFormat="false" ht="15" hidden="false" customHeight="false" outlineLevel="0" collapsed="false">
      <c r="B128" s="7"/>
      <c r="C128" s="5"/>
      <c r="D128" s="9" t="str">
        <f aca="false">IF(C128="","",IFERROR(VLOOKUP(C128,EQUIPOS!$B$3:$C$18,2,0),"NO EXISTE"))</f>
        <v/>
      </c>
      <c r="E128" s="9" t="str">
        <f aca="false">IF(C128="","",IFERROR(VLOOKUP(C128,EQUIPOS!$B$3:$F$18,5,0),""))</f>
        <v/>
      </c>
      <c r="F128" s="5" t="str">
        <f aca="false">IF(C128="","",IFERROR(VLOOKUP(C128,EQUIPOS!$B$3:$G$18,6,0),""))</f>
        <v/>
      </c>
      <c r="G128" s="8"/>
      <c r="H128" s="5"/>
      <c r="I128" s="5"/>
      <c r="J128" s="9"/>
      <c r="K128" s="17" t="str">
        <f aca="false">IF(H128="","",IFERROR(SUMIFS(BD_PLAN!$I$3:$I$312,BD_PLAN!$B$3:$B$312,E128,BD_PLAN!$C$3:$C$312,INDEX(BD_CICLO!$F$3:$F$54,MATCH(E128&amp;"|"&amp;H128,BD_CICLO!$G$3:$G$54,0))),""))</f>
        <v/>
      </c>
      <c r="L128" s="9"/>
      <c r="M128" s="9"/>
      <c r="N128" s="1" t="str">
        <f aca="false">IF(C128="","",C128&amp;"|"&amp;COUNTIF(C$3:C128,C128))</f>
        <v/>
      </c>
      <c r="O128" s="1" t="str">
        <f aca="false">IF(OR(C128="",M128=""),"",C128&amp;"|"&amp;COUNTIFS(C$3:C128,C128,M$3:M128,"&lt;&gt;"))</f>
        <v/>
      </c>
    </row>
    <row r="129" customFormat="false" ht="15" hidden="false" customHeight="false" outlineLevel="0" collapsed="false">
      <c r="B129" s="7"/>
      <c r="C129" s="5"/>
      <c r="D129" s="9" t="str">
        <f aca="false">IF(C129="","",IFERROR(VLOOKUP(C129,EQUIPOS!$B$3:$C$18,2,0),"NO EXISTE"))</f>
        <v/>
      </c>
      <c r="E129" s="9" t="str">
        <f aca="false">IF(C129="","",IFERROR(VLOOKUP(C129,EQUIPOS!$B$3:$F$18,5,0),""))</f>
        <v/>
      </c>
      <c r="F129" s="5" t="str">
        <f aca="false">IF(C129="","",IFERROR(VLOOKUP(C129,EQUIPOS!$B$3:$G$18,6,0),""))</f>
        <v/>
      </c>
      <c r="G129" s="8"/>
      <c r="H129" s="5"/>
      <c r="I129" s="5"/>
      <c r="J129" s="9"/>
      <c r="K129" s="17" t="str">
        <f aca="false">IF(H129="","",IFERROR(SUMIFS(BD_PLAN!$I$3:$I$312,BD_PLAN!$B$3:$B$312,E129,BD_PLAN!$C$3:$C$312,INDEX(BD_CICLO!$F$3:$F$54,MATCH(E129&amp;"|"&amp;H129,BD_CICLO!$G$3:$G$54,0))),""))</f>
        <v/>
      </c>
      <c r="L129" s="9"/>
      <c r="M129" s="9"/>
      <c r="N129" s="1" t="str">
        <f aca="false">IF(C129="","",C129&amp;"|"&amp;COUNTIF(C$3:C129,C129))</f>
        <v/>
      </c>
      <c r="O129" s="1" t="str">
        <f aca="false">IF(OR(C129="",M129=""),"",C129&amp;"|"&amp;COUNTIFS(C$3:C129,C129,M$3:M129,"&lt;&gt;"))</f>
        <v/>
      </c>
    </row>
    <row r="130" customFormat="false" ht="15" hidden="false" customHeight="false" outlineLevel="0" collapsed="false">
      <c r="B130" s="7"/>
      <c r="C130" s="5"/>
      <c r="D130" s="9" t="str">
        <f aca="false">IF(C130="","",IFERROR(VLOOKUP(C130,EQUIPOS!$B$3:$C$18,2,0),"NO EXISTE"))</f>
        <v/>
      </c>
      <c r="E130" s="9" t="str">
        <f aca="false">IF(C130="","",IFERROR(VLOOKUP(C130,EQUIPOS!$B$3:$F$18,5,0),""))</f>
        <v/>
      </c>
      <c r="F130" s="5" t="str">
        <f aca="false">IF(C130="","",IFERROR(VLOOKUP(C130,EQUIPOS!$B$3:$G$18,6,0),""))</f>
        <v/>
      </c>
      <c r="G130" s="8"/>
      <c r="H130" s="5"/>
      <c r="I130" s="5"/>
      <c r="J130" s="9"/>
      <c r="K130" s="17" t="str">
        <f aca="false">IF(H130="","",IFERROR(SUMIFS(BD_PLAN!$I$3:$I$312,BD_PLAN!$B$3:$B$312,E130,BD_PLAN!$C$3:$C$312,INDEX(BD_CICLO!$F$3:$F$54,MATCH(E130&amp;"|"&amp;H130,BD_CICLO!$G$3:$G$54,0))),""))</f>
        <v/>
      </c>
      <c r="L130" s="9"/>
      <c r="M130" s="9"/>
      <c r="N130" s="1" t="str">
        <f aca="false">IF(C130="","",C130&amp;"|"&amp;COUNTIF(C$3:C130,C130))</f>
        <v/>
      </c>
      <c r="O130" s="1" t="str">
        <f aca="false">IF(OR(C130="",M130=""),"",C130&amp;"|"&amp;COUNTIFS(C$3:C130,C130,M$3:M130,"&lt;&gt;"))</f>
        <v/>
      </c>
    </row>
    <row r="131" customFormat="false" ht="15" hidden="false" customHeight="false" outlineLevel="0" collapsed="false">
      <c r="B131" s="7"/>
      <c r="C131" s="5"/>
      <c r="D131" s="9" t="str">
        <f aca="false">IF(C131="","",IFERROR(VLOOKUP(C131,EQUIPOS!$B$3:$C$18,2,0),"NO EXISTE"))</f>
        <v/>
      </c>
      <c r="E131" s="9" t="str">
        <f aca="false">IF(C131="","",IFERROR(VLOOKUP(C131,EQUIPOS!$B$3:$F$18,5,0),""))</f>
        <v/>
      </c>
      <c r="F131" s="5" t="str">
        <f aca="false">IF(C131="","",IFERROR(VLOOKUP(C131,EQUIPOS!$B$3:$G$18,6,0),""))</f>
        <v/>
      </c>
      <c r="G131" s="8"/>
      <c r="H131" s="5"/>
      <c r="I131" s="5"/>
      <c r="J131" s="9"/>
      <c r="K131" s="17" t="str">
        <f aca="false">IF(H131="","",IFERROR(SUMIFS(BD_PLAN!$I$3:$I$312,BD_PLAN!$B$3:$B$312,E131,BD_PLAN!$C$3:$C$312,INDEX(BD_CICLO!$F$3:$F$54,MATCH(E131&amp;"|"&amp;H131,BD_CICLO!$G$3:$G$54,0))),""))</f>
        <v/>
      </c>
      <c r="L131" s="9"/>
      <c r="M131" s="9"/>
      <c r="N131" s="1" t="str">
        <f aca="false">IF(C131="","",C131&amp;"|"&amp;COUNTIF(C$3:C131,C131))</f>
        <v/>
      </c>
      <c r="O131" s="1" t="str">
        <f aca="false">IF(OR(C131="",M131=""),"",C131&amp;"|"&amp;COUNTIFS(C$3:C131,C131,M$3:M131,"&lt;&gt;"))</f>
        <v/>
      </c>
    </row>
    <row r="132" customFormat="false" ht="15" hidden="false" customHeight="false" outlineLevel="0" collapsed="false">
      <c r="B132" s="7"/>
      <c r="C132" s="5"/>
      <c r="D132" s="9" t="str">
        <f aca="false">IF(C132="","",IFERROR(VLOOKUP(C132,EQUIPOS!$B$3:$C$18,2,0),"NO EXISTE"))</f>
        <v/>
      </c>
      <c r="E132" s="9" t="str">
        <f aca="false">IF(C132="","",IFERROR(VLOOKUP(C132,EQUIPOS!$B$3:$F$18,5,0),""))</f>
        <v/>
      </c>
      <c r="F132" s="5" t="str">
        <f aca="false">IF(C132="","",IFERROR(VLOOKUP(C132,EQUIPOS!$B$3:$G$18,6,0),""))</f>
        <v/>
      </c>
      <c r="G132" s="8"/>
      <c r="H132" s="5"/>
      <c r="I132" s="5"/>
      <c r="J132" s="9"/>
      <c r="K132" s="17" t="str">
        <f aca="false">IF(H132="","",IFERROR(SUMIFS(BD_PLAN!$I$3:$I$312,BD_PLAN!$B$3:$B$312,E132,BD_PLAN!$C$3:$C$312,INDEX(BD_CICLO!$F$3:$F$54,MATCH(E132&amp;"|"&amp;H132,BD_CICLO!$G$3:$G$54,0))),""))</f>
        <v/>
      </c>
      <c r="L132" s="9"/>
      <c r="M132" s="9"/>
      <c r="N132" s="1" t="str">
        <f aca="false">IF(C132="","",C132&amp;"|"&amp;COUNTIF(C$3:C132,C132))</f>
        <v/>
      </c>
      <c r="O132" s="1" t="str">
        <f aca="false">IF(OR(C132="",M132=""),"",C132&amp;"|"&amp;COUNTIFS(C$3:C132,C132,M$3:M132,"&lt;&gt;"))</f>
        <v/>
      </c>
    </row>
    <row r="133" customFormat="false" ht="15" hidden="false" customHeight="false" outlineLevel="0" collapsed="false">
      <c r="B133" s="7"/>
      <c r="C133" s="5"/>
      <c r="D133" s="9" t="str">
        <f aca="false">IF(C133="","",IFERROR(VLOOKUP(C133,EQUIPOS!$B$3:$C$18,2,0),"NO EXISTE"))</f>
        <v/>
      </c>
      <c r="E133" s="9" t="str">
        <f aca="false">IF(C133="","",IFERROR(VLOOKUP(C133,EQUIPOS!$B$3:$F$18,5,0),""))</f>
        <v/>
      </c>
      <c r="F133" s="5" t="str">
        <f aca="false">IF(C133="","",IFERROR(VLOOKUP(C133,EQUIPOS!$B$3:$G$18,6,0),""))</f>
        <v/>
      </c>
      <c r="G133" s="8"/>
      <c r="H133" s="5"/>
      <c r="I133" s="5"/>
      <c r="J133" s="9"/>
      <c r="K133" s="17" t="str">
        <f aca="false">IF(H133="","",IFERROR(SUMIFS(BD_PLAN!$I$3:$I$312,BD_PLAN!$B$3:$B$312,E133,BD_PLAN!$C$3:$C$312,INDEX(BD_CICLO!$F$3:$F$54,MATCH(E133&amp;"|"&amp;H133,BD_CICLO!$G$3:$G$54,0))),""))</f>
        <v/>
      </c>
      <c r="L133" s="9"/>
      <c r="M133" s="9"/>
      <c r="N133" s="1" t="str">
        <f aca="false">IF(C133="","",C133&amp;"|"&amp;COUNTIF(C$3:C133,C133))</f>
        <v/>
      </c>
      <c r="O133" s="1" t="str">
        <f aca="false">IF(OR(C133="",M133=""),"",C133&amp;"|"&amp;COUNTIFS(C$3:C133,C133,M$3:M133,"&lt;&gt;"))</f>
        <v/>
      </c>
    </row>
    <row r="134" customFormat="false" ht="15" hidden="false" customHeight="false" outlineLevel="0" collapsed="false">
      <c r="B134" s="7"/>
      <c r="C134" s="5"/>
      <c r="D134" s="9" t="str">
        <f aca="false">IF(C134="","",IFERROR(VLOOKUP(C134,EQUIPOS!$B$3:$C$18,2,0),"NO EXISTE"))</f>
        <v/>
      </c>
      <c r="E134" s="9" t="str">
        <f aca="false">IF(C134="","",IFERROR(VLOOKUP(C134,EQUIPOS!$B$3:$F$18,5,0),""))</f>
        <v/>
      </c>
      <c r="F134" s="5" t="str">
        <f aca="false">IF(C134="","",IFERROR(VLOOKUP(C134,EQUIPOS!$B$3:$G$18,6,0),""))</f>
        <v/>
      </c>
      <c r="G134" s="8"/>
      <c r="H134" s="5"/>
      <c r="I134" s="5"/>
      <c r="J134" s="9"/>
      <c r="K134" s="17" t="str">
        <f aca="false">IF(H134="","",IFERROR(SUMIFS(BD_PLAN!$I$3:$I$312,BD_PLAN!$B$3:$B$312,E134,BD_PLAN!$C$3:$C$312,INDEX(BD_CICLO!$F$3:$F$54,MATCH(E134&amp;"|"&amp;H134,BD_CICLO!$G$3:$G$54,0))),""))</f>
        <v/>
      </c>
      <c r="L134" s="9"/>
      <c r="M134" s="9"/>
      <c r="N134" s="1" t="str">
        <f aca="false">IF(C134="","",C134&amp;"|"&amp;COUNTIF(C$3:C134,C134))</f>
        <v/>
      </c>
      <c r="O134" s="1" t="str">
        <f aca="false">IF(OR(C134="",M134=""),"",C134&amp;"|"&amp;COUNTIFS(C$3:C134,C134,M$3:M134,"&lt;&gt;"))</f>
        <v/>
      </c>
    </row>
    <row r="135" customFormat="false" ht="15" hidden="false" customHeight="false" outlineLevel="0" collapsed="false">
      <c r="B135" s="7"/>
      <c r="C135" s="5"/>
      <c r="D135" s="9" t="str">
        <f aca="false">IF(C135="","",IFERROR(VLOOKUP(C135,EQUIPOS!$B$3:$C$18,2,0),"NO EXISTE"))</f>
        <v/>
      </c>
      <c r="E135" s="9" t="str">
        <f aca="false">IF(C135="","",IFERROR(VLOOKUP(C135,EQUIPOS!$B$3:$F$18,5,0),""))</f>
        <v/>
      </c>
      <c r="F135" s="5" t="str">
        <f aca="false">IF(C135="","",IFERROR(VLOOKUP(C135,EQUIPOS!$B$3:$G$18,6,0),""))</f>
        <v/>
      </c>
      <c r="G135" s="8"/>
      <c r="H135" s="5"/>
      <c r="I135" s="5"/>
      <c r="J135" s="9"/>
      <c r="K135" s="17" t="str">
        <f aca="false">IF(H135="","",IFERROR(SUMIFS(BD_PLAN!$I$3:$I$312,BD_PLAN!$B$3:$B$312,E135,BD_PLAN!$C$3:$C$312,INDEX(BD_CICLO!$F$3:$F$54,MATCH(E135&amp;"|"&amp;H135,BD_CICLO!$G$3:$G$54,0))),""))</f>
        <v/>
      </c>
      <c r="L135" s="9"/>
      <c r="M135" s="9"/>
      <c r="N135" s="1" t="str">
        <f aca="false">IF(C135="","",C135&amp;"|"&amp;COUNTIF(C$3:C135,C135))</f>
        <v/>
      </c>
      <c r="O135" s="1" t="str">
        <f aca="false">IF(OR(C135="",M135=""),"",C135&amp;"|"&amp;COUNTIFS(C$3:C135,C135,M$3:M135,"&lt;&gt;"))</f>
        <v/>
      </c>
    </row>
    <row r="136" customFormat="false" ht="15" hidden="false" customHeight="false" outlineLevel="0" collapsed="false">
      <c r="B136" s="7"/>
      <c r="C136" s="5"/>
      <c r="D136" s="9" t="str">
        <f aca="false">IF(C136="","",IFERROR(VLOOKUP(C136,EQUIPOS!$B$3:$C$18,2,0),"NO EXISTE"))</f>
        <v/>
      </c>
      <c r="E136" s="9" t="str">
        <f aca="false">IF(C136="","",IFERROR(VLOOKUP(C136,EQUIPOS!$B$3:$F$18,5,0),""))</f>
        <v/>
      </c>
      <c r="F136" s="5" t="str">
        <f aca="false">IF(C136="","",IFERROR(VLOOKUP(C136,EQUIPOS!$B$3:$G$18,6,0),""))</f>
        <v/>
      </c>
      <c r="G136" s="8"/>
      <c r="H136" s="5"/>
      <c r="I136" s="5"/>
      <c r="J136" s="9"/>
      <c r="K136" s="17" t="str">
        <f aca="false">IF(H136="","",IFERROR(SUMIFS(BD_PLAN!$I$3:$I$312,BD_PLAN!$B$3:$B$312,E136,BD_PLAN!$C$3:$C$312,INDEX(BD_CICLO!$F$3:$F$54,MATCH(E136&amp;"|"&amp;H136,BD_CICLO!$G$3:$G$54,0))),""))</f>
        <v/>
      </c>
      <c r="L136" s="9"/>
      <c r="M136" s="9"/>
      <c r="N136" s="1" t="str">
        <f aca="false">IF(C136="","",C136&amp;"|"&amp;COUNTIF(C$3:C136,C136))</f>
        <v/>
      </c>
      <c r="O136" s="1" t="str">
        <f aca="false">IF(OR(C136="",M136=""),"",C136&amp;"|"&amp;COUNTIFS(C$3:C136,C136,M$3:M136,"&lt;&gt;"))</f>
        <v/>
      </c>
    </row>
    <row r="137" customFormat="false" ht="15" hidden="false" customHeight="false" outlineLevel="0" collapsed="false">
      <c r="B137" s="7"/>
      <c r="C137" s="5"/>
      <c r="D137" s="9" t="str">
        <f aca="false">IF(C137="","",IFERROR(VLOOKUP(C137,EQUIPOS!$B$3:$C$18,2,0),"NO EXISTE"))</f>
        <v/>
      </c>
      <c r="E137" s="9" t="str">
        <f aca="false">IF(C137="","",IFERROR(VLOOKUP(C137,EQUIPOS!$B$3:$F$18,5,0),""))</f>
        <v/>
      </c>
      <c r="F137" s="5" t="str">
        <f aca="false">IF(C137="","",IFERROR(VLOOKUP(C137,EQUIPOS!$B$3:$G$18,6,0),""))</f>
        <v/>
      </c>
      <c r="G137" s="8"/>
      <c r="H137" s="5"/>
      <c r="I137" s="5"/>
      <c r="J137" s="9"/>
      <c r="K137" s="17" t="str">
        <f aca="false">IF(H137="","",IFERROR(SUMIFS(BD_PLAN!$I$3:$I$312,BD_PLAN!$B$3:$B$312,E137,BD_PLAN!$C$3:$C$312,INDEX(BD_CICLO!$F$3:$F$54,MATCH(E137&amp;"|"&amp;H137,BD_CICLO!$G$3:$G$54,0))),""))</f>
        <v/>
      </c>
      <c r="L137" s="9"/>
      <c r="M137" s="9"/>
      <c r="N137" s="1" t="str">
        <f aca="false">IF(C137="","",C137&amp;"|"&amp;COUNTIF(C$3:C137,C137))</f>
        <v/>
      </c>
      <c r="O137" s="1" t="str">
        <f aca="false">IF(OR(C137="",M137=""),"",C137&amp;"|"&amp;COUNTIFS(C$3:C137,C137,M$3:M137,"&lt;&gt;"))</f>
        <v/>
      </c>
    </row>
    <row r="138" customFormat="false" ht="15" hidden="false" customHeight="false" outlineLevel="0" collapsed="false">
      <c r="B138" s="7"/>
      <c r="C138" s="5"/>
      <c r="D138" s="9" t="str">
        <f aca="false">IF(C138="","",IFERROR(VLOOKUP(C138,EQUIPOS!$B$3:$C$18,2,0),"NO EXISTE"))</f>
        <v/>
      </c>
      <c r="E138" s="9" t="str">
        <f aca="false">IF(C138="","",IFERROR(VLOOKUP(C138,EQUIPOS!$B$3:$F$18,5,0),""))</f>
        <v/>
      </c>
      <c r="F138" s="5" t="str">
        <f aca="false">IF(C138="","",IFERROR(VLOOKUP(C138,EQUIPOS!$B$3:$G$18,6,0),""))</f>
        <v/>
      </c>
      <c r="G138" s="8"/>
      <c r="H138" s="5"/>
      <c r="I138" s="5"/>
      <c r="J138" s="9"/>
      <c r="K138" s="17" t="str">
        <f aca="false">IF(H138="","",IFERROR(SUMIFS(BD_PLAN!$I$3:$I$312,BD_PLAN!$B$3:$B$312,E138,BD_PLAN!$C$3:$C$312,INDEX(BD_CICLO!$F$3:$F$54,MATCH(E138&amp;"|"&amp;H138,BD_CICLO!$G$3:$G$54,0))),""))</f>
        <v/>
      </c>
      <c r="L138" s="9"/>
      <c r="M138" s="9"/>
      <c r="N138" s="1" t="str">
        <f aca="false">IF(C138="","",C138&amp;"|"&amp;COUNTIF(C$3:C138,C138))</f>
        <v/>
      </c>
      <c r="O138" s="1" t="str">
        <f aca="false">IF(OR(C138="",M138=""),"",C138&amp;"|"&amp;COUNTIFS(C$3:C138,C138,M$3:M138,"&lt;&gt;"))</f>
        <v/>
      </c>
    </row>
    <row r="139" customFormat="false" ht="15" hidden="false" customHeight="false" outlineLevel="0" collapsed="false">
      <c r="B139" s="7"/>
      <c r="C139" s="5"/>
      <c r="D139" s="9" t="str">
        <f aca="false">IF(C139="","",IFERROR(VLOOKUP(C139,EQUIPOS!$B$3:$C$18,2,0),"NO EXISTE"))</f>
        <v/>
      </c>
      <c r="E139" s="9" t="str">
        <f aca="false">IF(C139="","",IFERROR(VLOOKUP(C139,EQUIPOS!$B$3:$F$18,5,0),""))</f>
        <v/>
      </c>
      <c r="F139" s="5" t="str">
        <f aca="false">IF(C139="","",IFERROR(VLOOKUP(C139,EQUIPOS!$B$3:$G$18,6,0),""))</f>
        <v/>
      </c>
      <c r="G139" s="8"/>
      <c r="H139" s="5"/>
      <c r="I139" s="5"/>
      <c r="J139" s="9"/>
      <c r="K139" s="17" t="str">
        <f aca="false">IF(H139="","",IFERROR(SUMIFS(BD_PLAN!$I$3:$I$312,BD_PLAN!$B$3:$B$312,E139,BD_PLAN!$C$3:$C$312,INDEX(BD_CICLO!$F$3:$F$54,MATCH(E139&amp;"|"&amp;H139,BD_CICLO!$G$3:$G$54,0))),""))</f>
        <v/>
      </c>
      <c r="L139" s="9"/>
      <c r="M139" s="9"/>
      <c r="N139" s="1" t="str">
        <f aca="false">IF(C139="","",C139&amp;"|"&amp;COUNTIF(C$3:C139,C139))</f>
        <v/>
      </c>
      <c r="O139" s="1" t="str">
        <f aca="false">IF(OR(C139="",M139=""),"",C139&amp;"|"&amp;COUNTIFS(C$3:C139,C139,M$3:M139,"&lt;&gt;"))</f>
        <v/>
      </c>
    </row>
    <row r="140" customFormat="false" ht="15" hidden="false" customHeight="false" outlineLevel="0" collapsed="false">
      <c r="B140" s="7"/>
      <c r="C140" s="5"/>
      <c r="D140" s="9" t="str">
        <f aca="false">IF(C140="","",IFERROR(VLOOKUP(C140,EQUIPOS!$B$3:$C$18,2,0),"NO EXISTE"))</f>
        <v/>
      </c>
      <c r="E140" s="9" t="str">
        <f aca="false">IF(C140="","",IFERROR(VLOOKUP(C140,EQUIPOS!$B$3:$F$18,5,0),""))</f>
        <v/>
      </c>
      <c r="F140" s="5" t="str">
        <f aca="false">IF(C140="","",IFERROR(VLOOKUP(C140,EQUIPOS!$B$3:$G$18,6,0),""))</f>
        <v/>
      </c>
      <c r="G140" s="8"/>
      <c r="H140" s="5"/>
      <c r="I140" s="5"/>
      <c r="J140" s="9"/>
      <c r="K140" s="17" t="str">
        <f aca="false">IF(H140="","",IFERROR(SUMIFS(BD_PLAN!$I$3:$I$312,BD_PLAN!$B$3:$B$312,E140,BD_PLAN!$C$3:$C$312,INDEX(BD_CICLO!$F$3:$F$54,MATCH(E140&amp;"|"&amp;H140,BD_CICLO!$G$3:$G$54,0))),""))</f>
        <v/>
      </c>
      <c r="L140" s="9"/>
      <c r="M140" s="9"/>
      <c r="N140" s="1" t="str">
        <f aca="false">IF(C140="","",C140&amp;"|"&amp;COUNTIF(C$3:C140,C140))</f>
        <v/>
      </c>
      <c r="O140" s="1" t="str">
        <f aca="false">IF(OR(C140="",M140=""),"",C140&amp;"|"&amp;COUNTIFS(C$3:C140,C140,M$3:M140,"&lt;&gt;"))</f>
        <v/>
      </c>
    </row>
    <row r="141" customFormat="false" ht="15" hidden="false" customHeight="false" outlineLevel="0" collapsed="false">
      <c r="B141" s="7"/>
      <c r="C141" s="5"/>
      <c r="D141" s="9" t="str">
        <f aca="false">IF(C141="","",IFERROR(VLOOKUP(C141,EQUIPOS!$B$3:$C$18,2,0),"NO EXISTE"))</f>
        <v/>
      </c>
      <c r="E141" s="9" t="str">
        <f aca="false">IF(C141="","",IFERROR(VLOOKUP(C141,EQUIPOS!$B$3:$F$18,5,0),""))</f>
        <v/>
      </c>
      <c r="F141" s="5" t="str">
        <f aca="false">IF(C141="","",IFERROR(VLOOKUP(C141,EQUIPOS!$B$3:$G$18,6,0),""))</f>
        <v/>
      </c>
      <c r="G141" s="8"/>
      <c r="H141" s="5"/>
      <c r="I141" s="5"/>
      <c r="J141" s="9"/>
      <c r="K141" s="17" t="str">
        <f aca="false">IF(H141="","",IFERROR(SUMIFS(BD_PLAN!$I$3:$I$312,BD_PLAN!$B$3:$B$312,E141,BD_PLAN!$C$3:$C$312,INDEX(BD_CICLO!$F$3:$F$54,MATCH(E141&amp;"|"&amp;H141,BD_CICLO!$G$3:$G$54,0))),""))</f>
        <v/>
      </c>
      <c r="L141" s="9"/>
      <c r="M141" s="9"/>
      <c r="N141" s="1" t="str">
        <f aca="false">IF(C141="","",C141&amp;"|"&amp;COUNTIF(C$3:C141,C141))</f>
        <v/>
      </c>
      <c r="O141" s="1" t="str">
        <f aca="false">IF(OR(C141="",M141=""),"",C141&amp;"|"&amp;COUNTIFS(C$3:C141,C141,M$3:M141,"&lt;&gt;"))</f>
        <v/>
      </c>
    </row>
    <row r="142" customFormat="false" ht="15" hidden="false" customHeight="false" outlineLevel="0" collapsed="false">
      <c r="B142" s="7"/>
      <c r="C142" s="5"/>
      <c r="D142" s="9" t="str">
        <f aca="false">IF(C142="","",IFERROR(VLOOKUP(C142,EQUIPOS!$B$3:$C$18,2,0),"NO EXISTE"))</f>
        <v/>
      </c>
      <c r="E142" s="9" t="str">
        <f aca="false">IF(C142="","",IFERROR(VLOOKUP(C142,EQUIPOS!$B$3:$F$18,5,0),""))</f>
        <v/>
      </c>
      <c r="F142" s="5" t="str">
        <f aca="false">IF(C142="","",IFERROR(VLOOKUP(C142,EQUIPOS!$B$3:$G$18,6,0),""))</f>
        <v/>
      </c>
      <c r="G142" s="8"/>
      <c r="H142" s="5"/>
      <c r="I142" s="5"/>
      <c r="J142" s="9"/>
      <c r="K142" s="17" t="str">
        <f aca="false">IF(H142="","",IFERROR(SUMIFS(BD_PLAN!$I$3:$I$312,BD_PLAN!$B$3:$B$312,E142,BD_PLAN!$C$3:$C$312,INDEX(BD_CICLO!$F$3:$F$54,MATCH(E142&amp;"|"&amp;H142,BD_CICLO!$G$3:$G$54,0))),""))</f>
        <v/>
      </c>
      <c r="L142" s="9"/>
      <c r="M142" s="9"/>
      <c r="N142" s="1" t="str">
        <f aca="false">IF(C142="","",C142&amp;"|"&amp;COUNTIF(C$3:C142,C142))</f>
        <v/>
      </c>
      <c r="O142" s="1" t="str">
        <f aca="false">IF(OR(C142="",M142=""),"",C142&amp;"|"&amp;COUNTIFS(C$3:C142,C142,M$3:M142,"&lt;&gt;"))</f>
        <v/>
      </c>
    </row>
    <row r="143" customFormat="false" ht="15" hidden="false" customHeight="false" outlineLevel="0" collapsed="false">
      <c r="B143" s="7"/>
      <c r="C143" s="5"/>
      <c r="D143" s="9" t="str">
        <f aca="false">IF(C143="","",IFERROR(VLOOKUP(C143,EQUIPOS!$B$3:$C$18,2,0),"NO EXISTE"))</f>
        <v/>
      </c>
      <c r="E143" s="9" t="str">
        <f aca="false">IF(C143="","",IFERROR(VLOOKUP(C143,EQUIPOS!$B$3:$F$18,5,0),""))</f>
        <v/>
      </c>
      <c r="F143" s="5" t="str">
        <f aca="false">IF(C143="","",IFERROR(VLOOKUP(C143,EQUIPOS!$B$3:$G$18,6,0),""))</f>
        <v/>
      </c>
      <c r="G143" s="8"/>
      <c r="H143" s="5"/>
      <c r="I143" s="5"/>
      <c r="J143" s="9"/>
      <c r="K143" s="17" t="str">
        <f aca="false">IF(H143="","",IFERROR(SUMIFS(BD_PLAN!$I$3:$I$312,BD_PLAN!$B$3:$B$312,E143,BD_PLAN!$C$3:$C$312,INDEX(BD_CICLO!$F$3:$F$54,MATCH(E143&amp;"|"&amp;H143,BD_CICLO!$G$3:$G$54,0))),""))</f>
        <v/>
      </c>
      <c r="L143" s="9"/>
      <c r="M143" s="9"/>
      <c r="N143" s="1" t="str">
        <f aca="false">IF(C143="","",C143&amp;"|"&amp;COUNTIF(C$3:C143,C143))</f>
        <v/>
      </c>
      <c r="O143" s="1" t="str">
        <f aca="false">IF(OR(C143="",M143=""),"",C143&amp;"|"&amp;COUNTIFS(C$3:C143,C143,M$3:M143,"&lt;&gt;"))</f>
        <v/>
      </c>
    </row>
    <row r="144" customFormat="false" ht="15" hidden="false" customHeight="false" outlineLevel="0" collapsed="false">
      <c r="B144" s="7"/>
      <c r="C144" s="5"/>
      <c r="D144" s="9" t="str">
        <f aca="false">IF(C144="","",IFERROR(VLOOKUP(C144,EQUIPOS!$B$3:$C$18,2,0),"NO EXISTE"))</f>
        <v/>
      </c>
      <c r="E144" s="9" t="str">
        <f aca="false">IF(C144="","",IFERROR(VLOOKUP(C144,EQUIPOS!$B$3:$F$18,5,0),""))</f>
        <v/>
      </c>
      <c r="F144" s="5" t="str">
        <f aca="false">IF(C144="","",IFERROR(VLOOKUP(C144,EQUIPOS!$B$3:$G$18,6,0),""))</f>
        <v/>
      </c>
      <c r="G144" s="8"/>
      <c r="H144" s="5"/>
      <c r="I144" s="5"/>
      <c r="J144" s="9"/>
      <c r="K144" s="17" t="str">
        <f aca="false">IF(H144="","",IFERROR(SUMIFS(BD_PLAN!$I$3:$I$312,BD_PLAN!$B$3:$B$312,E144,BD_PLAN!$C$3:$C$312,INDEX(BD_CICLO!$F$3:$F$54,MATCH(E144&amp;"|"&amp;H144,BD_CICLO!$G$3:$G$54,0))),""))</f>
        <v/>
      </c>
      <c r="L144" s="9"/>
      <c r="M144" s="9"/>
      <c r="N144" s="1" t="str">
        <f aca="false">IF(C144="","",C144&amp;"|"&amp;COUNTIF(C$3:C144,C144))</f>
        <v/>
      </c>
      <c r="O144" s="1" t="str">
        <f aca="false">IF(OR(C144="",M144=""),"",C144&amp;"|"&amp;COUNTIFS(C$3:C144,C144,M$3:M144,"&lt;&gt;"))</f>
        <v/>
      </c>
    </row>
    <row r="145" customFormat="false" ht="15" hidden="false" customHeight="false" outlineLevel="0" collapsed="false">
      <c r="B145" s="7"/>
      <c r="C145" s="5"/>
      <c r="D145" s="9" t="str">
        <f aca="false">IF(C145="","",IFERROR(VLOOKUP(C145,EQUIPOS!$B$3:$C$18,2,0),"NO EXISTE"))</f>
        <v/>
      </c>
      <c r="E145" s="9" t="str">
        <f aca="false">IF(C145="","",IFERROR(VLOOKUP(C145,EQUIPOS!$B$3:$F$18,5,0),""))</f>
        <v/>
      </c>
      <c r="F145" s="5" t="str">
        <f aca="false">IF(C145="","",IFERROR(VLOOKUP(C145,EQUIPOS!$B$3:$G$18,6,0),""))</f>
        <v/>
      </c>
      <c r="G145" s="8"/>
      <c r="H145" s="5"/>
      <c r="I145" s="5"/>
      <c r="J145" s="9"/>
      <c r="K145" s="17" t="str">
        <f aca="false">IF(H145="","",IFERROR(SUMIFS(BD_PLAN!$I$3:$I$312,BD_PLAN!$B$3:$B$312,E145,BD_PLAN!$C$3:$C$312,INDEX(BD_CICLO!$F$3:$F$54,MATCH(E145&amp;"|"&amp;H145,BD_CICLO!$G$3:$G$54,0))),""))</f>
        <v/>
      </c>
      <c r="L145" s="9"/>
      <c r="M145" s="9"/>
      <c r="N145" s="1" t="str">
        <f aca="false">IF(C145="","",C145&amp;"|"&amp;COUNTIF(C$3:C145,C145))</f>
        <v/>
      </c>
      <c r="O145" s="1" t="str">
        <f aca="false">IF(OR(C145="",M145=""),"",C145&amp;"|"&amp;COUNTIFS(C$3:C145,C145,M$3:M145,"&lt;&gt;"))</f>
        <v/>
      </c>
    </row>
    <row r="146" customFormat="false" ht="15" hidden="false" customHeight="false" outlineLevel="0" collapsed="false">
      <c r="B146" s="7"/>
      <c r="C146" s="5"/>
      <c r="D146" s="9" t="str">
        <f aca="false">IF(C146="","",IFERROR(VLOOKUP(C146,EQUIPOS!$B$3:$C$18,2,0),"NO EXISTE"))</f>
        <v/>
      </c>
      <c r="E146" s="9" t="str">
        <f aca="false">IF(C146="","",IFERROR(VLOOKUP(C146,EQUIPOS!$B$3:$F$18,5,0),""))</f>
        <v/>
      </c>
      <c r="F146" s="5" t="str">
        <f aca="false">IF(C146="","",IFERROR(VLOOKUP(C146,EQUIPOS!$B$3:$G$18,6,0),""))</f>
        <v/>
      </c>
      <c r="G146" s="8"/>
      <c r="H146" s="5"/>
      <c r="I146" s="5"/>
      <c r="J146" s="9"/>
      <c r="K146" s="17" t="str">
        <f aca="false">IF(H146="","",IFERROR(SUMIFS(BD_PLAN!$I$3:$I$312,BD_PLAN!$B$3:$B$312,E146,BD_PLAN!$C$3:$C$312,INDEX(BD_CICLO!$F$3:$F$54,MATCH(E146&amp;"|"&amp;H146,BD_CICLO!$G$3:$G$54,0))),""))</f>
        <v/>
      </c>
      <c r="L146" s="9"/>
      <c r="M146" s="9"/>
      <c r="N146" s="1" t="str">
        <f aca="false">IF(C146="","",C146&amp;"|"&amp;COUNTIF(C$3:C146,C146))</f>
        <v/>
      </c>
      <c r="O146" s="1" t="str">
        <f aca="false">IF(OR(C146="",M146=""),"",C146&amp;"|"&amp;COUNTIFS(C$3:C146,C146,M$3:M146,"&lt;&gt;"))</f>
        <v/>
      </c>
    </row>
    <row r="147" customFormat="false" ht="15" hidden="false" customHeight="false" outlineLevel="0" collapsed="false">
      <c r="B147" s="7"/>
      <c r="C147" s="5"/>
      <c r="D147" s="9" t="str">
        <f aca="false">IF(C147="","",IFERROR(VLOOKUP(C147,EQUIPOS!$B$3:$C$18,2,0),"NO EXISTE"))</f>
        <v/>
      </c>
      <c r="E147" s="9" t="str">
        <f aca="false">IF(C147="","",IFERROR(VLOOKUP(C147,EQUIPOS!$B$3:$F$18,5,0),""))</f>
        <v/>
      </c>
      <c r="F147" s="5" t="str">
        <f aca="false">IF(C147="","",IFERROR(VLOOKUP(C147,EQUIPOS!$B$3:$G$18,6,0),""))</f>
        <v/>
      </c>
      <c r="G147" s="8"/>
      <c r="H147" s="5"/>
      <c r="I147" s="5"/>
      <c r="J147" s="9"/>
      <c r="K147" s="17" t="str">
        <f aca="false">IF(H147="","",IFERROR(SUMIFS(BD_PLAN!$I$3:$I$312,BD_PLAN!$B$3:$B$312,E147,BD_PLAN!$C$3:$C$312,INDEX(BD_CICLO!$F$3:$F$54,MATCH(E147&amp;"|"&amp;H147,BD_CICLO!$G$3:$G$54,0))),""))</f>
        <v/>
      </c>
      <c r="L147" s="9"/>
      <c r="M147" s="9"/>
      <c r="N147" s="1" t="str">
        <f aca="false">IF(C147="","",C147&amp;"|"&amp;COUNTIF(C$3:C147,C147))</f>
        <v/>
      </c>
      <c r="O147" s="1" t="str">
        <f aca="false">IF(OR(C147="",M147=""),"",C147&amp;"|"&amp;COUNTIFS(C$3:C147,C147,M$3:M147,"&lt;&gt;"))</f>
        <v/>
      </c>
    </row>
    <row r="148" customFormat="false" ht="15" hidden="false" customHeight="false" outlineLevel="0" collapsed="false">
      <c r="B148" s="7"/>
      <c r="C148" s="5"/>
      <c r="D148" s="9" t="str">
        <f aca="false">IF(C148="","",IFERROR(VLOOKUP(C148,EQUIPOS!$B$3:$C$18,2,0),"NO EXISTE"))</f>
        <v/>
      </c>
      <c r="E148" s="9" t="str">
        <f aca="false">IF(C148="","",IFERROR(VLOOKUP(C148,EQUIPOS!$B$3:$F$18,5,0),""))</f>
        <v/>
      </c>
      <c r="F148" s="5" t="str">
        <f aca="false">IF(C148="","",IFERROR(VLOOKUP(C148,EQUIPOS!$B$3:$G$18,6,0),""))</f>
        <v/>
      </c>
      <c r="G148" s="8"/>
      <c r="H148" s="5"/>
      <c r="I148" s="5"/>
      <c r="J148" s="9"/>
      <c r="K148" s="17" t="str">
        <f aca="false">IF(H148="","",IFERROR(SUMIFS(BD_PLAN!$I$3:$I$312,BD_PLAN!$B$3:$B$312,E148,BD_PLAN!$C$3:$C$312,INDEX(BD_CICLO!$F$3:$F$54,MATCH(E148&amp;"|"&amp;H148,BD_CICLO!$G$3:$G$54,0))),""))</f>
        <v/>
      </c>
      <c r="L148" s="9"/>
      <c r="M148" s="9"/>
      <c r="N148" s="1" t="str">
        <f aca="false">IF(C148="","",C148&amp;"|"&amp;COUNTIF(C$3:C148,C148))</f>
        <v/>
      </c>
      <c r="O148" s="1" t="str">
        <f aca="false">IF(OR(C148="",M148=""),"",C148&amp;"|"&amp;COUNTIFS(C$3:C148,C148,M$3:M148,"&lt;&gt;"))</f>
        <v/>
      </c>
    </row>
    <row r="149" customFormat="false" ht="15" hidden="false" customHeight="false" outlineLevel="0" collapsed="false">
      <c r="B149" s="7"/>
      <c r="C149" s="5"/>
      <c r="D149" s="9" t="str">
        <f aca="false">IF(C149="","",IFERROR(VLOOKUP(C149,EQUIPOS!$B$3:$C$18,2,0),"NO EXISTE"))</f>
        <v/>
      </c>
      <c r="E149" s="9" t="str">
        <f aca="false">IF(C149="","",IFERROR(VLOOKUP(C149,EQUIPOS!$B$3:$F$18,5,0),""))</f>
        <v/>
      </c>
      <c r="F149" s="5" t="str">
        <f aca="false">IF(C149="","",IFERROR(VLOOKUP(C149,EQUIPOS!$B$3:$G$18,6,0),""))</f>
        <v/>
      </c>
      <c r="G149" s="8"/>
      <c r="H149" s="5"/>
      <c r="I149" s="5"/>
      <c r="J149" s="9"/>
      <c r="K149" s="17" t="str">
        <f aca="false">IF(H149="","",IFERROR(SUMIFS(BD_PLAN!$I$3:$I$312,BD_PLAN!$B$3:$B$312,E149,BD_PLAN!$C$3:$C$312,INDEX(BD_CICLO!$F$3:$F$54,MATCH(E149&amp;"|"&amp;H149,BD_CICLO!$G$3:$G$54,0))),""))</f>
        <v/>
      </c>
      <c r="L149" s="9"/>
      <c r="M149" s="9"/>
      <c r="N149" s="1" t="str">
        <f aca="false">IF(C149="","",C149&amp;"|"&amp;COUNTIF(C$3:C149,C149))</f>
        <v/>
      </c>
      <c r="O149" s="1" t="str">
        <f aca="false">IF(OR(C149="",M149=""),"",C149&amp;"|"&amp;COUNTIFS(C$3:C149,C149,M$3:M149,"&lt;&gt;"))</f>
        <v/>
      </c>
    </row>
    <row r="150" customFormat="false" ht="15" hidden="false" customHeight="false" outlineLevel="0" collapsed="false">
      <c r="B150" s="7"/>
      <c r="C150" s="5"/>
      <c r="D150" s="9" t="str">
        <f aca="false">IF(C150="","",IFERROR(VLOOKUP(C150,EQUIPOS!$B$3:$C$18,2,0),"NO EXISTE"))</f>
        <v/>
      </c>
      <c r="E150" s="9" t="str">
        <f aca="false">IF(C150="","",IFERROR(VLOOKUP(C150,EQUIPOS!$B$3:$F$18,5,0),""))</f>
        <v/>
      </c>
      <c r="F150" s="5" t="str">
        <f aca="false">IF(C150="","",IFERROR(VLOOKUP(C150,EQUIPOS!$B$3:$G$18,6,0),""))</f>
        <v/>
      </c>
      <c r="G150" s="8"/>
      <c r="H150" s="5"/>
      <c r="I150" s="5"/>
      <c r="J150" s="9"/>
      <c r="K150" s="17" t="str">
        <f aca="false">IF(H150="","",IFERROR(SUMIFS(BD_PLAN!$I$3:$I$312,BD_PLAN!$B$3:$B$312,E150,BD_PLAN!$C$3:$C$312,INDEX(BD_CICLO!$F$3:$F$54,MATCH(E150&amp;"|"&amp;H150,BD_CICLO!$G$3:$G$54,0))),""))</f>
        <v/>
      </c>
      <c r="L150" s="9"/>
      <c r="M150" s="9"/>
      <c r="N150" s="1" t="str">
        <f aca="false">IF(C150="","",C150&amp;"|"&amp;COUNTIF(C$3:C150,C150))</f>
        <v/>
      </c>
      <c r="O150" s="1" t="str">
        <f aca="false">IF(OR(C150="",M150=""),"",C150&amp;"|"&amp;COUNTIFS(C$3:C150,C150,M$3:M150,"&lt;&gt;"))</f>
        <v/>
      </c>
    </row>
    <row r="151" customFormat="false" ht="15" hidden="false" customHeight="false" outlineLevel="0" collapsed="false">
      <c r="B151" s="7"/>
      <c r="C151" s="5"/>
      <c r="D151" s="9" t="str">
        <f aca="false">IF(C151="","",IFERROR(VLOOKUP(C151,EQUIPOS!$B$3:$C$18,2,0),"NO EXISTE"))</f>
        <v/>
      </c>
      <c r="E151" s="9" t="str">
        <f aca="false">IF(C151="","",IFERROR(VLOOKUP(C151,EQUIPOS!$B$3:$F$18,5,0),""))</f>
        <v/>
      </c>
      <c r="F151" s="5" t="str">
        <f aca="false">IF(C151="","",IFERROR(VLOOKUP(C151,EQUIPOS!$B$3:$G$18,6,0),""))</f>
        <v/>
      </c>
      <c r="G151" s="8"/>
      <c r="H151" s="5"/>
      <c r="I151" s="5"/>
      <c r="J151" s="9"/>
      <c r="K151" s="17" t="str">
        <f aca="false">IF(H151="","",IFERROR(SUMIFS(BD_PLAN!$I$3:$I$312,BD_PLAN!$B$3:$B$312,E151,BD_PLAN!$C$3:$C$312,INDEX(BD_CICLO!$F$3:$F$54,MATCH(E151&amp;"|"&amp;H151,BD_CICLO!$G$3:$G$54,0))),""))</f>
        <v/>
      </c>
      <c r="L151" s="9"/>
      <c r="M151" s="9"/>
      <c r="N151" s="1" t="str">
        <f aca="false">IF(C151="","",C151&amp;"|"&amp;COUNTIF(C$3:C151,C151))</f>
        <v/>
      </c>
      <c r="O151" s="1" t="str">
        <f aca="false">IF(OR(C151="",M151=""),"",C151&amp;"|"&amp;COUNTIFS(C$3:C151,C151,M$3:M151,"&lt;&gt;"))</f>
        <v/>
      </c>
    </row>
    <row r="152" customFormat="false" ht="15" hidden="false" customHeight="false" outlineLevel="0" collapsed="false">
      <c r="B152" s="7"/>
      <c r="C152" s="5"/>
      <c r="D152" s="9" t="str">
        <f aca="false">IF(C152="","",IFERROR(VLOOKUP(C152,EQUIPOS!$B$3:$C$18,2,0),"NO EXISTE"))</f>
        <v/>
      </c>
      <c r="E152" s="9" t="str">
        <f aca="false">IF(C152="","",IFERROR(VLOOKUP(C152,EQUIPOS!$B$3:$F$18,5,0),""))</f>
        <v/>
      </c>
      <c r="F152" s="5" t="str">
        <f aca="false">IF(C152="","",IFERROR(VLOOKUP(C152,EQUIPOS!$B$3:$G$18,6,0),""))</f>
        <v/>
      </c>
      <c r="G152" s="8"/>
      <c r="H152" s="5"/>
      <c r="I152" s="5"/>
      <c r="J152" s="9"/>
      <c r="K152" s="17" t="str">
        <f aca="false">IF(H152="","",IFERROR(SUMIFS(BD_PLAN!$I$3:$I$312,BD_PLAN!$B$3:$B$312,E152,BD_PLAN!$C$3:$C$312,INDEX(BD_CICLO!$F$3:$F$54,MATCH(E152&amp;"|"&amp;H152,BD_CICLO!$G$3:$G$54,0))),""))</f>
        <v/>
      </c>
      <c r="L152" s="9"/>
      <c r="M152" s="9"/>
      <c r="N152" s="1" t="str">
        <f aca="false">IF(C152="","",C152&amp;"|"&amp;COUNTIF(C$3:C152,C152))</f>
        <v/>
      </c>
      <c r="O152" s="1" t="str">
        <f aca="false">IF(OR(C152="",M152=""),"",C152&amp;"|"&amp;COUNTIFS(C$3:C152,C152,M$3:M152,"&lt;&gt;"))</f>
        <v/>
      </c>
    </row>
    <row r="153" customFormat="false" ht="15" hidden="false" customHeight="false" outlineLevel="0" collapsed="false">
      <c r="B153" s="7"/>
      <c r="C153" s="5"/>
      <c r="D153" s="9" t="str">
        <f aca="false">IF(C153="","",IFERROR(VLOOKUP(C153,EQUIPOS!$B$3:$C$18,2,0),"NO EXISTE"))</f>
        <v/>
      </c>
      <c r="E153" s="9" t="str">
        <f aca="false">IF(C153="","",IFERROR(VLOOKUP(C153,EQUIPOS!$B$3:$F$18,5,0),""))</f>
        <v/>
      </c>
      <c r="F153" s="5" t="str">
        <f aca="false">IF(C153="","",IFERROR(VLOOKUP(C153,EQUIPOS!$B$3:$G$18,6,0),""))</f>
        <v/>
      </c>
      <c r="G153" s="8"/>
      <c r="H153" s="5"/>
      <c r="I153" s="5"/>
      <c r="J153" s="9"/>
      <c r="K153" s="17" t="str">
        <f aca="false">IF(H153="","",IFERROR(SUMIFS(BD_PLAN!$I$3:$I$312,BD_PLAN!$B$3:$B$312,E153,BD_PLAN!$C$3:$C$312,INDEX(BD_CICLO!$F$3:$F$54,MATCH(E153&amp;"|"&amp;H153,BD_CICLO!$G$3:$G$54,0))),""))</f>
        <v/>
      </c>
      <c r="L153" s="9"/>
      <c r="M153" s="9"/>
      <c r="N153" s="1" t="str">
        <f aca="false">IF(C153="","",C153&amp;"|"&amp;COUNTIF(C$3:C153,C153))</f>
        <v/>
      </c>
      <c r="O153" s="1" t="str">
        <f aca="false">IF(OR(C153="",M153=""),"",C153&amp;"|"&amp;COUNTIFS(C$3:C153,C153,M$3:M153,"&lt;&gt;"))</f>
        <v/>
      </c>
    </row>
    <row r="154" customFormat="false" ht="15" hidden="false" customHeight="false" outlineLevel="0" collapsed="false">
      <c r="B154" s="7"/>
      <c r="C154" s="5"/>
      <c r="D154" s="9" t="str">
        <f aca="false">IF(C154="","",IFERROR(VLOOKUP(C154,EQUIPOS!$B$3:$C$18,2,0),"NO EXISTE"))</f>
        <v/>
      </c>
      <c r="E154" s="9" t="str">
        <f aca="false">IF(C154="","",IFERROR(VLOOKUP(C154,EQUIPOS!$B$3:$F$18,5,0),""))</f>
        <v/>
      </c>
      <c r="F154" s="5" t="str">
        <f aca="false">IF(C154="","",IFERROR(VLOOKUP(C154,EQUIPOS!$B$3:$G$18,6,0),""))</f>
        <v/>
      </c>
      <c r="G154" s="8"/>
      <c r="H154" s="5"/>
      <c r="I154" s="5"/>
      <c r="J154" s="9"/>
      <c r="K154" s="17" t="str">
        <f aca="false">IF(H154="","",IFERROR(SUMIFS(BD_PLAN!$I$3:$I$312,BD_PLAN!$B$3:$B$312,E154,BD_PLAN!$C$3:$C$312,INDEX(BD_CICLO!$F$3:$F$54,MATCH(E154&amp;"|"&amp;H154,BD_CICLO!$G$3:$G$54,0))),""))</f>
        <v/>
      </c>
      <c r="L154" s="9"/>
      <c r="M154" s="9"/>
      <c r="N154" s="1" t="str">
        <f aca="false">IF(C154="","",C154&amp;"|"&amp;COUNTIF(C$3:C154,C154))</f>
        <v/>
      </c>
      <c r="O154" s="1" t="str">
        <f aca="false">IF(OR(C154="",M154=""),"",C154&amp;"|"&amp;COUNTIFS(C$3:C154,C154,M$3:M154,"&lt;&gt;"))</f>
        <v/>
      </c>
    </row>
    <row r="155" customFormat="false" ht="15" hidden="false" customHeight="false" outlineLevel="0" collapsed="false">
      <c r="B155" s="7"/>
      <c r="C155" s="5"/>
      <c r="D155" s="9" t="str">
        <f aca="false">IF(C155="","",IFERROR(VLOOKUP(C155,EQUIPOS!$B$3:$C$18,2,0),"NO EXISTE"))</f>
        <v/>
      </c>
      <c r="E155" s="9" t="str">
        <f aca="false">IF(C155="","",IFERROR(VLOOKUP(C155,EQUIPOS!$B$3:$F$18,5,0),""))</f>
        <v/>
      </c>
      <c r="F155" s="5" t="str">
        <f aca="false">IF(C155="","",IFERROR(VLOOKUP(C155,EQUIPOS!$B$3:$G$18,6,0),""))</f>
        <v/>
      </c>
      <c r="G155" s="8"/>
      <c r="H155" s="5"/>
      <c r="I155" s="5"/>
      <c r="J155" s="9"/>
      <c r="K155" s="17" t="str">
        <f aca="false">IF(H155="","",IFERROR(SUMIFS(BD_PLAN!$I$3:$I$312,BD_PLAN!$B$3:$B$312,E155,BD_PLAN!$C$3:$C$312,INDEX(BD_CICLO!$F$3:$F$54,MATCH(E155&amp;"|"&amp;H155,BD_CICLO!$G$3:$G$54,0))),""))</f>
        <v/>
      </c>
      <c r="L155" s="9"/>
      <c r="M155" s="9"/>
      <c r="N155" s="1" t="str">
        <f aca="false">IF(C155="","",C155&amp;"|"&amp;COUNTIF(C$3:C155,C155))</f>
        <v/>
      </c>
      <c r="O155" s="1" t="str">
        <f aca="false">IF(OR(C155="",M155=""),"",C155&amp;"|"&amp;COUNTIFS(C$3:C155,C155,M$3:M155,"&lt;&gt;"))</f>
        <v/>
      </c>
    </row>
    <row r="156" customFormat="false" ht="15" hidden="false" customHeight="false" outlineLevel="0" collapsed="false">
      <c r="B156" s="7"/>
      <c r="C156" s="5"/>
      <c r="D156" s="9" t="str">
        <f aca="false">IF(C156="","",IFERROR(VLOOKUP(C156,EQUIPOS!$B$3:$C$18,2,0),"NO EXISTE"))</f>
        <v/>
      </c>
      <c r="E156" s="9" t="str">
        <f aca="false">IF(C156="","",IFERROR(VLOOKUP(C156,EQUIPOS!$B$3:$F$18,5,0),""))</f>
        <v/>
      </c>
      <c r="F156" s="5" t="str">
        <f aca="false">IF(C156="","",IFERROR(VLOOKUP(C156,EQUIPOS!$B$3:$G$18,6,0),""))</f>
        <v/>
      </c>
      <c r="G156" s="8"/>
      <c r="H156" s="5"/>
      <c r="I156" s="5"/>
      <c r="J156" s="9"/>
      <c r="K156" s="17" t="str">
        <f aca="false">IF(H156="","",IFERROR(SUMIFS(BD_PLAN!$I$3:$I$312,BD_PLAN!$B$3:$B$312,E156,BD_PLAN!$C$3:$C$312,INDEX(BD_CICLO!$F$3:$F$54,MATCH(E156&amp;"|"&amp;H156,BD_CICLO!$G$3:$G$54,0))),""))</f>
        <v/>
      </c>
      <c r="L156" s="9"/>
      <c r="M156" s="9"/>
      <c r="N156" s="1" t="str">
        <f aca="false">IF(C156="","",C156&amp;"|"&amp;COUNTIF(C$3:C156,C156))</f>
        <v/>
      </c>
      <c r="O156" s="1" t="str">
        <f aca="false">IF(OR(C156="",M156=""),"",C156&amp;"|"&amp;COUNTIFS(C$3:C156,C156,M$3:M156,"&lt;&gt;"))</f>
        <v/>
      </c>
    </row>
    <row r="157" customFormat="false" ht="15" hidden="false" customHeight="false" outlineLevel="0" collapsed="false">
      <c r="B157" s="7"/>
      <c r="C157" s="5"/>
      <c r="D157" s="9" t="str">
        <f aca="false">IF(C157="","",IFERROR(VLOOKUP(C157,EQUIPOS!$B$3:$C$18,2,0),"NO EXISTE"))</f>
        <v/>
      </c>
      <c r="E157" s="9" t="str">
        <f aca="false">IF(C157="","",IFERROR(VLOOKUP(C157,EQUIPOS!$B$3:$F$18,5,0),""))</f>
        <v/>
      </c>
      <c r="F157" s="5" t="str">
        <f aca="false">IF(C157="","",IFERROR(VLOOKUP(C157,EQUIPOS!$B$3:$G$18,6,0),""))</f>
        <v/>
      </c>
      <c r="G157" s="8"/>
      <c r="H157" s="5"/>
      <c r="I157" s="5"/>
      <c r="J157" s="9"/>
      <c r="K157" s="17" t="str">
        <f aca="false">IF(H157="","",IFERROR(SUMIFS(BD_PLAN!$I$3:$I$312,BD_PLAN!$B$3:$B$312,E157,BD_PLAN!$C$3:$C$312,INDEX(BD_CICLO!$F$3:$F$54,MATCH(E157&amp;"|"&amp;H157,BD_CICLO!$G$3:$G$54,0))),""))</f>
        <v/>
      </c>
      <c r="L157" s="9"/>
      <c r="M157" s="9"/>
      <c r="N157" s="1" t="str">
        <f aca="false">IF(C157="","",C157&amp;"|"&amp;COUNTIF(C$3:C157,C157))</f>
        <v/>
      </c>
      <c r="O157" s="1" t="str">
        <f aca="false">IF(OR(C157="",M157=""),"",C157&amp;"|"&amp;COUNTIFS(C$3:C157,C157,M$3:M157,"&lt;&gt;"))</f>
        <v/>
      </c>
    </row>
    <row r="158" customFormat="false" ht="15" hidden="false" customHeight="false" outlineLevel="0" collapsed="false">
      <c r="B158" s="7"/>
      <c r="C158" s="5"/>
      <c r="D158" s="9" t="str">
        <f aca="false">IF(C158="","",IFERROR(VLOOKUP(C158,EQUIPOS!$B$3:$C$18,2,0),"NO EXISTE"))</f>
        <v/>
      </c>
      <c r="E158" s="9" t="str">
        <f aca="false">IF(C158="","",IFERROR(VLOOKUP(C158,EQUIPOS!$B$3:$F$18,5,0),""))</f>
        <v/>
      </c>
      <c r="F158" s="5" t="str">
        <f aca="false">IF(C158="","",IFERROR(VLOOKUP(C158,EQUIPOS!$B$3:$G$18,6,0),""))</f>
        <v/>
      </c>
      <c r="G158" s="8"/>
      <c r="H158" s="5"/>
      <c r="I158" s="5"/>
      <c r="J158" s="9"/>
      <c r="K158" s="17" t="str">
        <f aca="false">IF(H158="","",IFERROR(SUMIFS(BD_PLAN!$I$3:$I$312,BD_PLAN!$B$3:$B$312,E158,BD_PLAN!$C$3:$C$312,INDEX(BD_CICLO!$F$3:$F$54,MATCH(E158&amp;"|"&amp;H158,BD_CICLO!$G$3:$G$54,0))),""))</f>
        <v/>
      </c>
      <c r="L158" s="9"/>
      <c r="M158" s="9"/>
      <c r="N158" s="1" t="str">
        <f aca="false">IF(C158="","",C158&amp;"|"&amp;COUNTIF(C$3:C158,C158))</f>
        <v/>
      </c>
      <c r="O158" s="1" t="str">
        <f aca="false">IF(OR(C158="",M158=""),"",C158&amp;"|"&amp;COUNTIFS(C$3:C158,C158,M$3:M158,"&lt;&gt;"))</f>
        <v/>
      </c>
    </row>
    <row r="159" customFormat="false" ht="15" hidden="false" customHeight="false" outlineLevel="0" collapsed="false">
      <c r="B159" s="7"/>
      <c r="C159" s="5"/>
      <c r="D159" s="9" t="str">
        <f aca="false">IF(C159="","",IFERROR(VLOOKUP(C159,EQUIPOS!$B$3:$C$18,2,0),"NO EXISTE"))</f>
        <v/>
      </c>
      <c r="E159" s="9" t="str">
        <f aca="false">IF(C159="","",IFERROR(VLOOKUP(C159,EQUIPOS!$B$3:$F$18,5,0),""))</f>
        <v/>
      </c>
      <c r="F159" s="5" t="str">
        <f aca="false">IF(C159="","",IFERROR(VLOOKUP(C159,EQUIPOS!$B$3:$G$18,6,0),""))</f>
        <v/>
      </c>
      <c r="G159" s="8"/>
      <c r="H159" s="5"/>
      <c r="I159" s="5"/>
      <c r="J159" s="9"/>
      <c r="K159" s="17" t="str">
        <f aca="false">IF(H159="","",IFERROR(SUMIFS(BD_PLAN!$I$3:$I$312,BD_PLAN!$B$3:$B$312,E159,BD_PLAN!$C$3:$C$312,INDEX(BD_CICLO!$F$3:$F$54,MATCH(E159&amp;"|"&amp;H159,BD_CICLO!$G$3:$G$54,0))),""))</f>
        <v/>
      </c>
      <c r="L159" s="9"/>
      <c r="M159" s="9"/>
      <c r="N159" s="1" t="str">
        <f aca="false">IF(C159="","",C159&amp;"|"&amp;COUNTIF(C$3:C159,C159))</f>
        <v/>
      </c>
      <c r="O159" s="1" t="str">
        <f aca="false">IF(OR(C159="",M159=""),"",C159&amp;"|"&amp;COUNTIFS(C$3:C159,C159,M$3:M159,"&lt;&gt;"))</f>
        <v/>
      </c>
    </row>
    <row r="160" customFormat="false" ht="15" hidden="false" customHeight="false" outlineLevel="0" collapsed="false">
      <c r="B160" s="7"/>
      <c r="C160" s="5"/>
      <c r="D160" s="9" t="str">
        <f aca="false">IF(C160="","",IFERROR(VLOOKUP(C160,EQUIPOS!$B$3:$C$18,2,0),"NO EXISTE"))</f>
        <v/>
      </c>
      <c r="E160" s="9" t="str">
        <f aca="false">IF(C160="","",IFERROR(VLOOKUP(C160,EQUIPOS!$B$3:$F$18,5,0),""))</f>
        <v/>
      </c>
      <c r="F160" s="5" t="str">
        <f aca="false">IF(C160="","",IFERROR(VLOOKUP(C160,EQUIPOS!$B$3:$G$18,6,0),""))</f>
        <v/>
      </c>
      <c r="G160" s="8"/>
      <c r="H160" s="5"/>
      <c r="I160" s="5"/>
      <c r="J160" s="9"/>
      <c r="K160" s="17" t="str">
        <f aca="false">IF(H160="","",IFERROR(SUMIFS(BD_PLAN!$I$3:$I$312,BD_PLAN!$B$3:$B$312,E160,BD_PLAN!$C$3:$C$312,INDEX(BD_CICLO!$F$3:$F$54,MATCH(E160&amp;"|"&amp;H160,BD_CICLO!$G$3:$G$54,0))),""))</f>
        <v/>
      </c>
      <c r="L160" s="9"/>
      <c r="M160" s="9"/>
      <c r="N160" s="1" t="str">
        <f aca="false">IF(C160="","",C160&amp;"|"&amp;COUNTIF(C$3:C160,C160))</f>
        <v/>
      </c>
      <c r="O160" s="1" t="str">
        <f aca="false">IF(OR(C160="",M160=""),"",C160&amp;"|"&amp;COUNTIFS(C$3:C160,C160,M$3:M160,"&lt;&gt;"))</f>
        <v/>
      </c>
    </row>
    <row r="161" customFormat="false" ht="15" hidden="false" customHeight="false" outlineLevel="0" collapsed="false">
      <c r="B161" s="7"/>
      <c r="C161" s="5"/>
      <c r="D161" s="9" t="str">
        <f aca="false">IF(C161="","",IFERROR(VLOOKUP(C161,EQUIPOS!$B$3:$C$18,2,0),"NO EXISTE"))</f>
        <v/>
      </c>
      <c r="E161" s="9" t="str">
        <f aca="false">IF(C161="","",IFERROR(VLOOKUP(C161,EQUIPOS!$B$3:$F$18,5,0),""))</f>
        <v/>
      </c>
      <c r="F161" s="5" t="str">
        <f aca="false">IF(C161="","",IFERROR(VLOOKUP(C161,EQUIPOS!$B$3:$G$18,6,0),""))</f>
        <v/>
      </c>
      <c r="G161" s="8"/>
      <c r="H161" s="5"/>
      <c r="I161" s="5"/>
      <c r="J161" s="9"/>
      <c r="K161" s="17" t="str">
        <f aca="false">IF(H161="","",IFERROR(SUMIFS(BD_PLAN!$I$3:$I$312,BD_PLAN!$B$3:$B$312,E161,BD_PLAN!$C$3:$C$312,INDEX(BD_CICLO!$F$3:$F$54,MATCH(E161&amp;"|"&amp;H161,BD_CICLO!$G$3:$G$54,0))),""))</f>
        <v/>
      </c>
      <c r="L161" s="9"/>
      <c r="M161" s="9"/>
      <c r="N161" s="1" t="str">
        <f aca="false">IF(C161="","",C161&amp;"|"&amp;COUNTIF(C$3:C161,C161))</f>
        <v/>
      </c>
      <c r="O161" s="1" t="str">
        <f aca="false">IF(OR(C161="",M161=""),"",C161&amp;"|"&amp;COUNTIFS(C$3:C161,C161,M$3:M161,"&lt;&gt;"))</f>
        <v/>
      </c>
    </row>
    <row r="162" customFormat="false" ht="15" hidden="false" customHeight="false" outlineLevel="0" collapsed="false">
      <c r="B162" s="7"/>
      <c r="C162" s="5"/>
      <c r="D162" s="9" t="str">
        <f aca="false">IF(C162="","",IFERROR(VLOOKUP(C162,EQUIPOS!$B$3:$C$18,2,0),"NO EXISTE"))</f>
        <v/>
      </c>
      <c r="E162" s="9" t="str">
        <f aca="false">IF(C162="","",IFERROR(VLOOKUP(C162,EQUIPOS!$B$3:$F$18,5,0),""))</f>
        <v/>
      </c>
      <c r="F162" s="5" t="str">
        <f aca="false">IF(C162="","",IFERROR(VLOOKUP(C162,EQUIPOS!$B$3:$G$18,6,0),""))</f>
        <v/>
      </c>
      <c r="G162" s="8"/>
      <c r="H162" s="5"/>
      <c r="I162" s="5"/>
      <c r="J162" s="9"/>
      <c r="K162" s="17" t="str">
        <f aca="false">IF(H162="","",IFERROR(SUMIFS(BD_PLAN!$I$3:$I$312,BD_PLAN!$B$3:$B$312,E162,BD_PLAN!$C$3:$C$312,INDEX(BD_CICLO!$F$3:$F$54,MATCH(E162&amp;"|"&amp;H162,BD_CICLO!$G$3:$G$54,0))),""))</f>
        <v/>
      </c>
      <c r="L162" s="9"/>
      <c r="M162" s="9"/>
      <c r="N162" s="1" t="str">
        <f aca="false">IF(C162="","",C162&amp;"|"&amp;COUNTIF(C$3:C162,C162))</f>
        <v/>
      </c>
      <c r="O162" s="1" t="str">
        <f aca="false">IF(OR(C162="",M162=""),"",C162&amp;"|"&amp;COUNTIFS(C$3:C162,C162,M$3:M162,"&lt;&gt;"))</f>
        <v/>
      </c>
    </row>
    <row r="163" customFormat="false" ht="15" hidden="false" customHeight="false" outlineLevel="0" collapsed="false">
      <c r="B163" s="7"/>
      <c r="C163" s="5"/>
      <c r="D163" s="9" t="str">
        <f aca="false">IF(C163="","",IFERROR(VLOOKUP(C163,EQUIPOS!$B$3:$C$18,2,0),"NO EXISTE"))</f>
        <v/>
      </c>
      <c r="E163" s="9" t="str">
        <f aca="false">IF(C163="","",IFERROR(VLOOKUP(C163,EQUIPOS!$B$3:$F$18,5,0),""))</f>
        <v/>
      </c>
      <c r="F163" s="5" t="str">
        <f aca="false">IF(C163="","",IFERROR(VLOOKUP(C163,EQUIPOS!$B$3:$G$18,6,0),""))</f>
        <v/>
      </c>
      <c r="G163" s="8"/>
      <c r="H163" s="5"/>
      <c r="I163" s="5"/>
      <c r="J163" s="9"/>
      <c r="K163" s="17" t="str">
        <f aca="false">IF(H163="","",IFERROR(SUMIFS(BD_PLAN!$I$3:$I$312,BD_PLAN!$B$3:$B$312,E163,BD_PLAN!$C$3:$C$312,INDEX(BD_CICLO!$F$3:$F$54,MATCH(E163&amp;"|"&amp;H163,BD_CICLO!$G$3:$G$54,0))),""))</f>
        <v/>
      </c>
      <c r="L163" s="9"/>
      <c r="M163" s="9"/>
      <c r="N163" s="1" t="str">
        <f aca="false">IF(C163="","",C163&amp;"|"&amp;COUNTIF(C$3:C163,C163))</f>
        <v/>
      </c>
      <c r="O163" s="1" t="str">
        <f aca="false">IF(OR(C163="",M163=""),"",C163&amp;"|"&amp;COUNTIFS(C$3:C163,C163,M$3:M163,"&lt;&gt;"))</f>
        <v/>
      </c>
    </row>
    <row r="164" customFormat="false" ht="15" hidden="false" customHeight="false" outlineLevel="0" collapsed="false">
      <c r="B164" s="7"/>
      <c r="C164" s="5"/>
      <c r="D164" s="9" t="str">
        <f aca="false">IF(C164="","",IFERROR(VLOOKUP(C164,EQUIPOS!$B$3:$C$18,2,0),"NO EXISTE"))</f>
        <v/>
      </c>
      <c r="E164" s="9" t="str">
        <f aca="false">IF(C164="","",IFERROR(VLOOKUP(C164,EQUIPOS!$B$3:$F$18,5,0),""))</f>
        <v/>
      </c>
      <c r="F164" s="5" t="str">
        <f aca="false">IF(C164="","",IFERROR(VLOOKUP(C164,EQUIPOS!$B$3:$G$18,6,0),""))</f>
        <v/>
      </c>
      <c r="G164" s="8"/>
      <c r="H164" s="5"/>
      <c r="I164" s="5"/>
      <c r="J164" s="9"/>
      <c r="K164" s="17" t="str">
        <f aca="false">IF(H164="","",IFERROR(SUMIFS(BD_PLAN!$I$3:$I$312,BD_PLAN!$B$3:$B$312,E164,BD_PLAN!$C$3:$C$312,INDEX(BD_CICLO!$F$3:$F$54,MATCH(E164&amp;"|"&amp;H164,BD_CICLO!$G$3:$G$54,0))),""))</f>
        <v/>
      </c>
      <c r="L164" s="9"/>
      <c r="M164" s="9"/>
      <c r="N164" s="1" t="str">
        <f aca="false">IF(C164="","",C164&amp;"|"&amp;COUNTIF(C$3:C164,C164))</f>
        <v/>
      </c>
      <c r="O164" s="1" t="str">
        <f aca="false">IF(OR(C164="",M164=""),"",C164&amp;"|"&amp;COUNTIFS(C$3:C164,C164,M$3:M164,"&lt;&gt;"))</f>
        <v/>
      </c>
    </row>
    <row r="165" customFormat="false" ht="15" hidden="false" customHeight="false" outlineLevel="0" collapsed="false">
      <c r="B165" s="7"/>
      <c r="C165" s="5"/>
      <c r="D165" s="9" t="str">
        <f aca="false">IF(C165="","",IFERROR(VLOOKUP(C165,EQUIPOS!$B$3:$C$18,2,0),"NO EXISTE"))</f>
        <v/>
      </c>
      <c r="E165" s="9" t="str">
        <f aca="false">IF(C165="","",IFERROR(VLOOKUP(C165,EQUIPOS!$B$3:$F$18,5,0),""))</f>
        <v/>
      </c>
      <c r="F165" s="5" t="str">
        <f aca="false">IF(C165="","",IFERROR(VLOOKUP(C165,EQUIPOS!$B$3:$G$18,6,0),""))</f>
        <v/>
      </c>
      <c r="G165" s="8"/>
      <c r="H165" s="5"/>
      <c r="I165" s="5"/>
      <c r="J165" s="9"/>
      <c r="K165" s="17" t="str">
        <f aca="false">IF(H165="","",IFERROR(SUMIFS(BD_PLAN!$I$3:$I$312,BD_PLAN!$B$3:$B$312,E165,BD_PLAN!$C$3:$C$312,INDEX(BD_CICLO!$F$3:$F$54,MATCH(E165&amp;"|"&amp;H165,BD_CICLO!$G$3:$G$54,0))),""))</f>
        <v/>
      </c>
      <c r="L165" s="9"/>
      <c r="M165" s="9"/>
      <c r="N165" s="1" t="str">
        <f aca="false">IF(C165="","",C165&amp;"|"&amp;COUNTIF(C$3:C165,C165))</f>
        <v/>
      </c>
      <c r="O165" s="1" t="str">
        <f aca="false">IF(OR(C165="",M165=""),"",C165&amp;"|"&amp;COUNTIFS(C$3:C165,C165,M$3:M165,"&lt;&gt;"))</f>
        <v/>
      </c>
    </row>
    <row r="166" customFormat="false" ht="15" hidden="false" customHeight="false" outlineLevel="0" collapsed="false">
      <c r="B166" s="7"/>
      <c r="C166" s="5"/>
      <c r="D166" s="9" t="str">
        <f aca="false">IF(C166="","",IFERROR(VLOOKUP(C166,EQUIPOS!$B$3:$C$18,2,0),"NO EXISTE"))</f>
        <v/>
      </c>
      <c r="E166" s="9" t="str">
        <f aca="false">IF(C166="","",IFERROR(VLOOKUP(C166,EQUIPOS!$B$3:$F$18,5,0),""))</f>
        <v/>
      </c>
      <c r="F166" s="5" t="str">
        <f aca="false">IF(C166="","",IFERROR(VLOOKUP(C166,EQUIPOS!$B$3:$G$18,6,0),""))</f>
        <v/>
      </c>
      <c r="G166" s="8"/>
      <c r="H166" s="5"/>
      <c r="I166" s="5"/>
      <c r="J166" s="9"/>
      <c r="K166" s="17" t="str">
        <f aca="false">IF(H166="","",IFERROR(SUMIFS(BD_PLAN!$I$3:$I$312,BD_PLAN!$B$3:$B$312,E166,BD_PLAN!$C$3:$C$312,INDEX(BD_CICLO!$F$3:$F$54,MATCH(E166&amp;"|"&amp;H166,BD_CICLO!$G$3:$G$54,0))),""))</f>
        <v/>
      </c>
      <c r="L166" s="9"/>
      <c r="M166" s="9"/>
      <c r="N166" s="1" t="str">
        <f aca="false">IF(C166="","",C166&amp;"|"&amp;COUNTIF(C$3:C166,C166))</f>
        <v/>
      </c>
      <c r="O166" s="1" t="str">
        <f aca="false">IF(OR(C166="",M166=""),"",C166&amp;"|"&amp;COUNTIFS(C$3:C166,C166,M$3:M166,"&lt;&gt;"))</f>
        <v/>
      </c>
    </row>
    <row r="167" customFormat="false" ht="15" hidden="false" customHeight="false" outlineLevel="0" collapsed="false">
      <c r="B167" s="7"/>
      <c r="C167" s="5"/>
      <c r="D167" s="9" t="str">
        <f aca="false">IF(C167="","",IFERROR(VLOOKUP(C167,EQUIPOS!$B$3:$C$18,2,0),"NO EXISTE"))</f>
        <v/>
      </c>
      <c r="E167" s="9" t="str">
        <f aca="false">IF(C167="","",IFERROR(VLOOKUP(C167,EQUIPOS!$B$3:$F$18,5,0),""))</f>
        <v/>
      </c>
      <c r="F167" s="5" t="str">
        <f aca="false">IF(C167="","",IFERROR(VLOOKUP(C167,EQUIPOS!$B$3:$G$18,6,0),""))</f>
        <v/>
      </c>
      <c r="G167" s="8"/>
      <c r="H167" s="5"/>
      <c r="I167" s="5"/>
      <c r="J167" s="9"/>
      <c r="K167" s="17" t="str">
        <f aca="false">IF(H167="","",IFERROR(SUMIFS(BD_PLAN!$I$3:$I$312,BD_PLAN!$B$3:$B$312,E167,BD_PLAN!$C$3:$C$312,INDEX(BD_CICLO!$F$3:$F$54,MATCH(E167&amp;"|"&amp;H167,BD_CICLO!$G$3:$G$54,0))),""))</f>
        <v/>
      </c>
      <c r="L167" s="9"/>
      <c r="M167" s="9"/>
      <c r="N167" s="1" t="str">
        <f aca="false">IF(C167="","",C167&amp;"|"&amp;COUNTIF(C$3:C167,C167))</f>
        <v/>
      </c>
      <c r="O167" s="1" t="str">
        <f aca="false">IF(OR(C167="",M167=""),"",C167&amp;"|"&amp;COUNTIFS(C$3:C167,C167,M$3:M167,"&lt;&gt;"))</f>
        <v/>
      </c>
    </row>
    <row r="168" customFormat="false" ht="15" hidden="false" customHeight="false" outlineLevel="0" collapsed="false">
      <c r="B168" s="7"/>
      <c r="C168" s="5"/>
      <c r="D168" s="9" t="str">
        <f aca="false">IF(C168="","",IFERROR(VLOOKUP(C168,EQUIPOS!$B$3:$C$18,2,0),"NO EXISTE"))</f>
        <v/>
      </c>
      <c r="E168" s="9" t="str">
        <f aca="false">IF(C168="","",IFERROR(VLOOKUP(C168,EQUIPOS!$B$3:$F$18,5,0),""))</f>
        <v/>
      </c>
      <c r="F168" s="5" t="str">
        <f aca="false">IF(C168="","",IFERROR(VLOOKUP(C168,EQUIPOS!$B$3:$G$18,6,0),""))</f>
        <v/>
      </c>
      <c r="G168" s="8"/>
      <c r="H168" s="5"/>
      <c r="I168" s="5"/>
      <c r="J168" s="9"/>
      <c r="K168" s="17" t="str">
        <f aca="false">IF(H168="","",IFERROR(SUMIFS(BD_PLAN!$I$3:$I$312,BD_PLAN!$B$3:$B$312,E168,BD_PLAN!$C$3:$C$312,INDEX(BD_CICLO!$F$3:$F$54,MATCH(E168&amp;"|"&amp;H168,BD_CICLO!$G$3:$G$54,0))),""))</f>
        <v/>
      </c>
      <c r="L168" s="9"/>
      <c r="M168" s="9"/>
      <c r="N168" s="1" t="str">
        <f aca="false">IF(C168="","",C168&amp;"|"&amp;COUNTIF(C$3:C168,C168))</f>
        <v/>
      </c>
      <c r="O168" s="1" t="str">
        <f aca="false">IF(OR(C168="",M168=""),"",C168&amp;"|"&amp;COUNTIFS(C$3:C168,C168,M$3:M168,"&lt;&gt;"))</f>
        <v/>
      </c>
    </row>
    <row r="169" customFormat="false" ht="15" hidden="false" customHeight="false" outlineLevel="0" collapsed="false">
      <c r="B169" s="7"/>
      <c r="C169" s="5"/>
      <c r="D169" s="9" t="str">
        <f aca="false">IF(C169="","",IFERROR(VLOOKUP(C169,EQUIPOS!$B$3:$C$18,2,0),"NO EXISTE"))</f>
        <v/>
      </c>
      <c r="E169" s="9" t="str">
        <f aca="false">IF(C169="","",IFERROR(VLOOKUP(C169,EQUIPOS!$B$3:$F$18,5,0),""))</f>
        <v/>
      </c>
      <c r="F169" s="5" t="str">
        <f aca="false">IF(C169="","",IFERROR(VLOOKUP(C169,EQUIPOS!$B$3:$G$18,6,0),""))</f>
        <v/>
      </c>
      <c r="G169" s="8"/>
      <c r="H169" s="5"/>
      <c r="I169" s="5"/>
      <c r="J169" s="9"/>
      <c r="K169" s="17" t="str">
        <f aca="false">IF(H169="","",IFERROR(SUMIFS(BD_PLAN!$I$3:$I$312,BD_PLAN!$B$3:$B$312,E169,BD_PLAN!$C$3:$C$312,INDEX(BD_CICLO!$F$3:$F$54,MATCH(E169&amp;"|"&amp;H169,BD_CICLO!$G$3:$G$54,0))),""))</f>
        <v/>
      </c>
      <c r="L169" s="9"/>
      <c r="M169" s="9"/>
      <c r="N169" s="1" t="str">
        <f aca="false">IF(C169="","",C169&amp;"|"&amp;COUNTIF(C$3:C169,C169))</f>
        <v/>
      </c>
      <c r="O169" s="1" t="str">
        <f aca="false">IF(OR(C169="",M169=""),"",C169&amp;"|"&amp;COUNTIFS(C$3:C169,C169,M$3:M169,"&lt;&gt;"))</f>
        <v/>
      </c>
    </row>
    <row r="170" customFormat="false" ht="15" hidden="false" customHeight="false" outlineLevel="0" collapsed="false">
      <c r="B170" s="7"/>
      <c r="C170" s="5"/>
      <c r="D170" s="9" t="str">
        <f aca="false">IF(C170="","",IFERROR(VLOOKUP(C170,EQUIPOS!$B$3:$C$18,2,0),"NO EXISTE"))</f>
        <v/>
      </c>
      <c r="E170" s="9" t="str">
        <f aca="false">IF(C170="","",IFERROR(VLOOKUP(C170,EQUIPOS!$B$3:$F$18,5,0),""))</f>
        <v/>
      </c>
      <c r="F170" s="5" t="str">
        <f aca="false">IF(C170="","",IFERROR(VLOOKUP(C170,EQUIPOS!$B$3:$G$18,6,0),""))</f>
        <v/>
      </c>
      <c r="G170" s="8"/>
      <c r="H170" s="5"/>
      <c r="I170" s="5"/>
      <c r="J170" s="9"/>
      <c r="K170" s="17" t="str">
        <f aca="false">IF(H170="","",IFERROR(SUMIFS(BD_PLAN!$I$3:$I$312,BD_PLAN!$B$3:$B$312,E170,BD_PLAN!$C$3:$C$312,INDEX(BD_CICLO!$F$3:$F$54,MATCH(E170&amp;"|"&amp;H170,BD_CICLO!$G$3:$G$54,0))),""))</f>
        <v/>
      </c>
      <c r="L170" s="9"/>
      <c r="M170" s="9"/>
      <c r="N170" s="1" t="str">
        <f aca="false">IF(C170="","",C170&amp;"|"&amp;COUNTIF(C$3:C170,C170))</f>
        <v/>
      </c>
      <c r="O170" s="1" t="str">
        <f aca="false">IF(OR(C170="",M170=""),"",C170&amp;"|"&amp;COUNTIFS(C$3:C170,C170,M$3:M170,"&lt;&gt;"))</f>
        <v/>
      </c>
    </row>
    <row r="171" customFormat="false" ht="15" hidden="false" customHeight="false" outlineLevel="0" collapsed="false">
      <c r="B171" s="7"/>
      <c r="C171" s="5"/>
      <c r="D171" s="9" t="str">
        <f aca="false">IF(C171="","",IFERROR(VLOOKUP(C171,EQUIPOS!$B$3:$C$18,2,0),"NO EXISTE"))</f>
        <v/>
      </c>
      <c r="E171" s="9" t="str">
        <f aca="false">IF(C171="","",IFERROR(VLOOKUP(C171,EQUIPOS!$B$3:$F$18,5,0),""))</f>
        <v/>
      </c>
      <c r="F171" s="5" t="str">
        <f aca="false">IF(C171="","",IFERROR(VLOOKUP(C171,EQUIPOS!$B$3:$G$18,6,0),""))</f>
        <v/>
      </c>
      <c r="G171" s="8"/>
      <c r="H171" s="5"/>
      <c r="I171" s="5"/>
      <c r="J171" s="9"/>
      <c r="K171" s="17" t="str">
        <f aca="false">IF(H171="","",IFERROR(SUMIFS(BD_PLAN!$I$3:$I$312,BD_PLAN!$B$3:$B$312,E171,BD_PLAN!$C$3:$C$312,INDEX(BD_CICLO!$F$3:$F$54,MATCH(E171&amp;"|"&amp;H171,BD_CICLO!$G$3:$G$54,0))),""))</f>
        <v/>
      </c>
      <c r="L171" s="9"/>
      <c r="M171" s="9"/>
      <c r="N171" s="1" t="str">
        <f aca="false">IF(C171="","",C171&amp;"|"&amp;COUNTIF(C$3:C171,C171))</f>
        <v/>
      </c>
      <c r="O171" s="1" t="str">
        <f aca="false">IF(OR(C171="",M171=""),"",C171&amp;"|"&amp;COUNTIFS(C$3:C171,C171,M$3:M171,"&lt;&gt;"))</f>
        <v/>
      </c>
    </row>
    <row r="172" customFormat="false" ht="15" hidden="false" customHeight="false" outlineLevel="0" collapsed="false">
      <c r="B172" s="7"/>
      <c r="C172" s="5"/>
      <c r="D172" s="9" t="str">
        <f aca="false">IF(C172="","",IFERROR(VLOOKUP(C172,EQUIPOS!$B$3:$C$18,2,0),"NO EXISTE"))</f>
        <v/>
      </c>
      <c r="E172" s="9" t="str">
        <f aca="false">IF(C172="","",IFERROR(VLOOKUP(C172,EQUIPOS!$B$3:$F$18,5,0),""))</f>
        <v/>
      </c>
      <c r="F172" s="5" t="str">
        <f aca="false">IF(C172="","",IFERROR(VLOOKUP(C172,EQUIPOS!$B$3:$G$18,6,0),""))</f>
        <v/>
      </c>
      <c r="G172" s="8"/>
      <c r="H172" s="5"/>
      <c r="I172" s="5"/>
      <c r="J172" s="9"/>
      <c r="K172" s="17" t="str">
        <f aca="false">IF(H172="","",IFERROR(SUMIFS(BD_PLAN!$I$3:$I$312,BD_PLAN!$B$3:$B$312,E172,BD_PLAN!$C$3:$C$312,INDEX(BD_CICLO!$F$3:$F$54,MATCH(E172&amp;"|"&amp;H172,BD_CICLO!$G$3:$G$54,0))),""))</f>
        <v/>
      </c>
      <c r="L172" s="9"/>
      <c r="M172" s="9"/>
      <c r="N172" s="1" t="str">
        <f aca="false">IF(C172="","",C172&amp;"|"&amp;COUNTIF(C$3:C172,C172))</f>
        <v/>
      </c>
      <c r="O172" s="1" t="str">
        <f aca="false">IF(OR(C172="",M172=""),"",C172&amp;"|"&amp;COUNTIFS(C$3:C172,C172,M$3:M172,"&lt;&gt;"))</f>
        <v/>
      </c>
    </row>
    <row r="173" customFormat="false" ht="15" hidden="false" customHeight="false" outlineLevel="0" collapsed="false">
      <c r="B173" s="7"/>
      <c r="C173" s="5"/>
      <c r="D173" s="9" t="str">
        <f aca="false">IF(C173="","",IFERROR(VLOOKUP(C173,EQUIPOS!$B$3:$C$18,2,0),"NO EXISTE"))</f>
        <v/>
      </c>
      <c r="E173" s="9" t="str">
        <f aca="false">IF(C173="","",IFERROR(VLOOKUP(C173,EQUIPOS!$B$3:$F$18,5,0),""))</f>
        <v/>
      </c>
      <c r="F173" s="5" t="str">
        <f aca="false">IF(C173="","",IFERROR(VLOOKUP(C173,EQUIPOS!$B$3:$G$18,6,0),""))</f>
        <v/>
      </c>
      <c r="G173" s="8"/>
      <c r="H173" s="5"/>
      <c r="I173" s="5"/>
      <c r="J173" s="9"/>
      <c r="K173" s="17" t="str">
        <f aca="false">IF(H173="","",IFERROR(SUMIFS(BD_PLAN!$I$3:$I$312,BD_PLAN!$B$3:$B$312,E173,BD_PLAN!$C$3:$C$312,INDEX(BD_CICLO!$F$3:$F$54,MATCH(E173&amp;"|"&amp;H173,BD_CICLO!$G$3:$G$54,0))),""))</f>
        <v/>
      </c>
      <c r="L173" s="9"/>
      <c r="M173" s="9"/>
      <c r="N173" s="1" t="str">
        <f aca="false">IF(C173="","",C173&amp;"|"&amp;COUNTIF(C$3:C173,C173))</f>
        <v/>
      </c>
      <c r="O173" s="1" t="str">
        <f aca="false">IF(OR(C173="",M173=""),"",C173&amp;"|"&amp;COUNTIFS(C$3:C173,C173,M$3:M173,"&lt;&gt;"))</f>
        <v/>
      </c>
    </row>
    <row r="174" customFormat="false" ht="15" hidden="false" customHeight="false" outlineLevel="0" collapsed="false">
      <c r="B174" s="7"/>
      <c r="C174" s="5"/>
      <c r="D174" s="9" t="str">
        <f aca="false">IF(C174="","",IFERROR(VLOOKUP(C174,EQUIPOS!$B$3:$C$18,2,0),"NO EXISTE"))</f>
        <v/>
      </c>
      <c r="E174" s="9" t="str">
        <f aca="false">IF(C174="","",IFERROR(VLOOKUP(C174,EQUIPOS!$B$3:$F$18,5,0),""))</f>
        <v/>
      </c>
      <c r="F174" s="5" t="str">
        <f aca="false">IF(C174="","",IFERROR(VLOOKUP(C174,EQUIPOS!$B$3:$G$18,6,0),""))</f>
        <v/>
      </c>
      <c r="G174" s="8"/>
      <c r="H174" s="5"/>
      <c r="I174" s="5"/>
      <c r="J174" s="9"/>
      <c r="K174" s="17" t="str">
        <f aca="false">IF(H174="","",IFERROR(SUMIFS(BD_PLAN!$I$3:$I$312,BD_PLAN!$B$3:$B$312,E174,BD_PLAN!$C$3:$C$312,INDEX(BD_CICLO!$F$3:$F$54,MATCH(E174&amp;"|"&amp;H174,BD_CICLO!$G$3:$G$54,0))),""))</f>
        <v/>
      </c>
      <c r="L174" s="9"/>
      <c r="M174" s="9"/>
      <c r="N174" s="1" t="str">
        <f aca="false">IF(C174="","",C174&amp;"|"&amp;COUNTIF(C$3:C174,C174))</f>
        <v/>
      </c>
      <c r="O174" s="1" t="str">
        <f aca="false">IF(OR(C174="",M174=""),"",C174&amp;"|"&amp;COUNTIFS(C$3:C174,C174,M$3:M174,"&lt;&gt;"))</f>
        <v/>
      </c>
    </row>
    <row r="175" customFormat="false" ht="15" hidden="false" customHeight="false" outlineLevel="0" collapsed="false">
      <c r="B175" s="7"/>
      <c r="C175" s="5"/>
      <c r="D175" s="9" t="str">
        <f aca="false">IF(C175="","",IFERROR(VLOOKUP(C175,EQUIPOS!$B$3:$C$18,2,0),"NO EXISTE"))</f>
        <v/>
      </c>
      <c r="E175" s="9" t="str">
        <f aca="false">IF(C175="","",IFERROR(VLOOKUP(C175,EQUIPOS!$B$3:$F$18,5,0),""))</f>
        <v/>
      </c>
      <c r="F175" s="5" t="str">
        <f aca="false">IF(C175="","",IFERROR(VLOOKUP(C175,EQUIPOS!$B$3:$G$18,6,0),""))</f>
        <v/>
      </c>
      <c r="G175" s="8"/>
      <c r="H175" s="5"/>
      <c r="I175" s="5"/>
      <c r="J175" s="9"/>
      <c r="K175" s="17" t="str">
        <f aca="false">IF(H175="","",IFERROR(SUMIFS(BD_PLAN!$I$3:$I$312,BD_PLAN!$B$3:$B$312,E175,BD_PLAN!$C$3:$C$312,INDEX(BD_CICLO!$F$3:$F$54,MATCH(E175&amp;"|"&amp;H175,BD_CICLO!$G$3:$G$54,0))),""))</f>
        <v/>
      </c>
      <c r="L175" s="9"/>
      <c r="M175" s="9"/>
      <c r="N175" s="1" t="str">
        <f aca="false">IF(C175="","",C175&amp;"|"&amp;COUNTIF(C$3:C175,C175))</f>
        <v/>
      </c>
      <c r="O175" s="1" t="str">
        <f aca="false">IF(OR(C175="",M175=""),"",C175&amp;"|"&amp;COUNTIFS(C$3:C175,C175,M$3:M175,"&lt;&gt;"))</f>
        <v/>
      </c>
    </row>
    <row r="176" customFormat="false" ht="15" hidden="false" customHeight="false" outlineLevel="0" collapsed="false">
      <c r="B176" s="7"/>
      <c r="C176" s="5"/>
      <c r="D176" s="9" t="str">
        <f aca="false">IF(C176="","",IFERROR(VLOOKUP(C176,EQUIPOS!$B$3:$C$18,2,0),"NO EXISTE"))</f>
        <v/>
      </c>
      <c r="E176" s="9" t="str">
        <f aca="false">IF(C176="","",IFERROR(VLOOKUP(C176,EQUIPOS!$B$3:$F$18,5,0),""))</f>
        <v/>
      </c>
      <c r="F176" s="5" t="str">
        <f aca="false">IF(C176="","",IFERROR(VLOOKUP(C176,EQUIPOS!$B$3:$G$18,6,0),""))</f>
        <v/>
      </c>
      <c r="G176" s="8"/>
      <c r="H176" s="5"/>
      <c r="I176" s="5"/>
      <c r="J176" s="9"/>
      <c r="K176" s="17" t="str">
        <f aca="false">IF(H176="","",IFERROR(SUMIFS(BD_PLAN!$I$3:$I$312,BD_PLAN!$B$3:$B$312,E176,BD_PLAN!$C$3:$C$312,INDEX(BD_CICLO!$F$3:$F$54,MATCH(E176&amp;"|"&amp;H176,BD_CICLO!$G$3:$G$54,0))),""))</f>
        <v/>
      </c>
      <c r="L176" s="9"/>
      <c r="M176" s="9"/>
      <c r="N176" s="1" t="str">
        <f aca="false">IF(C176="","",C176&amp;"|"&amp;COUNTIF(C$3:C176,C176))</f>
        <v/>
      </c>
      <c r="O176" s="1" t="str">
        <f aca="false">IF(OR(C176="",M176=""),"",C176&amp;"|"&amp;COUNTIFS(C$3:C176,C176,M$3:M176,"&lt;&gt;"))</f>
        <v/>
      </c>
    </row>
    <row r="177" customFormat="false" ht="15" hidden="false" customHeight="false" outlineLevel="0" collapsed="false">
      <c r="B177" s="7"/>
      <c r="C177" s="5"/>
      <c r="D177" s="9" t="str">
        <f aca="false">IF(C177="","",IFERROR(VLOOKUP(C177,EQUIPOS!$B$3:$C$18,2,0),"NO EXISTE"))</f>
        <v/>
      </c>
      <c r="E177" s="9" t="str">
        <f aca="false">IF(C177="","",IFERROR(VLOOKUP(C177,EQUIPOS!$B$3:$F$18,5,0),""))</f>
        <v/>
      </c>
      <c r="F177" s="5" t="str">
        <f aca="false">IF(C177="","",IFERROR(VLOOKUP(C177,EQUIPOS!$B$3:$G$18,6,0),""))</f>
        <v/>
      </c>
      <c r="G177" s="8"/>
      <c r="H177" s="5"/>
      <c r="I177" s="5"/>
      <c r="J177" s="9"/>
      <c r="K177" s="17" t="str">
        <f aca="false">IF(H177="","",IFERROR(SUMIFS(BD_PLAN!$I$3:$I$312,BD_PLAN!$B$3:$B$312,E177,BD_PLAN!$C$3:$C$312,INDEX(BD_CICLO!$F$3:$F$54,MATCH(E177&amp;"|"&amp;H177,BD_CICLO!$G$3:$G$54,0))),""))</f>
        <v/>
      </c>
      <c r="L177" s="9"/>
      <c r="M177" s="9"/>
      <c r="N177" s="1" t="str">
        <f aca="false">IF(C177="","",C177&amp;"|"&amp;COUNTIF(C$3:C177,C177))</f>
        <v/>
      </c>
      <c r="O177" s="1" t="str">
        <f aca="false">IF(OR(C177="",M177=""),"",C177&amp;"|"&amp;COUNTIFS(C$3:C177,C177,M$3:M177,"&lt;&gt;"))</f>
        <v/>
      </c>
    </row>
    <row r="178" customFormat="false" ht="15" hidden="false" customHeight="false" outlineLevel="0" collapsed="false">
      <c r="B178" s="7"/>
      <c r="C178" s="5"/>
      <c r="D178" s="9" t="str">
        <f aca="false">IF(C178="","",IFERROR(VLOOKUP(C178,EQUIPOS!$B$3:$C$18,2,0),"NO EXISTE"))</f>
        <v/>
      </c>
      <c r="E178" s="9" t="str">
        <f aca="false">IF(C178="","",IFERROR(VLOOKUP(C178,EQUIPOS!$B$3:$F$18,5,0),""))</f>
        <v/>
      </c>
      <c r="F178" s="5" t="str">
        <f aca="false">IF(C178="","",IFERROR(VLOOKUP(C178,EQUIPOS!$B$3:$G$18,6,0),""))</f>
        <v/>
      </c>
      <c r="G178" s="8"/>
      <c r="H178" s="5"/>
      <c r="I178" s="5"/>
      <c r="J178" s="9"/>
      <c r="K178" s="17" t="str">
        <f aca="false">IF(H178="","",IFERROR(SUMIFS(BD_PLAN!$I$3:$I$312,BD_PLAN!$B$3:$B$312,E178,BD_PLAN!$C$3:$C$312,INDEX(BD_CICLO!$F$3:$F$54,MATCH(E178&amp;"|"&amp;H178,BD_CICLO!$G$3:$G$54,0))),""))</f>
        <v/>
      </c>
      <c r="L178" s="9"/>
      <c r="M178" s="9"/>
      <c r="N178" s="1" t="str">
        <f aca="false">IF(C178="","",C178&amp;"|"&amp;COUNTIF(C$3:C178,C178))</f>
        <v/>
      </c>
      <c r="O178" s="1" t="str">
        <f aca="false">IF(OR(C178="",M178=""),"",C178&amp;"|"&amp;COUNTIFS(C$3:C178,C178,M$3:M178,"&lt;&gt;"))</f>
        <v/>
      </c>
    </row>
    <row r="179" customFormat="false" ht="15" hidden="false" customHeight="false" outlineLevel="0" collapsed="false">
      <c r="B179" s="7"/>
      <c r="C179" s="5"/>
      <c r="D179" s="9" t="str">
        <f aca="false">IF(C179="","",IFERROR(VLOOKUP(C179,EQUIPOS!$B$3:$C$18,2,0),"NO EXISTE"))</f>
        <v/>
      </c>
      <c r="E179" s="9" t="str">
        <f aca="false">IF(C179="","",IFERROR(VLOOKUP(C179,EQUIPOS!$B$3:$F$18,5,0),""))</f>
        <v/>
      </c>
      <c r="F179" s="5" t="str">
        <f aca="false">IF(C179="","",IFERROR(VLOOKUP(C179,EQUIPOS!$B$3:$G$18,6,0),""))</f>
        <v/>
      </c>
      <c r="G179" s="8"/>
      <c r="H179" s="5"/>
      <c r="I179" s="5"/>
      <c r="J179" s="9"/>
      <c r="K179" s="17" t="str">
        <f aca="false">IF(H179="","",IFERROR(SUMIFS(BD_PLAN!$I$3:$I$312,BD_PLAN!$B$3:$B$312,E179,BD_PLAN!$C$3:$C$312,INDEX(BD_CICLO!$F$3:$F$54,MATCH(E179&amp;"|"&amp;H179,BD_CICLO!$G$3:$G$54,0))),""))</f>
        <v/>
      </c>
      <c r="L179" s="9"/>
      <c r="M179" s="9"/>
      <c r="N179" s="1" t="str">
        <f aca="false">IF(C179="","",C179&amp;"|"&amp;COUNTIF(C$3:C179,C179))</f>
        <v/>
      </c>
      <c r="O179" s="1" t="str">
        <f aca="false">IF(OR(C179="",M179=""),"",C179&amp;"|"&amp;COUNTIFS(C$3:C179,C179,M$3:M179,"&lt;&gt;"))</f>
        <v/>
      </c>
    </row>
    <row r="180" customFormat="false" ht="15" hidden="false" customHeight="false" outlineLevel="0" collapsed="false">
      <c r="B180" s="7"/>
      <c r="C180" s="5"/>
      <c r="D180" s="9" t="str">
        <f aca="false">IF(C180="","",IFERROR(VLOOKUP(C180,EQUIPOS!$B$3:$C$18,2,0),"NO EXISTE"))</f>
        <v/>
      </c>
      <c r="E180" s="9" t="str">
        <f aca="false">IF(C180="","",IFERROR(VLOOKUP(C180,EQUIPOS!$B$3:$F$18,5,0),""))</f>
        <v/>
      </c>
      <c r="F180" s="5" t="str">
        <f aca="false">IF(C180="","",IFERROR(VLOOKUP(C180,EQUIPOS!$B$3:$G$18,6,0),""))</f>
        <v/>
      </c>
      <c r="G180" s="8"/>
      <c r="H180" s="5"/>
      <c r="I180" s="5"/>
      <c r="J180" s="9"/>
      <c r="K180" s="17" t="str">
        <f aca="false">IF(H180="","",IFERROR(SUMIFS(BD_PLAN!$I$3:$I$312,BD_PLAN!$B$3:$B$312,E180,BD_PLAN!$C$3:$C$312,INDEX(BD_CICLO!$F$3:$F$54,MATCH(E180&amp;"|"&amp;H180,BD_CICLO!$G$3:$G$54,0))),""))</f>
        <v/>
      </c>
      <c r="L180" s="9"/>
      <c r="M180" s="9"/>
      <c r="N180" s="1" t="str">
        <f aca="false">IF(C180="","",C180&amp;"|"&amp;COUNTIF(C$3:C180,C180))</f>
        <v/>
      </c>
      <c r="O180" s="1" t="str">
        <f aca="false">IF(OR(C180="",M180=""),"",C180&amp;"|"&amp;COUNTIFS(C$3:C180,C180,M$3:M180,"&lt;&gt;"))</f>
        <v/>
      </c>
    </row>
    <row r="181" customFormat="false" ht="15" hidden="false" customHeight="false" outlineLevel="0" collapsed="false">
      <c r="B181" s="7"/>
      <c r="C181" s="5"/>
      <c r="D181" s="9" t="str">
        <f aca="false">IF(C181="","",IFERROR(VLOOKUP(C181,EQUIPOS!$B$3:$C$18,2,0),"NO EXISTE"))</f>
        <v/>
      </c>
      <c r="E181" s="9" t="str">
        <f aca="false">IF(C181="","",IFERROR(VLOOKUP(C181,EQUIPOS!$B$3:$F$18,5,0),""))</f>
        <v/>
      </c>
      <c r="F181" s="5" t="str">
        <f aca="false">IF(C181="","",IFERROR(VLOOKUP(C181,EQUIPOS!$B$3:$G$18,6,0),""))</f>
        <v/>
      </c>
      <c r="G181" s="8"/>
      <c r="H181" s="5"/>
      <c r="I181" s="5"/>
      <c r="J181" s="9"/>
      <c r="K181" s="17" t="str">
        <f aca="false">IF(H181="","",IFERROR(SUMIFS(BD_PLAN!$I$3:$I$312,BD_PLAN!$B$3:$B$312,E181,BD_PLAN!$C$3:$C$312,INDEX(BD_CICLO!$F$3:$F$54,MATCH(E181&amp;"|"&amp;H181,BD_CICLO!$G$3:$G$54,0))),""))</f>
        <v/>
      </c>
      <c r="L181" s="9"/>
      <c r="M181" s="9"/>
      <c r="N181" s="1" t="str">
        <f aca="false">IF(C181="","",C181&amp;"|"&amp;COUNTIF(C$3:C181,C181))</f>
        <v/>
      </c>
      <c r="O181" s="1" t="str">
        <f aca="false">IF(OR(C181="",M181=""),"",C181&amp;"|"&amp;COUNTIFS(C$3:C181,C181,M$3:M181,"&lt;&gt;"))</f>
        <v/>
      </c>
    </row>
    <row r="182" customFormat="false" ht="15" hidden="false" customHeight="false" outlineLevel="0" collapsed="false">
      <c r="B182" s="7"/>
      <c r="C182" s="5"/>
      <c r="D182" s="9" t="str">
        <f aca="false">IF(C182="","",IFERROR(VLOOKUP(C182,EQUIPOS!$B$3:$C$18,2,0),"NO EXISTE"))</f>
        <v/>
      </c>
      <c r="E182" s="9" t="str">
        <f aca="false">IF(C182="","",IFERROR(VLOOKUP(C182,EQUIPOS!$B$3:$F$18,5,0),""))</f>
        <v/>
      </c>
      <c r="F182" s="5" t="str">
        <f aca="false">IF(C182="","",IFERROR(VLOOKUP(C182,EQUIPOS!$B$3:$G$18,6,0),""))</f>
        <v/>
      </c>
      <c r="G182" s="8"/>
      <c r="H182" s="5"/>
      <c r="I182" s="5"/>
      <c r="J182" s="9"/>
      <c r="K182" s="17" t="str">
        <f aca="false">IF(H182="","",IFERROR(SUMIFS(BD_PLAN!$I$3:$I$312,BD_PLAN!$B$3:$B$312,E182,BD_PLAN!$C$3:$C$312,INDEX(BD_CICLO!$F$3:$F$54,MATCH(E182&amp;"|"&amp;H182,BD_CICLO!$G$3:$G$54,0))),""))</f>
        <v/>
      </c>
      <c r="L182" s="9"/>
      <c r="M182" s="9"/>
      <c r="N182" s="1" t="str">
        <f aca="false">IF(C182="","",C182&amp;"|"&amp;COUNTIF(C$3:C182,C182))</f>
        <v/>
      </c>
      <c r="O182" s="1" t="str">
        <f aca="false">IF(OR(C182="",M182=""),"",C182&amp;"|"&amp;COUNTIFS(C$3:C182,C182,M$3:M182,"&lt;&gt;"))</f>
        <v/>
      </c>
    </row>
    <row r="183" customFormat="false" ht="15" hidden="false" customHeight="false" outlineLevel="0" collapsed="false">
      <c r="B183" s="7"/>
      <c r="C183" s="5"/>
      <c r="D183" s="9" t="str">
        <f aca="false">IF(C183="","",IFERROR(VLOOKUP(C183,EQUIPOS!$B$3:$C$18,2,0),"NO EXISTE"))</f>
        <v/>
      </c>
      <c r="E183" s="9" t="str">
        <f aca="false">IF(C183="","",IFERROR(VLOOKUP(C183,EQUIPOS!$B$3:$F$18,5,0),""))</f>
        <v/>
      </c>
      <c r="F183" s="5" t="str">
        <f aca="false">IF(C183="","",IFERROR(VLOOKUP(C183,EQUIPOS!$B$3:$G$18,6,0),""))</f>
        <v/>
      </c>
      <c r="G183" s="8"/>
      <c r="H183" s="5"/>
      <c r="I183" s="5"/>
      <c r="J183" s="9"/>
      <c r="K183" s="17" t="str">
        <f aca="false">IF(H183="","",IFERROR(SUMIFS(BD_PLAN!$I$3:$I$312,BD_PLAN!$B$3:$B$312,E183,BD_PLAN!$C$3:$C$312,INDEX(BD_CICLO!$F$3:$F$54,MATCH(E183&amp;"|"&amp;H183,BD_CICLO!$G$3:$G$54,0))),""))</f>
        <v/>
      </c>
      <c r="L183" s="9"/>
      <c r="M183" s="9"/>
      <c r="N183" s="1" t="str">
        <f aca="false">IF(C183="","",C183&amp;"|"&amp;COUNTIF(C$3:C183,C183))</f>
        <v/>
      </c>
      <c r="O183" s="1" t="str">
        <f aca="false">IF(OR(C183="",M183=""),"",C183&amp;"|"&amp;COUNTIFS(C$3:C183,C183,M$3:M183,"&lt;&gt;"))</f>
        <v/>
      </c>
    </row>
    <row r="184" customFormat="false" ht="15" hidden="false" customHeight="false" outlineLevel="0" collapsed="false">
      <c r="B184" s="7"/>
      <c r="C184" s="5"/>
      <c r="D184" s="9" t="str">
        <f aca="false">IF(C184="","",IFERROR(VLOOKUP(C184,EQUIPOS!$B$3:$C$18,2,0),"NO EXISTE"))</f>
        <v/>
      </c>
      <c r="E184" s="9" t="str">
        <f aca="false">IF(C184="","",IFERROR(VLOOKUP(C184,EQUIPOS!$B$3:$F$18,5,0),""))</f>
        <v/>
      </c>
      <c r="F184" s="5" t="str">
        <f aca="false">IF(C184="","",IFERROR(VLOOKUP(C184,EQUIPOS!$B$3:$G$18,6,0),""))</f>
        <v/>
      </c>
      <c r="G184" s="8"/>
      <c r="H184" s="5"/>
      <c r="I184" s="5"/>
      <c r="J184" s="9"/>
      <c r="K184" s="17" t="str">
        <f aca="false">IF(H184="","",IFERROR(SUMIFS(BD_PLAN!$I$3:$I$312,BD_PLAN!$B$3:$B$312,E184,BD_PLAN!$C$3:$C$312,INDEX(BD_CICLO!$F$3:$F$54,MATCH(E184&amp;"|"&amp;H184,BD_CICLO!$G$3:$G$54,0))),""))</f>
        <v/>
      </c>
      <c r="L184" s="9"/>
      <c r="M184" s="9"/>
      <c r="N184" s="1" t="str">
        <f aca="false">IF(C184="","",C184&amp;"|"&amp;COUNTIF(C$3:C184,C184))</f>
        <v/>
      </c>
      <c r="O184" s="1" t="str">
        <f aca="false">IF(OR(C184="",M184=""),"",C184&amp;"|"&amp;COUNTIFS(C$3:C184,C184,M$3:M184,"&lt;&gt;"))</f>
        <v/>
      </c>
    </row>
    <row r="185" customFormat="false" ht="15" hidden="false" customHeight="false" outlineLevel="0" collapsed="false">
      <c r="B185" s="7"/>
      <c r="C185" s="5"/>
      <c r="D185" s="9" t="str">
        <f aca="false">IF(C185="","",IFERROR(VLOOKUP(C185,EQUIPOS!$B$3:$C$18,2,0),"NO EXISTE"))</f>
        <v/>
      </c>
      <c r="E185" s="9" t="str">
        <f aca="false">IF(C185="","",IFERROR(VLOOKUP(C185,EQUIPOS!$B$3:$F$18,5,0),""))</f>
        <v/>
      </c>
      <c r="F185" s="5" t="str">
        <f aca="false">IF(C185="","",IFERROR(VLOOKUP(C185,EQUIPOS!$B$3:$G$18,6,0),""))</f>
        <v/>
      </c>
      <c r="G185" s="8"/>
      <c r="H185" s="5"/>
      <c r="I185" s="5"/>
      <c r="J185" s="9"/>
      <c r="K185" s="17" t="str">
        <f aca="false">IF(H185="","",IFERROR(SUMIFS(BD_PLAN!$I$3:$I$312,BD_PLAN!$B$3:$B$312,E185,BD_PLAN!$C$3:$C$312,INDEX(BD_CICLO!$F$3:$F$54,MATCH(E185&amp;"|"&amp;H185,BD_CICLO!$G$3:$G$54,0))),""))</f>
        <v/>
      </c>
      <c r="L185" s="9"/>
      <c r="M185" s="9"/>
      <c r="N185" s="1" t="str">
        <f aca="false">IF(C185="","",C185&amp;"|"&amp;COUNTIF(C$3:C185,C185))</f>
        <v/>
      </c>
      <c r="O185" s="1" t="str">
        <f aca="false">IF(OR(C185="",M185=""),"",C185&amp;"|"&amp;COUNTIFS(C$3:C185,C185,M$3:M185,"&lt;&gt;"))</f>
        <v/>
      </c>
    </row>
    <row r="186" customFormat="false" ht="15" hidden="false" customHeight="false" outlineLevel="0" collapsed="false">
      <c r="B186" s="7"/>
      <c r="C186" s="5"/>
      <c r="D186" s="9" t="str">
        <f aca="false">IF(C186="","",IFERROR(VLOOKUP(C186,EQUIPOS!$B$3:$C$18,2,0),"NO EXISTE"))</f>
        <v/>
      </c>
      <c r="E186" s="9" t="str">
        <f aca="false">IF(C186="","",IFERROR(VLOOKUP(C186,EQUIPOS!$B$3:$F$18,5,0),""))</f>
        <v/>
      </c>
      <c r="F186" s="5" t="str">
        <f aca="false">IF(C186="","",IFERROR(VLOOKUP(C186,EQUIPOS!$B$3:$G$18,6,0),""))</f>
        <v/>
      </c>
      <c r="G186" s="8"/>
      <c r="H186" s="5"/>
      <c r="I186" s="5"/>
      <c r="J186" s="9"/>
      <c r="K186" s="17" t="str">
        <f aca="false">IF(H186="","",IFERROR(SUMIFS(BD_PLAN!$I$3:$I$312,BD_PLAN!$B$3:$B$312,E186,BD_PLAN!$C$3:$C$312,INDEX(BD_CICLO!$F$3:$F$54,MATCH(E186&amp;"|"&amp;H186,BD_CICLO!$G$3:$G$54,0))),""))</f>
        <v/>
      </c>
      <c r="L186" s="9"/>
      <c r="M186" s="9"/>
      <c r="N186" s="1" t="str">
        <f aca="false">IF(C186="","",C186&amp;"|"&amp;COUNTIF(C$3:C186,C186))</f>
        <v/>
      </c>
      <c r="O186" s="1" t="str">
        <f aca="false">IF(OR(C186="",M186=""),"",C186&amp;"|"&amp;COUNTIFS(C$3:C186,C186,M$3:M186,"&lt;&gt;"))</f>
        <v/>
      </c>
    </row>
    <row r="187" customFormat="false" ht="15" hidden="false" customHeight="false" outlineLevel="0" collapsed="false">
      <c r="B187" s="7"/>
      <c r="C187" s="5"/>
      <c r="D187" s="9" t="str">
        <f aca="false">IF(C187="","",IFERROR(VLOOKUP(C187,EQUIPOS!$B$3:$C$18,2,0),"NO EXISTE"))</f>
        <v/>
      </c>
      <c r="E187" s="9" t="str">
        <f aca="false">IF(C187="","",IFERROR(VLOOKUP(C187,EQUIPOS!$B$3:$F$18,5,0),""))</f>
        <v/>
      </c>
      <c r="F187" s="5" t="str">
        <f aca="false">IF(C187="","",IFERROR(VLOOKUP(C187,EQUIPOS!$B$3:$G$18,6,0),""))</f>
        <v/>
      </c>
      <c r="G187" s="8"/>
      <c r="H187" s="5"/>
      <c r="I187" s="5"/>
      <c r="J187" s="9"/>
      <c r="K187" s="17" t="str">
        <f aca="false">IF(H187="","",IFERROR(SUMIFS(BD_PLAN!$I$3:$I$312,BD_PLAN!$B$3:$B$312,E187,BD_PLAN!$C$3:$C$312,INDEX(BD_CICLO!$F$3:$F$54,MATCH(E187&amp;"|"&amp;H187,BD_CICLO!$G$3:$G$54,0))),""))</f>
        <v/>
      </c>
      <c r="L187" s="9"/>
      <c r="M187" s="9"/>
      <c r="N187" s="1" t="str">
        <f aca="false">IF(C187="","",C187&amp;"|"&amp;COUNTIF(C$3:C187,C187))</f>
        <v/>
      </c>
      <c r="O187" s="1" t="str">
        <f aca="false">IF(OR(C187="",M187=""),"",C187&amp;"|"&amp;COUNTIFS(C$3:C187,C187,M$3:M187,"&lt;&gt;"))</f>
        <v/>
      </c>
    </row>
    <row r="188" customFormat="false" ht="15" hidden="false" customHeight="false" outlineLevel="0" collapsed="false">
      <c r="B188" s="7"/>
      <c r="C188" s="5"/>
      <c r="D188" s="9" t="str">
        <f aca="false">IF(C188="","",IFERROR(VLOOKUP(C188,EQUIPOS!$B$3:$C$18,2,0),"NO EXISTE"))</f>
        <v/>
      </c>
      <c r="E188" s="9" t="str">
        <f aca="false">IF(C188="","",IFERROR(VLOOKUP(C188,EQUIPOS!$B$3:$F$18,5,0),""))</f>
        <v/>
      </c>
      <c r="F188" s="5" t="str">
        <f aca="false">IF(C188="","",IFERROR(VLOOKUP(C188,EQUIPOS!$B$3:$G$18,6,0),""))</f>
        <v/>
      </c>
      <c r="G188" s="8"/>
      <c r="H188" s="5"/>
      <c r="I188" s="5"/>
      <c r="J188" s="9"/>
      <c r="K188" s="17" t="str">
        <f aca="false">IF(H188="","",IFERROR(SUMIFS(BD_PLAN!$I$3:$I$312,BD_PLAN!$B$3:$B$312,E188,BD_PLAN!$C$3:$C$312,INDEX(BD_CICLO!$F$3:$F$54,MATCH(E188&amp;"|"&amp;H188,BD_CICLO!$G$3:$G$54,0))),""))</f>
        <v/>
      </c>
      <c r="L188" s="9"/>
      <c r="M188" s="9"/>
      <c r="N188" s="1" t="str">
        <f aca="false">IF(C188="","",C188&amp;"|"&amp;COUNTIF(C$3:C188,C188))</f>
        <v/>
      </c>
      <c r="O188" s="1" t="str">
        <f aca="false">IF(OR(C188="",M188=""),"",C188&amp;"|"&amp;COUNTIFS(C$3:C188,C188,M$3:M188,"&lt;&gt;"))</f>
        <v/>
      </c>
    </row>
    <row r="189" customFormat="false" ht="15" hidden="false" customHeight="false" outlineLevel="0" collapsed="false">
      <c r="B189" s="7"/>
      <c r="C189" s="5"/>
      <c r="D189" s="9" t="str">
        <f aca="false">IF(C189="","",IFERROR(VLOOKUP(C189,EQUIPOS!$B$3:$C$18,2,0),"NO EXISTE"))</f>
        <v/>
      </c>
      <c r="E189" s="9" t="str">
        <f aca="false">IF(C189="","",IFERROR(VLOOKUP(C189,EQUIPOS!$B$3:$F$18,5,0),""))</f>
        <v/>
      </c>
      <c r="F189" s="5" t="str">
        <f aca="false">IF(C189="","",IFERROR(VLOOKUP(C189,EQUIPOS!$B$3:$G$18,6,0),""))</f>
        <v/>
      </c>
      <c r="G189" s="8"/>
      <c r="H189" s="5"/>
      <c r="I189" s="5"/>
      <c r="J189" s="9"/>
      <c r="K189" s="17" t="str">
        <f aca="false">IF(H189="","",IFERROR(SUMIFS(BD_PLAN!$I$3:$I$312,BD_PLAN!$B$3:$B$312,E189,BD_PLAN!$C$3:$C$312,INDEX(BD_CICLO!$F$3:$F$54,MATCH(E189&amp;"|"&amp;H189,BD_CICLO!$G$3:$G$54,0))),""))</f>
        <v/>
      </c>
      <c r="L189" s="9"/>
      <c r="M189" s="9"/>
      <c r="N189" s="1" t="str">
        <f aca="false">IF(C189="","",C189&amp;"|"&amp;COUNTIF(C$3:C189,C189))</f>
        <v/>
      </c>
      <c r="O189" s="1" t="str">
        <f aca="false">IF(OR(C189="",M189=""),"",C189&amp;"|"&amp;COUNTIFS(C$3:C189,C189,M$3:M189,"&lt;&gt;"))</f>
        <v/>
      </c>
    </row>
    <row r="190" customFormat="false" ht="15" hidden="false" customHeight="false" outlineLevel="0" collapsed="false">
      <c r="B190" s="7"/>
      <c r="C190" s="5"/>
      <c r="D190" s="9" t="str">
        <f aca="false">IF(C190="","",IFERROR(VLOOKUP(C190,EQUIPOS!$B$3:$C$18,2,0),"NO EXISTE"))</f>
        <v/>
      </c>
      <c r="E190" s="9" t="str">
        <f aca="false">IF(C190="","",IFERROR(VLOOKUP(C190,EQUIPOS!$B$3:$F$18,5,0),""))</f>
        <v/>
      </c>
      <c r="F190" s="5" t="str">
        <f aca="false">IF(C190="","",IFERROR(VLOOKUP(C190,EQUIPOS!$B$3:$G$18,6,0),""))</f>
        <v/>
      </c>
      <c r="G190" s="8"/>
      <c r="H190" s="5"/>
      <c r="I190" s="5"/>
      <c r="J190" s="9"/>
      <c r="K190" s="17" t="str">
        <f aca="false">IF(H190="","",IFERROR(SUMIFS(BD_PLAN!$I$3:$I$312,BD_PLAN!$B$3:$B$312,E190,BD_PLAN!$C$3:$C$312,INDEX(BD_CICLO!$F$3:$F$54,MATCH(E190&amp;"|"&amp;H190,BD_CICLO!$G$3:$G$54,0))),""))</f>
        <v/>
      </c>
      <c r="L190" s="9"/>
      <c r="M190" s="9"/>
      <c r="N190" s="1" t="str">
        <f aca="false">IF(C190="","",C190&amp;"|"&amp;COUNTIF(C$3:C190,C190))</f>
        <v/>
      </c>
      <c r="O190" s="1" t="str">
        <f aca="false">IF(OR(C190="",M190=""),"",C190&amp;"|"&amp;COUNTIFS(C$3:C190,C190,M$3:M190,"&lt;&gt;"))</f>
        <v/>
      </c>
    </row>
    <row r="191" customFormat="false" ht="15" hidden="false" customHeight="false" outlineLevel="0" collapsed="false">
      <c r="B191" s="7"/>
      <c r="C191" s="5"/>
      <c r="D191" s="9" t="str">
        <f aca="false">IF(C191="","",IFERROR(VLOOKUP(C191,EQUIPOS!$B$3:$C$18,2,0),"NO EXISTE"))</f>
        <v/>
      </c>
      <c r="E191" s="9" t="str">
        <f aca="false">IF(C191="","",IFERROR(VLOOKUP(C191,EQUIPOS!$B$3:$F$18,5,0),""))</f>
        <v/>
      </c>
      <c r="F191" s="5" t="str">
        <f aca="false">IF(C191="","",IFERROR(VLOOKUP(C191,EQUIPOS!$B$3:$G$18,6,0),""))</f>
        <v/>
      </c>
      <c r="G191" s="8"/>
      <c r="H191" s="5"/>
      <c r="I191" s="5"/>
      <c r="J191" s="9"/>
      <c r="K191" s="17" t="str">
        <f aca="false">IF(H191="","",IFERROR(SUMIFS(BD_PLAN!$I$3:$I$312,BD_PLAN!$B$3:$B$312,E191,BD_PLAN!$C$3:$C$312,INDEX(BD_CICLO!$F$3:$F$54,MATCH(E191&amp;"|"&amp;H191,BD_CICLO!$G$3:$G$54,0))),""))</f>
        <v/>
      </c>
      <c r="L191" s="9"/>
      <c r="M191" s="9"/>
      <c r="N191" s="1" t="str">
        <f aca="false">IF(C191="","",C191&amp;"|"&amp;COUNTIF(C$3:C191,C191))</f>
        <v/>
      </c>
      <c r="O191" s="1" t="str">
        <f aca="false">IF(OR(C191="",M191=""),"",C191&amp;"|"&amp;COUNTIFS(C$3:C191,C191,M$3:M191,"&lt;&gt;"))</f>
        <v/>
      </c>
    </row>
    <row r="192" customFormat="false" ht="15" hidden="false" customHeight="false" outlineLevel="0" collapsed="false">
      <c r="B192" s="7"/>
      <c r="C192" s="5"/>
      <c r="D192" s="9" t="str">
        <f aca="false">IF(C192="","",IFERROR(VLOOKUP(C192,EQUIPOS!$B$3:$C$18,2,0),"NO EXISTE"))</f>
        <v/>
      </c>
      <c r="E192" s="9" t="str">
        <f aca="false">IF(C192="","",IFERROR(VLOOKUP(C192,EQUIPOS!$B$3:$F$18,5,0),""))</f>
        <v/>
      </c>
      <c r="F192" s="5" t="str">
        <f aca="false">IF(C192="","",IFERROR(VLOOKUP(C192,EQUIPOS!$B$3:$G$18,6,0),""))</f>
        <v/>
      </c>
      <c r="G192" s="8"/>
      <c r="H192" s="5"/>
      <c r="I192" s="5"/>
      <c r="J192" s="9"/>
      <c r="K192" s="17" t="str">
        <f aca="false">IF(H192="","",IFERROR(SUMIFS(BD_PLAN!$I$3:$I$312,BD_PLAN!$B$3:$B$312,E192,BD_PLAN!$C$3:$C$312,INDEX(BD_CICLO!$F$3:$F$54,MATCH(E192&amp;"|"&amp;H192,BD_CICLO!$G$3:$G$54,0))),""))</f>
        <v/>
      </c>
      <c r="L192" s="9"/>
      <c r="M192" s="9"/>
      <c r="N192" s="1" t="str">
        <f aca="false">IF(C192="","",C192&amp;"|"&amp;COUNTIF(C$3:C192,C192))</f>
        <v/>
      </c>
      <c r="O192" s="1" t="str">
        <f aca="false">IF(OR(C192="",M192=""),"",C192&amp;"|"&amp;COUNTIFS(C$3:C192,C192,M$3:M192,"&lt;&gt;"))</f>
        <v/>
      </c>
    </row>
    <row r="193" customFormat="false" ht="15" hidden="false" customHeight="false" outlineLevel="0" collapsed="false">
      <c r="B193" s="7"/>
      <c r="C193" s="5"/>
      <c r="D193" s="9" t="str">
        <f aca="false">IF(C193="","",IFERROR(VLOOKUP(C193,EQUIPOS!$B$3:$C$18,2,0),"NO EXISTE"))</f>
        <v/>
      </c>
      <c r="E193" s="9" t="str">
        <f aca="false">IF(C193="","",IFERROR(VLOOKUP(C193,EQUIPOS!$B$3:$F$18,5,0),""))</f>
        <v/>
      </c>
      <c r="F193" s="5" t="str">
        <f aca="false">IF(C193="","",IFERROR(VLOOKUP(C193,EQUIPOS!$B$3:$G$18,6,0),""))</f>
        <v/>
      </c>
      <c r="G193" s="8"/>
      <c r="H193" s="5"/>
      <c r="I193" s="5"/>
      <c r="J193" s="9"/>
      <c r="K193" s="17" t="str">
        <f aca="false">IF(H193="","",IFERROR(SUMIFS(BD_PLAN!$I$3:$I$312,BD_PLAN!$B$3:$B$312,E193,BD_PLAN!$C$3:$C$312,INDEX(BD_CICLO!$F$3:$F$54,MATCH(E193&amp;"|"&amp;H193,BD_CICLO!$G$3:$G$54,0))),""))</f>
        <v/>
      </c>
      <c r="L193" s="9"/>
      <c r="M193" s="9"/>
      <c r="N193" s="1" t="str">
        <f aca="false">IF(C193="","",C193&amp;"|"&amp;COUNTIF(C$3:C193,C193))</f>
        <v/>
      </c>
      <c r="O193" s="1" t="str">
        <f aca="false">IF(OR(C193="",M193=""),"",C193&amp;"|"&amp;COUNTIFS(C$3:C193,C193,M$3:M193,"&lt;&gt;"))</f>
        <v/>
      </c>
    </row>
    <row r="194" customFormat="false" ht="15" hidden="false" customHeight="false" outlineLevel="0" collapsed="false">
      <c r="B194" s="7"/>
      <c r="C194" s="5"/>
      <c r="D194" s="9" t="str">
        <f aca="false">IF(C194="","",IFERROR(VLOOKUP(C194,EQUIPOS!$B$3:$C$18,2,0),"NO EXISTE"))</f>
        <v/>
      </c>
      <c r="E194" s="9" t="str">
        <f aca="false">IF(C194="","",IFERROR(VLOOKUP(C194,EQUIPOS!$B$3:$F$18,5,0),""))</f>
        <v/>
      </c>
      <c r="F194" s="5" t="str">
        <f aca="false">IF(C194="","",IFERROR(VLOOKUP(C194,EQUIPOS!$B$3:$G$18,6,0),""))</f>
        <v/>
      </c>
      <c r="G194" s="8"/>
      <c r="H194" s="5"/>
      <c r="I194" s="5"/>
      <c r="J194" s="9"/>
      <c r="K194" s="17" t="str">
        <f aca="false">IF(H194="","",IFERROR(SUMIFS(BD_PLAN!$I$3:$I$312,BD_PLAN!$B$3:$B$312,E194,BD_PLAN!$C$3:$C$312,INDEX(BD_CICLO!$F$3:$F$54,MATCH(E194&amp;"|"&amp;H194,BD_CICLO!$G$3:$G$54,0))),""))</f>
        <v/>
      </c>
      <c r="L194" s="9"/>
      <c r="M194" s="9"/>
      <c r="N194" s="1" t="str">
        <f aca="false">IF(C194="","",C194&amp;"|"&amp;COUNTIF(C$3:C194,C194))</f>
        <v/>
      </c>
      <c r="O194" s="1" t="str">
        <f aca="false">IF(OR(C194="",M194=""),"",C194&amp;"|"&amp;COUNTIFS(C$3:C194,C194,M$3:M194,"&lt;&gt;"))</f>
        <v/>
      </c>
    </row>
    <row r="195" customFormat="false" ht="15" hidden="false" customHeight="false" outlineLevel="0" collapsed="false">
      <c r="B195" s="7"/>
      <c r="C195" s="5"/>
      <c r="D195" s="9" t="str">
        <f aca="false">IF(C195="","",IFERROR(VLOOKUP(C195,EQUIPOS!$B$3:$C$18,2,0),"NO EXISTE"))</f>
        <v/>
      </c>
      <c r="E195" s="9" t="str">
        <f aca="false">IF(C195="","",IFERROR(VLOOKUP(C195,EQUIPOS!$B$3:$F$18,5,0),""))</f>
        <v/>
      </c>
      <c r="F195" s="5" t="str">
        <f aca="false">IF(C195="","",IFERROR(VLOOKUP(C195,EQUIPOS!$B$3:$G$18,6,0),""))</f>
        <v/>
      </c>
      <c r="G195" s="8"/>
      <c r="H195" s="5"/>
      <c r="I195" s="5"/>
      <c r="J195" s="9"/>
      <c r="K195" s="17" t="str">
        <f aca="false">IF(H195="","",IFERROR(SUMIFS(BD_PLAN!$I$3:$I$312,BD_PLAN!$B$3:$B$312,E195,BD_PLAN!$C$3:$C$312,INDEX(BD_CICLO!$F$3:$F$54,MATCH(E195&amp;"|"&amp;H195,BD_CICLO!$G$3:$G$54,0))),""))</f>
        <v/>
      </c>
      <c r="L195" s="9"/>
      <c r="M195" s="9"/>
      <c r="N195" s="1" t="str">
        <f aca="false">IF(C195="","",C195&amp;"|"&amp;COUNTIF(C$3:C195,C195))</f>
        <v/>
      </c>
      <c r="O195" s="1" t="str">
        <f aca="false">IF(OR(C195="",M195=""),"",C195&amp;"|"&amp;COUNTIFS(C$3:C195,C195,M$3:M195,"&lt;&gt;"))</f>
        <v/>
      </c>
    </row>
    <row r="196" customFormat="false" ht="15" hidden="false" customHeight="false" outlineLevel="0" collapsed="false">
      <c r="B196" s="7"/>
      <c r="C196" s="5"/>
      <c r="D196" s="9" t="str">
        <f aca="false">IF(C196="","",IFERROR(VLOOKUP(C196,EQUIPOS!$B$3:$C$18,2,0),"NO EXISTE"))</f>
        <v/>
      </c>
      <c r="E196" s="9" t="str">
        <f aca="false">IF(C196="","",IFERROR(VLOOKUP(C196,EQUIPOS!$B$3:$F$18,5,0),""))</f>
        <v/>
      </c>
      <c r="F196" s="5" t="str">
        <f aca="false">IF(C196="","",IFERROR(VLOOKUP(C196,EQUIPOS!$B$3:$G$18,6,0),""))</f>
        <v/>
      </c>
      <c r="G196" s="8"/>
      <c r="H196" s="5"/>
      <c r="I196" s="5"/>
      <c r="J196" s="9"/>
      <c r="K196" s="17" t="str">
        <f aca="false">IF(H196="","",IFERROR(SUMIFS(BD_PLAN!$I$3:$I$312,BD_PLAN!$B$3:$B$312,E196,BD_PLAN!$C$3:$C$312,INDEX(BD_CICLO!$F$3:$F$54,MATCH(E196&amp;"|"&amp;H196,BD_CICLO!$G$3:$G$54,0))),""))</f>
        <v/>
      </c>
      <c r="L196" s="9"/>
      <c r="M196" s="9"/>
      <c r="N196" s="1" t="str">
        <f aca="false">IF(C196="","",C196&amp;"|"&amp;COUNTIF(C$3:C196,C196))</f>
        <v/>
      </c>
      <c r="O196" s="1" t="str">
        <f aca="false">IF(OR(C196="",M196=""),"",C196&amp;"|"&amp;COUNTIFS(C$3:C196,C196,M$3:M196,"&lt;&gt;"))</f>
        <v/>
      </c>
    </row>
    <row r="197" customFormat="false" ht="15" hidden="false" customHeight="false" outlineLevel="0" collapsed="false">
      <c r="B197" s="7"/>
      <c r="C197" s="5"/>
      <c r="D197" s="9" t="str">
        <f aca="false">IF(C197="","",IFERROR(VLOOKUP(C197,EQUIPOS!$B$3:$C$18,2,0),"NO EXISTE"))</f>
        <v/>
      </c>
      <c r="E197" s="9" t="str">
        <f aca="false">IF(C197="","",IFERROR(VLOOKUP(C197,EQUIPOS!$B$3:$F$18,5,0),""))</f>
        <v/>
      </c>
      <c r="F197" s="5" t="str">
        <f aca="false">IF(C197="","",IFERROR(VLOOKUP(C197,EQUIPOS!$B$3:$G$18,6,0),""))</f>
        <v/>
      </c>
      <c r="G197" s="8"/>
      <c r="H197" s="5"/>
      <c r="I197" s="5"/>
      <c r="J197" s="9"/>
      <c r="K197" s="17" t="str">
        <f aca="false">IF(H197="","",IFERROR(SUMIFS(BD_PLAN!$I$3:$I$312,BD_PLAN!$B$3:$B$312,E197,BD_PLAN!$C$3:$C$312,INDEX(BD_CICLO!$F$3:$F$54,MATCH(E197&amp;"|"&amp;H197,BD_CICLO!$G$3:$G$54,0))),""))</f>
        <v/>
      </c>
      <c r="L197" s="9"/>
      <c r="M197" s="9"/>
      <c r="N197" s="1" t="str">
        <f aca="false">IF(C197="","",C197&amp;"|"&amp;COUNTIF(C$3:C197,C197))</f>
        <v/>
      </c>
      <c r="O197" s="1" t="str">
        <f aca="false">IF(OR(C197="",M197=""),"",C197&amp;"|"&amp;COUNTIFS(C$3:C197,C197,M$3:M197,"&lt;&gt;"))</f>
        <v/>
      </c>
    </row>
    <row r="198" customFormat="false" ht="15" hidden="false" customHeight="false" outlineLevel="0" collapsed="false">
      <c r="B198" s="7"/>
      <c r="C198" s="5"/>
      <c r="D198" s="9" t="str">
        <f aca="false">IF(C198="","",IFERROR(VLOOKUP(C198,EQUIPOS!$B$3:$C$18,2,0),"NO EXISTE"))</f>
        <v/>
      </c>
      <c r="E198" s="9" t="str">
        <f aca="false">IF(C198="","",IFERROR(VLOOKUP(C198,EQUIPOS!$B$3:$F$18,5,0),""))</f>
        <v/>
      </c>
      <c r="F198" s="5" t="str">
        <f aca="false">IF(C198="","",IFERROR(VLOOKUP(C198,EQUIPOS!$B$3:$G$18,6,0),""))</f>
        <v/>
      </c>
      <c r="G198" s="8"/>
      <c r="H198" s="5"/>
      <c r="I198" s="5"/>
      <c r="J198" s="9"/>
      <c r="K198" s="17" t="str">
        <f aca="false">IF(H198="","",IFERROR(SUMIFS(BD_PLAN!$I$3:$I$312,BD_PLAN!$B$3:$B$312,E198,BD_PLAN!$C$3:$C$312,INDEX(BD_CICLO!$F$3:$F$54,MATCH(E198&amp;"|"&amp;H198,BD_CICLO!$G$3:$G$54,0))),""))</f>
        <v/>
      </c>
      <c r="L198" s="9"/>
      <c r="M198" s="9"/>
      <c r="N198" s="1" t="str">
        <f aca="false">IF(C198="","",C198&amp;"|"&amp;COUNTIF(C$3:C198,C198))</f>
        <v/>
      </c>
      <c r="O198" s="1" t="str">
        <f aca="false">IF(OR(C198="",M198=""),"",C198&amp;"|"&amp;COUNTIFS(C$3:C198,C198,M$3:M198,"&lt;&gt;"))</f>
        <v/>
      </c>
    </row>
    <row r="199" customFormat="false" ht="15" hidden="false" customHeight="false" outlineLevel="0" collapsed="false">
      <c r="B199" s="7"/>
      <c r="C199" s="5"/>
      <c r="D199" s="9" t="str">
        <f aca="false">IF(C199="","",IFERROR(VLOOKUP(C199,EQUIPOS!$B$3:$C$18,2,0),"NO EXISTE"))</f>
        <v/>
      </c>
      <c r="E199" s="9" t="str">
        <f aca="false">IF(C199="","",IFERROR(VLOOKUP(C199,EQUIPOS!$B$3:$F$18,5,0),""))</f>
        <v/>
      </c>
      <c r="F199" s="5" t="str">
        <f aca="false">IF(C199="","",IFERROR(VLOOKUP(C199,EQUIPOS!$B$3:$G$18,6,0),""))</f>
        <v/>
      </c>
      <c r="G199" s="8"/>
      <c r="H199" s="5"/>
      <c r="I199" s="5"/>
      <c r="J199" s="9"/>
      <c r="K199" s="17" t="str">
        <f aca="false">IF(H199="","",IFERROR(SUMIFS(BD_PLAN!$I$3:$I$312,BD_PLAN!$B$3:$B$312,E199,BD_PLAN!$C$3:$C$312,INDEX(BD_CICLO!$F$3:$F$54,MATCH(E199&amp;"|"&amp;H199,BD_CICLO!$G$3:$G$54,0))),""))</f>
        <v/>
      </c>
      <c r="L199" s="9"/>
      <c r="M199" s="9"/>
      <c r="N199" s="1" t="str">
        <f aca="false">IF(C199="","",C199&amp;"|"&amp;COUNTIF(C$3:C199,C199))</f>
        <v/>
      </c>
      <c r="O199" s="1" t="str">
        <f aca="false">IF(OR(C199="",M199=""),"",C199&amp;"|"&amp;COUNTIFS(C$3:C199,C199,M$3:M199,"&lt;&gt;"))</f>
        <v/>
      </c>
    </row>
    <row r="200" customFormat="false" ht="15" hidden="false" customHeight="false" outlineLevel="0" collapsed="false">
      <c r="B200" s="7"/>
      <c r="C200" s="5"/>
      <c r="D200" s="9" t="str">
        <f aca="false">IF(C200="","",IFERROR(VLOOKUP(C200,EQUIPOS!$B$3:$C$18,2,0),"NO EXISTE"))</f>
        <v/>
      </c>
      <c r="E200" s="9" t="str">
        <f aca="false">IF(C200="","",IFERROR(VLOOKUP(C200,EQUIPOS!$B$3:$F$18,5,0),""))</f>
        <v/>
      </c>
      <c r="F200" s="5" t="str">
        <f aca="false">IF(C200="","",IFERROR(VLOOKUP(C200,EQUIPOS!$B$3:$G$18,6,0),""))</f>
        <v/>
      </c>
      <c r="G200" s="8"/>
      <c r="H200" s="5"/>
      <c r="I200" s="5"/>
      <c r="J200" s="9"/>
      <c r="K200" s="17" t="str">
        <f aca="false">IF(H200="","",IFERROR(SUMIFS(BD_PLAN!$I$3:$I$312,BD_PLAN!$B$3:$B$312,E200,BD_PLAN!$C$3:$C$312,INDEX(BD_CICLO!$F$3:$F$54,MATCH(E200&amp;"|"&amp;H200,BD_CICLO!$G$3:$G$54,0))),""))</f>
        <v/>
      </c>
      <c r="L200" s="9"/>
      <c r="M200" s="9"/>
      <c r="N200" s="1" t="str">
        <f aca="false">IF(C200="","",C200&amp;"|"&amp;COUNTIF(C$3:C200,C200))</f>
        <v/>
      </c>
      <c r="O200" s="1" t="str">
        <f aca="false">IF(OR(C200="",M200=""),"",C200&amp;"|"&amp;COUNTIFS(C$3:C200,C200,M$3:M200,"&lt;&gt;"))</f>
        <v/>
      </c>
    </row>
    <row r="201" customFormat="false" ht="15" hidden="false" customHeight="false" outlineLevel="0" collapsed="false">
      <c r="B201" s="7"/>
      <c r="C201" s="5"/>
      <c r="D201" s="9" t="str">
        <f aca="false">IF(C201="","",IFERROR(VLOOKUP(C201,EQUIPOS!$B$3:$C$18,2,0),"NO EXISTE"))</f>
        <v/>
      </c>
      <c r="E201" s="9" t="str">
        <f aca="false">IF(C201="","",IFERROR(VLOOKUP(C201,EQUIPOS!$B$3:$F$18,5,0),""))</f>
        <v/>
      </c>
      <c r="F201" s="5" t="str">
        <f aca="false">IF(C201="","",IFERROR(VLOOKUP(C201,EQUIPOS!$B$3:$G$18,6,0),""))</f>
        <v/>
      </c>
      <c r="G201" s="8"/>
      <c r="H201" s="5"/>
      <c r="I201" s="5"/>
      <c r="J201" s="9"/>
      <c r="K201" s="17" t="str">
        <f aca="false">IF(H201="","",IFERROR(SUMIFS(BD_PLAN!$I$3:$I$312,BD_PLAN!$B$3:$B$312,E201,BD_PLAN!$C$3:$C$312,INDEX(BD_CICLO!$F$3:$F$54,MATCH(E201&amp;"|"&amp;H201,BD_CICLO!$G$3:$G$54,0))),""))</f>
        <v/>
      </c>
      <c r="L201" s="9"/>
      <c r="M201" s="9"/>
      <c r="N201" s="1" t="str">
        <f aca="false">IF(C201="","",C201&amp;"|"&amp;COUNTIF(C$3:C201,C201))</f>
        <v/>
      </c>
      <c r="O201" s="1" t="str">
        <f aca="false">IF(OR(C201="",M201=""),"",C201&amp;"|"&amp;COUNTIFS(C$3:C201,C201,M$3:M201,"&lt;&gt;"))</f>
        <v/>
      </c>
    </row>
    <row r="202" customFormat="false" ht="15" hidden="false" customHeight="false" outlineLevel="0" collapsed="false">
      <c r="B202" s="7"/>
      <c r="C202" s="5"/>
      <c r="D202" s="9" t="str">
        <f aca="false">IF(C202="","",IFERROR(VLOOKUP(C202,EQUIPOS!$B$3:$C$18,2,0),"NO EXISTE"))</f>
        <v/>
      </c>
      <c r="E202" s="9" t="str">
        <f aca="false">IF(C202="","",IFERROR(VLOOKUP(C202,EQUIPOS!$B$3:$F$18,5,0),""))</f>
        <v/>
      </c>
      <c r="F202" s="5" t="str">
        <f aca="false">IF(C202="","",IFERROR(VLOOKUP(C202,EQUIPOS!$B$3:$G$18,6,0),""))</f>
        <v/>
      </c>
      <c r="G202" s="8"/>
      <c r="H202" s="5"/>
      <c r="I202" s="5"/>
      <c r="J202" s="9"/>
      <c r="K202" s="17" t="str">
        <f aca="false">IF(H202="","",IFERROR(SUMIFS(BD_PLAN!$I$3:$I$312,BD_PLAN!$B$3:$B$312,E202,BD_PLAN!$C$3:$C$312,INDEX(BD_CICLO!$F$3:$F$54,MATCH(E202&amp;"|"&amp;H202,BD_CICLO!$G$3:$G$54,0))),""))</f>
        <v/>
      </c>
      <c r="L202" s="9"/>
      <c r="M202" s="9"/>
      <c r="N202" s="1" t="str">
        <f aca="false">IF(C202="","",C202&amp;"|"&amp;COUNTIF(C$3:C202,C202))</f>
        <v/>
      </c>
      <c r="O202" s="1" t="str">
        <f aca="false">IF(OR(C202="",M202=""),"",C202&amp;"|"&amp;COUNTIFS(C$3:C202,C202,M$3:M202,"&lt;&gt;"))</f>
        <v/>
      </c>
    </row>
    <row r="203" customFormat="false" ht="15" hidden="false" customHeight="false" outlineLevel="0" collapsed="false">
      <c r="B203" s="7"/>
      <c r="C203" s="5"/>
      <c r="D203" s="9" t="str">
        <f aca="false">IF(C203="","",IFERROR(VLOOKUP(C203,EQUIPOS!$B$3:$C$18,2,0),"NO EXISTE"))</f>
        <v/>
      </c>
      <c r="E203" s="9" t="str">
        <f aca="false">IF(C203="","",IFERROR(VLOOKUP(C203,EQUIPOS!$B$3:$F$18,5,0),""))</f>
        <v/>
      </c>
      <c r="F203" s="5" t="str">
        <f aca="false">IF(C203="","",IFERROR(VLOOKUP(C203,EQUIPOS!$B$3:$G$18,6,0),""))</f>
        <v/>
      </c>
      <c r="G203" s="8"/>
      <c r="H203" s="5"/>
      <c r="I203" s="5"/>
      <c r="J203" s="9"/>
      <c r="K203" s="17" t="str">
        <f aca="false">IF(H203="","",IFERROR(SUMIFS(BD_PLAN!$I$3:$I$312,BD_PLAN!$B$3:$B$312,E203,BD_PLAN!$C$3:$C$312,INDEX(BD_CICLO!$F$3:$F$54,MATCH(E203&amp;"|"&amp;H203,BD_CICLO!$G$3:$G$54,0))),""))</f>
        <v/>
      </c>
      <c r="L203" s="9"/>
      <c r="M203" s="9"/>
      <c r="N203" s="1" t="str">
        <f aca="false">IF(C203="","",C203&amp;"|"&amp;COUNTIF(C$3:C203,C203))</f>
        <v/>
      </c>
      <c r="O203" s="1" t="str">
        <f aca="false">IF(OR(C203="",M203=""),"",C203&amp;"|"&amp;COUNTIFS(C$3:C203,C203,M$3:M203,"&lt;&gt;"))</f>
        <v/>
      </c>
    </row>
    <row r="204" customFormat="false" ht="15" hidden="false" customHeight="false" outlineLevel="0" collapsed="false">
      <c r="B204" s="7"/>
      <c r="C204" s="5"/>
      <c r="D204" s="9" t="str">
        <f aca="false">IF(C204="","",IFERROR(VLOOKUP(C204,EQUIPOS!$B$3:$C$18,2,0),"NO EXISTE"))</f>
        <v/>
      </c>
      <c r="E204" s="9" t="str">
        <f aca="false">IF(C204="","",IFERROR(VLOOKUP(C204,EQUIPOS!$B$3:$F$18,5,0),""))</f>
        <v/>
      </c>
      <c r="F204" s="5" t="str">
        <f aca="false">IF(C204="","",IFERROR(VLOOKUP(C204,EQUIPOS!$B$3:$G$18,6,0),""))</f>
        <v/>
      </c>
      <c r="G204" s="8"/>
      <c r="H204" s="5"/>
      <c r="I204" s="5"/>
      <c r="J204" s="9"/>
      <c r="K204" s="17" t="str">
        <f aca="false">IF(H204="","",IFERROR(SUMIFS(BD_PLAN!$I$3:$I$312,BD_PLAN!$B$3:$B$312,E204,BD_PLAN!$C$3:$C$312,INDEX(BD_CICLO!$F$3:$F$54,MATCH(E204&amp;"|"&amp;H204,BD_CICLO!$G$3:$G$54,0))),""))</f>
        <v/>
      </c>
      <c r="L204" s="9"/>
      <c r="M204" s="9"/>
      <c r="N204" s="1" t="str">
        <f aca="false">IF(C204="","",C204&amp;"|"&amp;COUNTIF(C$3:C204,C204))</f>
        <v/>
      </c>
      <c r="O204" s="1" t="str">
        <f aca="false">IF(OR(C204="",M204=""),"",C204&amp;"|"&amp;COUNTIFS(C$3:C204,C204,M$3:M204,"&lt;&gt;"))</f>
        <v/>
      </c>
    </row>
    <row r="205" customFormat="false" ht="15" hidden="false" customHeight="false" outlineLevel="0" collapsed="false">
      <c r="B205" s="7"/>
      <c r="C205" s="5"/>
      <c r="D205" s="9" t="str">
        <f aca="false">IF(C205="","",IFERROR(VLOOKUP(C205,EQUIPOS!$B$3:$C$18,2,0),"NO EXISTE"))</f>
        <v/>
      </c>
      <c r="E205" s="9" t="str">
        <f aca="false">IF(C205="","",IFERROR(VLOOKUP(C205,EQUIPOS!$B$3:$F$18,5,0),""))</f>
        <v/>
      </c>
      <c r="F205" s="5" t="str">
        <f aca="false">IF(C205="","",IFERROR(VLOOKUP(C205,EQUIPOS!$B$3:$G$18,6,0),""))</f>
        <v/>
      </c>
      <c r="G205" s="8"/>
      <c r="H205" s="5"/>
      <c r="I205" s="5"/>
      <c r="J205" s="9"/>
      <c r="K205" s="17" t="str">
        <f aca="false">IF(H205="","",IFERROR(SUMIFS(BD_PLAN!$I$3:$I$312,BD_PLAN!$B$3:$B$312,E205,BD_PLAN!$C$3:$C$312,INDEX(BD_CICLO!$F$3:$F$54,MATCH(E205&amp;"|"&amp;H205,BD_CICLO!$G$3:$G$54,0))),""))</f>
        <v/>
      </c>
      <c r="L205" s="9"/>
      <c r="M205" s="9"/>
      <c r="N205" s="1" t="str">
        <f aca="false">IF(C205="","",C205&amp;"|"&amp;COUNTIF(C$3:C205,C205))</f>
        <v/>
      </c>
      <c r="O205" s="1" t="str">
        <f aca="false">IF(OR(C205="",M205=""),"",C205&amp;"|"&amp;COUNTIFS(C$3:C205,C205,M$3:M205,"&lt;&gt;"))</f>
        <v/>
      </c>
    </row>
    <row r="206" customFormat="false" ht="15" hidden="false" customHeight="false" outlineLevel="0" collapsed="false">
      <c r="B206" s="7"/>
      <c r="C206" s="5"/>
      <c r="D206" s="9" t="str">
        <f aca="false">IF(C206="","",IFERROR(VLOOKUP(C206,EQUIPOS!$B$3:$C$18,2,0),"NO EXISTE"))</f>
        <v/>
      </c>
      <c r="E206" s="9" t="str">
        <f aca="false">IF(C206="","",IFERROR(VLOOKUP(C206,EQUIPOS!$B$3:$F$18,5,0),""))</f>
        <v/>
      </c>
      <c r="F206" s="5" t="str">
        <f aca="false">IF(C206="","",IFERROR(VLOOKUP(C206,EQUIPOS!$B$3:$G$18,6,0),""))</f>
        <v/>
      </c>
      <c r="G206" s="8"/>
      <c r="H206" s="5"/>
      <c r="I206" s="5"/>
      <c r="J206" s="9"/>
      <c r="K206" s="17" t="str">
        <f aca="false">IF(H206="","",IFERROR(SUMIFS(BD_PLAN!$I$3:$I$312,BD_PLAN!$B$3:$B$312,E206,BD_PLAN!$C$3:$C$312,INDEX(BD_CICLO!$F$3:$F$54,MATCH(E206&amp;"|"&amp;H206,BD_CICLO!$G$3:$G$54,0))),""))</f>
        <v/>
      </c>
      <c r="L206" s="9"/>
      <c r="M206" s="9"/>
      <c r="N206" s="1" t="str">
        <f aca="false">IF(C206="","",C206&amp;"|"&amp;COUNTIF(C$3:C206,C206))</f>
        <v/>
      </c>
      <c r="O206" s="1" t="str">
        <f aca="false">IF(OR(C206="",M206=""),"",C206&amp;"|"&amp;COUNTIFS(C$3:C206,C206,M$3:M206,"&lt;&gt;"))</f>
        <v/>
      </c>
    </row>
    <row r="207" customFormat="false" ht="15" hidden="false" customHeight="false" outlineLevel="0" collapsed="false">
      <c r="B207" s="7"/>
      <c r="C207" s="5"/>
      <c r="D207" s="9" t="str">
        <f aca="false">IF(C207="","",IFERROR(VLOOKUP(C207,EQUIPOS!$B$3:$C$18,2,0),"NO EXISTE"))</f>
        <v/>
      </c>
      <c r="E207" s="9" t="str">
        <f aca="false">IF(C207="","",IFERROR(VLOOKUP(C207,EQUIPOS!$B$3:$F$18,5,0),""))</f>
        <v/>
      </c>
      <c r="F207" s="5" t="str">
        <f aca="false">IF(C207="","",IFERROR(VLOOKUP(C207,EQUIPOS!$B$3:$G$18,6,0),""))</f>
        <v/>
      </c>
      <c r="G207" s="8"/>
      <c r="H207" s="5"/>
      <c r="I207" s="5"/>
      <c r="J207" s="9"/>
      <c r="K207" s="17" t="str">
        <f aca="false">IF(H207="","",IFERROR(SUMIFS(BD_PLAN!$I$3:$I$312,BD_PLAN!$B$3:$B$312,E207,BD_PLAN!$C$3:$C$312,INDEX(BD_CICLO!$F$3:$F$54,MATCH(E207&amp;"|"&amp;H207,BD_CICLO!$G$3:$G$54,0))),""))</f>
        <v/>
      </c>
      <c r="L207" s="9"/>
      <c r="M207" s="9"/>
      <c r="N207" s="1" t="str">
        <f aca="false">IF(C207="","",C207&amp;"|"&amp;COUNTIF(C$3:C207,C207))</f>
        <v/>
      </c>
      <c r="O207" s="1" t="str">
        <f aca="false">IF(OR(C207="",M207=""),"",C207&amp;"|"&amp;COUNTIFS(C$3:C207,C207,M$3:M207,"&lt;&gt;"))</f>
        <v/>
      </c>
    </row>
    <row r="208" customFormat="false" ht="15" hidden="false" customHeight="false" outlineLevel="0" collapsed="false">
      <c r="B208" s="7"/>
      <c r="C208" s="5"/>
      <c r="D208" s="9" t="str">
        <f aca="false">IF(C208="","",IFERROR(VLOOKUP(C208,EQUIPOS!$B$3:$C$18,2,0),"NO EXISTE"))</f>
        <v/>
      </c>
      <c r="E208" s="9" t="str">
        <f aca="false">IF(C208="","",IFERROR(VLOOKUP(C208,EQUIPOS!$B$3:$F$18,5,0),""))</f>
        <v/>
      </c>
      <c r="F208" s="5" t="str">
        <f aca="false">IF(C208="","",IFERROR(VLOOKUP(C208,EQUIPOS!$B$3:$G$18,6,0),""))</f>
        <v/>
      </c>
      <c r="G208" s="8"/>
      <c r="H208" s="5"/>
      <c r="I208" s="5"/>
      <c r="J208" s="9"/>
      <c r="K208" s="17" t="str">
        <f aca="false">IF(H208="","",IFERROR(SUMIFS(BD_PLAN!$I$3:$I$312,BD_PLAN!$B$3:$B$312,E208,BD_PLAN!$C$3:$C$312,INDEX(BD_CICLO!$F$3:$F$54,MATCH(E208&amp;"|"&amp;H208,BD_CICLO!$G$3:$G$54,0))),""))</f>
        <v/>
      </c>
      <c r="L208" s="9"/>
      <c r="M208" s="9"/>
      <c r="N208" s="1" t="str">
        <f aca="false">IF(C208="","",C208&amp;"|"&amp;COUNTIF(C$3:C208,C208))</f>
        <v/>
      </c>
      <c r="O208" s="1" t="str">
        <f aca="false">IF(OR(C208="",M208=""),"",C208&amp;"|"&amp;COUNTIFS(C$3:C208,C208,M$3:M208,"&lt;&gt;"))</f>
        <v/>
      </c>
    </row>
    <row r="209" customFormat="false" ht="15" hidden="false" customHeight="false" outlineLevel="0" collapsed="false">
      <c r="B209" s="7"/>
      <c r="C209" s="5"/>
      <c r="D209" s="9" t="str">
        <f aca="false">IF(C209="","",IFERROR(VLOOKUP(C209,EQUIPOS!$B$3:$C$18,2,0),"NO EXISTE"))</f>
        <v/>
      </c>
      <c r="E209" s="9" t="str">
        <f aca="false">IF(C209="","",IFERROR(VLOOKUP(C209,EQUIPOS!$B$3:$F$18,5,0),""))</f>
        <v/>
      </c>
      <c r="F209" s="5" t="str">
        <f aca="false">IF(C209="","",IFERROR(VLOOKUP(C209,EQUIPOS!$B$3:$G$18,6,0),""))</f>
        <v/>
      </c>
      <c r="G209" s="8"/>
      <c r="H209" s="5"/>
      <c r="I209" s="5"/>
      <c r="J209" s="9"/>
      <c r="K209" s="17" t="str">
        <f aca="false">IF(H209="","",IFERROR(SUMIFS(BD_PLAN!$I$3:$I$312,BD_PLAN!$B$3:$B$312,E209,BD_PLAN!$C$3:$C$312,INDEX(BD_CICLO!$F$3:$F$54,MATCH(E209&amp;"|"&amp;H209,BD_CICLO!$G$3:$G$54,0))),""))</f>
        <v/>
      </c>
      <c r="L209" s="9"/>
      <c r="M209" s="9"/>
      <c r="N209" s="1" t="str">
        <f aca="false">IF(C209="","",C209&amp;"|"&amp;COUNTIF(C$3:C209,C209))</f>
        <v/>
      </c>
      <c r="O209" s="1" t="str">
        <f aca="false">IF(OR(C209="",M209=""),"",C209&amp;"|"&amp;COUNTIFS(C$3:C209,C209,M$3:M209,"&lt;&gt;"))</f>
        <v/>
      </c>
    </row>
    <row r="210" customFormat="false" ht="15" hidden="false" customHeight="false" outlineLevel="0" collapsed="false">
      <c r="B210" s="7"/>
      <c r="C210" s="5"/>
      <c r="D210" s="9" t="str">
        <f aca="false">IF(C210="","",IFERROR(VLOOKUP(C210,EQUIPOS!$B$3:$C$18,2,0),"NO EXISTE"))</f>
        <v/>
      </c>
      <c r="E210" s="9" t="str">
        <f aca="false">IF(C210="","",IFERROR(VLOOKUP(C210,EQUIPOS!$B$3:$F$18,5,0),""))</f>
        <v/>
      </c>
      <c r="F210" s="5" t="str">
        <f aca="false">IF(C210="","",IFERROR(VLOOKUP(C210,EQUIPOS!$B$3:$G$18,6,0),""))</f>
        <v/>
      </c>
      <c r="G210" s="8"/>
      <c r="H210" s="5"/>
      <c r="I210" s="5"/>
      <c r="J210" s="9"/>
      <c r="K210" s="17" t="str">
        <f aca="false">IF(H210="","",IFERROR(SUMIFS(BD_PLAN!$I$3:$I$312,BD_PLAN!$B$3:$B$312,E210,BD_PLAN!$C$3:$C$312,INDEX(BD_CICLO!$F$3:$F$54,MATCH(E210&amp;"|"&amp;H210,BD_CICLO!$G$3:$G$54,0))),""))</f>
        <v/>
      </c>
      <c r="L210" s="9"/>
      <c r="M210" s="9"/>
      <c r="N210" s="1" t="str">
        <f aca="false">IF(C210="","",C210&amp;"|"&amp;COUNTIF(C$3:C210,C210))</f>
        <v/>
      </c>
      <c r="O210" s="1" t="str">
        <f aca="false">IF(OR(C210="",M210=""),"",C210&amp;"|"&amp;COUNTIFS(C$3:C210,C210,M$3:M210,"&lt;&gt;"))</f>
        <v/>
      </c>
    </row>
    <row r="211" customFormat="false" ht="15" hidden="false" customHeight="false" outlineLevel="0" collapsed="false">
      <c r="B211" s="7"/>
      <c r="C211" s="5"/>
      <c r="D211" s="9" t="str">
        <f aca="false">IF(C211="","",IFERROR(VLOOKUP(C211,EQUIPOS!$B$3:$C$18,2,0),"NO EXISTE"))</f>
        <v/>
      </c>
      <c r="E211" s="9" t="str">
        <f aca="false">IF(C211="","",IFERROR(VLOOKUP(C211,EQUIPOS!$B$3:$F$18,5,0),""))</f>
        <v/>
      </c>
      <c r="F211" s="5" t="str">
        <f aca="false">IF(C211="","",IFERROR(VLOOKUP(C211,EQUIPOS!$B$3:$G$18,6,0),""))</f>
        <v/>
      </c>
      <c r="G211" s="8"/>
      <c r="H211" s="5"/>
      <c r="I211" s="5"/>
      <c r="J211" s="9"/>
      <c r="K211" s="17" t="str">
        <f aca="false">IF(H211="","",IFERROR(SUMIFS(BD_PLAN!$I$3:$I$312,BD_PLAN!$B$3:$B$312,E211,BD_PLAN!$C$3:$C$312,INDEX(BD_CICLO!$F$3:$F$54,MATCH(E211&amp;"|"&amp;H211,BD_CICLO!$G$3:$G$54,0))),""))</f>
        <v/>
      </c>
      <c r="L211" s="9"/>
      <c r="M211" s="9"/>
      <c r="N211" s="1" t="str">
        <f aca="false">IF(C211="","",C211&amp;"|"&amp;COUNTIF(C$3:C211,C211))</f>
        <v/>
      </c>
      <c r="O211" s="1" t="str">
        <f aca="false">IF(OR(C211="",M211=""),"",C211&amp;"|"&amp;COUNTIFS(C$3:C211,C211,M$3:M211,"&lt;&gt;"))</f>
        <v/>
      </c>
    </row>
    <row r="212" customFormat="false" ht="15" hidden="false" customHeight="false" outlineLevel="0" collapsed="false">
      <c r="B212" s="7"/>
      <c r="C212" s="5"/>
      <c r="D212" s="9" t="str">
        <f aca="false">IF(C212="","",IFERROR(VLOOKUP(C212,EQUIPOS!$B$3:$C$18,2,0),"NO EXISTE"))</f>
        <v/>
      </c>
      <c r="E212" s="9" t="str">
        <f aca="false">IF(C212="","",IFERROR(VLOOKUP(C212,EQUIPOS!$B$3:$F$18,5,0),""))</f>
        <v/>
      </c>
      <c r="F212" s="5" t="str">
        <f aca="false">IF(C212="","",IFERROR(VLOOKUP(C212,EQUIPOS!$B$3:$G$18,6,0),""))</f>
        <v/>
      </c>
      <c r="G212" s="8"/>
      <c r="H212" s="5"/>
      <c r="I212" s="5"/>
      <c r="J212" s="9"/>
      <c r="K212" s="17" t="str">
        <f aca="false">IF(H212="","",IFERROR(SUMIFS(BD_PLAN!$I$3:$I$312,BD_PLAN!$B$3:$B$312,E212,BD_PLAN!$C$3:$C$312,INDEX(BD_CICLO!$F$3:$F$54,MATCH(E212&amp;"|"&amp;H212,BD_CICLO!$G$3:$G$54,0))),""))</f>
        <v/>
      </c>
      <c r="L212" s="9"/>
      <c r="M212" s="9"/>
      <c r="N212" s="1" t="str">
        <f aca="false">IF(C212="","",C212&amp;"|"&amp;COUNTIF(C$3:C212,C212))</f>
        <v/>
      </c>
      <c r="O212" s="1" t="str">
        <f aca="false">IF(OR(C212="",M212=""),"",C212&amp;"|"&amp;COUNTIFS(C$3:C212,C212,M$3:M212,"&lt;&gt;"))</f>
        <v/>
      </c>
    </row>
    <row r="213" customFormat="false" ht="15" hidden="false" customHeight="false" outlineLevel="0" collapsed="false">
      <c r="B213" s="7"/>
      <c r="C213" s="5"/>
      <c r="D213" s="9" t="str">
        <f aca="false">IF(C213="","",IFERROR(VLOOKUP(C213,EQUIPOS!$B$3:$C$18,2,0),"NO EXISTE"))</f>
        <v/>
      </c>
      <c r="E213" s="9" t="str">
        <f aca="false">IF(C213="","",IFERROR(VLOOKUP(C213,EQUIPOS!$B$3:$F$18,5,0),""))</f>
        <v/>
      </c>
      <c r="F213" s="5" t="str">
        <f aca="false">IF(C213="","",IFERROR(VLOOKUP(C213,EQUIPOS!$B$3:$G$18,6,0),""))</f>
        <v/>
      </c>
      <c r="G213" s="8"/>
      <c r="H213" s="5"/>
      <c r="I213" s="5"/>
      <c r="J213" s="9"/>
      <c r="K213" s="17" t="str">
        <f aca="false">IF(H213="","",IFERROR(SUMIFS(BD_PLAN!$I$3:$I$312,BD_PLAN!$B$3:$B$312,E213,BD_PLAN!$C$3:$C$312,INDEX(BD_CICLO!$F$3:$F$54,MATCH(E213&amp;"|"&amp;H213,BD_CICLO!$G$3:$G$54,0))),""))</f>
        <v/>
      </c>
      <c r="L213" s="9"/>
      <c r="M213" s="9"/>
      <c r="N213" s="1" t="str">
        <f aca="false">IF(C213="","",C213&amp;"|"&amp;COUNTIF(C$3:C213,C213))</f>
        <v/>
      </c>
      <c r="O213" s="1" t="str">
        <f aca="false">IF(OR(C213="",M213=""),"",C213&amp;"|"&amp;COUNTIFS(C$3:C213,C213,M$3:M213,"&lt;&gt;"))</f>
        <v/>
      </c>
    </row>
    <row r="214" customFormat="false" ht="15" hidden="false" customHeight="false" outlineLevel="0" collapsed="false">
      <c r="B214" s="7"/>
      <c r="C214" s="5"/>
      <c r="D214" s="9" t="str">
        <f aca="false">IF(C214="","",IFERROR(VLOOKUP(C214,EQUIPOS!$B$3:$C$18,2,0),"NO EXISTE"))</f>
        <v/>
      </c>
      <c r="E214" s="9" t="str">
        <f aca="false">IF(C214="","",IFERROR(VLOOKUP(C214,EQUIPOS!$B$3:$F$18,5,0),""))</f>
        <v/>
      </c>
      <c r="F214" s="5" t="str">
        <f aca="false">IF(C214="","",IFERROR(VLOOKUP(C214,EQUIPOS!$B$3:$G$18,6,0),""))</f>
        <v/>
      </c>
      <c r="G214" s="8"/>
      <c r="H214" s="5"/>
      <c r="I214" s="5"/>
      <c r="J214" s="9"/>
      <c r="K214" s="17" t="str">
        <f aca="false">IF(H214="","",IFERROR(SUMIFS(BD_PLAN!$I$3:$I$312,BD_PLAN!$B$3:$B$312,E214,BD_PLAN!$C$3:$C$312,INDEX(BD_CICLO!$F$3:$F$54,MATCH(E214&amp;"|"&amp;H214,BD_CICLO!$G$3:$G$54,0))),""))</f>
        <v/>
      </c>
      <c r="L214" s="9"/>
      <c r="M214" s="9"/>
      <c r="N214" s="1" t="str">
        <f aca="false">IF(C214="","",C214&amp;"|"&amp;COUNTIF(C$3:C214,C214))</f>
        <v/>
      </c>
      <c r="O214" s="1" t="str">
        <f aca="false">IF(OR(C214="",M214=""),"",C214&amp;"|"&amp;COUNTIFS(C$3:C214,C214,M$3:M214,"&lt;&gt;"))</f>
        <v/>
      </c>
    </row>
    <row r="215" customFormat="false" ht="15" hidden="false" customHeight="false" outlineLevel="0" collapsed="false">
      <c r="B215" s="7"/>
      <c r="C215" s="5"/>
      <c r="D215" s="9" t="str">
        <f aca="false">IF(C215="","",IFERROR(VLOOKUP(C215,EQUIPOS!$B$3:$C$18,2,0),"NO EXISTE"))</f>
        <v/>
      </c>
      <c r="E215" s="9" t="str">
        <f aca="false">IF(C215="","",IFERROR(VLOOKUP(C215,EQUIPOS!$B$3:$F$18,5,0),""))</f>
        <v/>
      </c>
      <c r="F215" s="5" t="str">
        <f aca="false">IF(C215="","",IFERROR(VLOOKUP(C215,EQUIPOS!$B$3:$G$18,6,0),""))</f>
        <v/>
      </c>
      <c r="G215" s="8"/>
      <c r="H215" s="5"/>
      <c r="I215" s="5"/>
      <c r="J215" s="9"/>
      <c r="K215" s="17" t="str">
        <f aca="false">IF(H215="","",IFERROR(SUMIFS(BD_PLAN!$I$3:$I$312,BD_PLAN!$B$3:$B$312,E215,BD_PLAN!$C$3:$C$312,INDEX(BD_CICLO!$F$3:$F$54,MATCH(E215&amp;"|"&amp;H215,BD_CICLO!$G$3:$G$54,0))),""))</f>
        <v/>
      </c>
      <c r="L215" s="9"/>
      <c r="M215" s="9"/>
      <c r="N215" s="1" t="str">
        <f aca="false">IF(C215="","",C215&amp;"|"&amp;COUNTIF(C$3:C215,C215))</f>
        <v/>
      </c>
      <c r="O215" s="1" t="str">
        <f aca="false">IF(OR(C215="",M215=""),"",C215&amp;"|"&amp;COUNTIFS(C$3:C215,C215,M$3:M215,"&lt;&gt;"))</f>
        <v/>
      </c>
    </row>
    <row r="216" customFormat="false" ht="15" hidden="false" customHeight="false" outlineLevel="0" collapsed="false">
      <c r="B216" s="7"/>
      <c r="C216" s="5"/>
      <c r="D216" s="9" t="str">
        <f aca="false">IF(C216="","",IFERROR(VLOOKUP(C216,EQUIPOS!$B$3:$C$18,2,0),"NO EXISTE"))</f>
        <v/>
      </c>
      <c r="E216" s="9" t="str">
        <f aca="false">IF(C216="","",IFERROR(VLOOKUP(C216,EQUIPOS!$B$3:$F$18,5,0),""))</f>
        <v/>
      </c>
      <c r="F216" s="5" t="str">
        <f aca="false">IF(C216="","",IFERROR(VLOOKUP(C216,EQUIPOS!$B$3:$G$18,6,0),""))</f>
        <v/>
      </c>
      <c r="G216" s="8"/>
      <c r="H216" s="5"/>
      <c r="I216" s="5"/>
      <c r="J216" s="9"/>
      <c r="K216" s="17" t="str">
        <f aca="false">IF(H216="","",IFERROR(SUMIFS(BD_PLAN!$I$3:$I$312,BD_PLAN!$B$3:$B$312,E216,BD_PLAN!$C$3:$C$312,INDEX(BD_CICLO!$F$3:$F$54,MATCH(E216&amp;"|"&amp;H216,BD_CICLO!$G$3:$G$54,0))),""))</f>
        <v/>
      </c>
      <c r="L216" s="9"/>
      <c r="M216" s="9"/>
      <c r="N216" s="1" t="str">
        <f aca="false">IF(C216="","",C216&amp;"|"&amp;COUNTIF(C$3:C216,C216))</f>
        <v/>
      </c>
      <c r="O216" s="1" t="str">
        <f aca="false">IF(OR(C216="",M216=""),"",C216&amp;"|"&amp;COUNTIFS(C$3:C216,C216,M$3:M216,"&lt;&gt;"))</f>
        <v/>
      </c>
    </row>
    <row r="217" customFormat="false" ht="15" hidden="false" customHeight="false" outlineLevel="0" collapsed="false">
      <c r="B217" s="7"/>
      <c r="C217" s="5"/>
      <c r="D217" s="9" t="str">
        <f aca="false">IF(C217="","",IFERROR(VLOOKUP(C217,EQUIPOS!$B$3:$C$18,2,0),"NO EXISTE"))</f>
        <v/>
      </c>
      <c r="E217" s="9" t="str">
        <f aca="false">IF(C217="","",IFERROR(VLOOKUP(C217,EQUIPOS!$B$3:$F$18,5,0),""))</f>
        <v/>
      </c>
      <c r="F217" s="5" t="str">
        <f aca="false">IF(C217="","",IFERROR(VLOOKUP(C217,EQUIPOS!$B$3:$G$18,6,0),""))</f>
        <v/>
      </c>
      <c r="G217" s="8"/>
      <c r="H217" s="5"/>
      <c r="I217" s="5"/>
      <c r="J217" s="9"/>
      <c r="K217" s="17" t="str">
        <f aca="false">IF(H217="","",IFERROR(SUMIFS(BD_PLAN!$I$3:$I$312,BD_PLAN!$B$3:$B$312,E217,BD_PLAN!$C$3:$C$312,INDEX(BD_CICLO!$F$3:$F$54,MATCH(E217&amp;"|"&amp;H217,BD_CICLO!$G$3:$G$54,0))),""))</f>
        <v/>
      </c>
      <c r="L217" s="9"/>
      <c r="M217" s="9"/>
      <c r="N217" s="1" t="str">
        <f aca="false">IF(C217="","",C217&amp;"|"&amp;COUNTIF(C$3:C217,C217))</f>
        <v/>
      </c>
      <c r="O217" s="1" t="str">
        <f aca="false">IF(OR(C217="",M217=""),"",C217&amp;"|"&amp;COUNTIFS(C$3:C217,C217,M$3:M217,"&lt;&gt;"))</f>
        <v/>
      </c>
    </row>
    <row r="218" customFormat="false" ht="15" hidden="false" customHeight="false" outlineLevel="0" collapsed="false">
      <c r="B218" s="7"/>
      <c r="C218" s="5"/>
      <c r="D218" s="9" t="str">
        <f aca="false">IF(C218="","",IFERROR(VLOOKUP(C218,EQUIPOS!$B$3:$C$18,2,0),"NO EXISTE"))</f>
        <v/>
      </c>
      <c r="E218" s="9" t="str">
        <f aca="false">IF(C218="","",IFERROR(VLOOKUP(C218,EQUIPOS!$B$3:$F$18,5,0),""))</f>
        <v/>
      </c>
      <c r="F218" s="5" t="str">
        <f aca="false">IF(C218="","",IFERROR(VLOOKUP(C218,EQUIPOS!$B$3:$G$18,6,0),""))</f>
        <v/>
      </c>
      <c r="G218" s="8"/>
      <c r="H218" s="5"/>
      <c r="I218" s="5"/>
      <c r="J218" s="9"/>
      <c r="K218" s="17" t="str">
        <f aca="false">IF(H218="","",IFERROR(SUMIFS(BD_PLAN!$I$3:$I$312,BD_PLAN!$B$3:$B$312,E218,BD_PLAN!$C$3:$C$312,INDEX(BD_CICLO!$F$3:$F$54,MATCH(E218&amp;"|"&amp;H218,BD_CICLO!$G$3:$G$54,0))),""))</f>
        <v/>
      </c>
      <c r="L218" s="9"/>
      <c r="M218" s="9"/>
      <c r="N218" s="1" t="str">
        <f aca="false">IF(C218="","",C218&amp;"|"&amp;COUNTIF(C$3:C218,C218))</f>
        <v/>
      </c>
      <c r="O218" s="1" t="str">
        <f aca="false">IF(OR(C218="",M218=""),"",C218&amp;"|"&amp;COUNTIFS(C$3:C218,C218,M$3:M218,"&lt;&gt;"))</f>
        <v/>
      </c>
    </row>
    <row r="219" customFormat="false" ht="15" hidden="false" customHeight="false" outlineLevel="0" collapsed="false">
      <c r="B219" s="7"/>
      <c r="C219" s="5"/>
      <c r="D219" s="9" t="str">
        <f aca="false">IF(C219="","",IFERROR(VLOOKUP(C219,EQUIPOS!$B$3:$C$18,2,0),"NO EXISTE"))</f>
        <v/>
      </c>
      <c r="E219" s="9" t="str">
        <f aca="false">IF(C219="","",IFERROR(VLOOKUP(C219,EQUIPOS!$B$3:$F$18,5,0),""))</f>
        <v/>
      </c>
      <c r="F219" s="5" t="str">
        <f aca="false">IF(C219="","",IFERROR(VLOOKUP(C219,EQUIPOS!$B$3:$G$18,6,0),""))</f>
        <v/>
      </c>
      <c r="G219" s="8"/>
      <c r="H219" s="5"/>
      <c r="I219" s="5"/>
      <c r="J219" s="9"/>
      <c r="K219" s="17" t="str">
        <f aca="false">IF(H219="","",IFERROR(SUMIFS(BD_PLAN!$I$3:$I$312,BD_PLAN!$B$3:$B$312,E219,BD_PLAN!$C$3:$C$312,INDEX(BD_CICLO!$F$3:$F$54,MATCH(E219&amp;"|"&amp;H219,BD_CICLO!$G$3:$G$54,0))),""))</f>
        <v/>
      </c>
      <c r="L219" s="9"/>
      <c r="M219" s="9"/>
      <c r="N219" s="1" t="str">
        <f aca="false">IF(C219="","",C219&amp;"|"&amp;COUNTIF(C$3:C219,C219))</f>
        <v/>
      </c>
      <c r="O219" s="1" t="str">
        <f aca="false">IF(OR(C219="",M219=""),"",C219&amp;"|"&amp;COUNTIFS(C$3:C219,C219,M$3:M219,"&lt;&gt;"))</f>
        <v/>
      </c>
    </row>
    <row r="220" customFormat="false" ht="15" hidden="false" customHeight="false" outlineLevel="0" collapsed="false">
      <c r="B220" s="7"/>
      <c r="C220" s="5"/>
      <c r="D220" s="9" t="str">
        <f aca="false">IF(C220="","",IFERROR(VLOOKUP(C220,EQUIPOS!$B$3:$C$18,2,0),"NO EXISTE"))</f>
        <v/>
      </c>
      <c r="E220" s="9" t="str">
        <f aca="false">IF(C220="","",IFERROR(VLOOKUP(C220,EQUIPOS!$B$3:$F$18,5,0),""))</f>
        <v/>
      </c>
      <c r="F220" s="5" t="str">
        <f aca="false">IF(C220="","",IFERROR(VLOOKUP(C220,EQUIPOS!$B$3:$G$18,6,0),""))</f>
        <v/>
      </c>
      <c r="G220" s="8"/>
      <c r="H220" s="5"/>
      <c r="I220" s="5"/>
      <c r="J220" s="9"/>
      <c r="K220" s="17" t="str">
        <f aca="false">IF(H220="","",IFERROR(SUMIFS(BD_PLAN!$I$3:$I$312,BD_PLAN!$B$3:$B$312,E220,BD_PLAN!$C$3:$C$312,INDEX(BD_CICLO!$F$3:$F$54,MATCH(E220&amp;"|"&amp;H220,BD_CICLO!$G$3:$G$54,0))),""))</f>
        <v/>
      </c>
      <c r="L220" s="9"/>
      <c r="M220" s="9"/>
      <c r="N220" s="1" t="str">
        <f aca="false">IF(C220="","",C220&amp;"|"&amp;COUNTIF(C$3:C220,C220))</f>
        <v/>
      </c>
      <c r="O220" s="1" t="str">
        <f aca="false">IF(OR(C220="",M220=""),"",C220&amp;"|"&amp;COUNTIFS(C$3:C220,C220,M$3:M220,"&lt;&gt;"))</f>
        <v/>
      </c>
    </row>
    <row r="221" customFormat="false" ht="15" hidden="false" customHeight="false" outlineLevel="0" collapsed="false">
      <c r="B221" s="7"/>
      <c r="C221" s="5"/>
      <c r="D221" s="9" t="str">
        <f aca="false">IF(C221="","",IFERROR(VLOOKUP(C221,EQUIPOS!$B$3:$C$18,2,0),"NO EXISTE"))</f>
        <v/>
      </c>
      <c r="E221" s="9" t="str">
        <f aca="false">IF(C221="","",IFERROR(VLOOKUP(C221,EQUIPOS!$B$3:$F$18,5,0),""))</f>
        <v/>
      </c>
      <c r="F221" s="5" t="str">
        <f aca="false">IF(C221="","",IFERROR(VLOOKUP(C221,EQUIPOS!$B$3:$G$18,6,0),""))</f>
        <v/>
      </c>
      <c r="G221" s="8"/>
      <c r="H221" s="5"/>
      <c r="I221" s="5"/>
      <c r="J221" s="9"/>
      <c r="K221" s="17" t="str">
        <f aca="false">IF(H221="","",IFERROR(SUMIFS(BD_PLAN!$I$3:$I$312,BD_PLAN!$B$3:$B$312,E221,BD_PLAN!$C$3:$C$312,INDEX(BD_CICLO!$F$3:$F$54,MATCH(E221&amp;"|"&amp;H221,BD_CICLO!$G$3:$G$54,0))),""))</f>
        <v/>
      </c>
      <c r="L221" s="9"/>
      <c r="M221" s="9"/>
      <c r="N221" s="1" t="str">
        <f aca="false">IF(C221="","",C221&amp;"|"&amp;COUNTIF(C$3:C221,C221))</f>
        <v/>
      </c>
      <c r="O221" s="1" t="str">
        <f aca="false">IF(OR(C221="",M221=""),"",C221&amp;"|"&amp;COUNTIFS(C$3:C221,C221,M$3:M221,"&lt;&gt;"))</f>
        <v/>
      </c>
    </row>
    <row r="222" customFormat="false" ht="15" hidden="false" customHeight="false" outlineLevel="0" collapsed="false">
      <c r="B222" s="7"/>
      <c r="C222" s="5"/>
      <c r="D222" s="9" t="str">
        <f aca="false">IF(C222="","",IFERROR(VLOOKUP(C222,EQUIPOS!$B$3:$C$18,2,0),"NO EXISTE"))</f>
        <v/>
      </c>
      <c r="E222" s="9" t="str">
        <f aca="false">IF(C222="","",IFERROR(VLOOKUP(C222,EQUIPOS!$B$3:$F$18,5,0),""))</f>
        <v/>
      </c>
      <c r="F222" s="5" t="str">
        <f aca="false">IF(C222="","",IFERROR(VLOOKUP(C222,EQUIPOS!$B$3:$G$18,6,0),""))</f>
        <v/>
      </c>
      <c r="G222" s="8"/>
      <c r="H222" s="5"/>
      <c r="I222" s="5"/>
      <c r="J222" s="9"/>
      <c r="K222" s="17" t="str">
        <f aca="false">IF(H222="","",IFERROR(SUMIFS(BD_PLAN!$I$3:$I$312,BD_PLAN!$B$3:$B$312,E222,BD_PLAN!$C$3:$C$312,INDEX(BD_CICLO!$F$3:$F$54,MATCH(E222&amp;"|"&amp;H222,BD_CICLO!$G$3:$G$54,0))),""))</f>
        <v/>
      </c>
      <c r="L222" s="9"/>
      <c r="M222" s="9"/>
      <c r="N222" s="1" t="str">
        <f aca="false">IF(C222="","",C222&amp;"|"&amp;COUNTIF(C$3:C222,C222))</f>
        <v/>
      </c>
      <c r="O222" s="1" t="str">
        <f aca="false">IF(OR(C222="",M222=""),"",C222&amp;"|"&amp;COUNTIFS(C$3:C222,C222,M$3:M222,"&lt;&gt;"))</f>
        <v/>
      </c>
    </row>
    <row r="223" customFormat="false" ht="15" hidden="false" customHeight="false" outlineLevel="0" collapsed="false">
      <c r="B223" s="7"/>
      <c r="C223" s="5"/>
      <c r="D223" s="9" t="str">
        <f aca="false">IF(C223="","",IFERROR(VLOOKUP(C223,EQUIPOS!$B$3:$C$18,2,0),"NO EXISTE"))</f>
        <v/>
      </c>
      <c r="E223" s="9" t="str">
        <f aca="false">IF(C223="","",IFERROR(VLOOKUP(C223,EQUIPOS!$B$3:$F$18,5,0),""))</f>
        <v/>
      </c>
      <c r="F223" s="5" t="str">
        <f aca="false">IF(C223="","",IFERROR(VLOOKUP(C223,EQUIPOS!$B$3:$G$18,6,0),""))</f>
        <v/>
      </c>
      <c r="G223" s="8"/>
      <c r="H223" s="5"/>
      <c r="I223" s="5"/>
      <c r="J223" s="9"/>
      <c r="K223" s="17" t="str">
        <f aca="false">IF(H223="","",IFERROR(SUMIFS(BD_PLAN!$I$3:$I$312,BD_PLAN!$B$3:$B$312,E223,BD_PLAN!$C$3:$C$312,INDEX(BD_CICLO!$F$3:$F$54,MATCH(E223&amp;"|"&amp;H223,BD_CICLO!$G$3:$G$54,0))),""))</f>
        <v/>
      </c>
      <c r="L223" s="9"/>
      <c r="M223" s="9"/>
      <c r="N223" s="1" t="str">
        <f aca="false">IF(C223="","",C223&amp;"|"&amp;COUNTIF(C$3:C223,C223))</f>
        <v/>
      </c>
      <c r="O223" s="1" t="str">
        <f aca="false">IF(OR(C223="",M223=""),"",C223&amp;"|"&amp;COUNTIFS(C$3:C223,C223,M$3:M223,"&lt;&gt;"))</f>
        <v/>
      </c>
    </row>
    <row r="224" customFormat="false" ht="15" hidden="false" customHeight="false" outlineLevel="0" collapsed="false">
      <c r="B224" s="7"/>
      <c r="C224" s="5"/>
      <c r="D224" s="9" t="str">
        <f aca="false">IF(C224="","",IFERROR(VLOOKUP(C224,EQUIPOS!$B$3:$C$18,2,0),"NO EXISTE"))</f>
        <v/>
      </c>
      <c r="E224" s="9" t="str">
        <f aca="false">IF(C224="","",IFERROR(VLOOKUP(C224,EQUIPOS!$B$3:$F$18,5,0),""))</f>
        <v/>
      </c>
      <c r="F224" s="5" t="str">
        <f aca="false">IF(C224="","",IFERROR(VLOOKUP(C224,EQUIPOS!$B$3:$G$18,6,0),""))</f>
        <v/>
      </c>
      <c r="G224" s="8"/>
      <c r="H224" s="5"/>
      <c r="I224" s="5"/>
      <c r="J224" s="9"/>
      <c r="K224" s="17" t="str">
        <f aca="false">IF(H224="","",IFERROR(SUMIFS(BD_PLAN!$I$3:$I$312,BD_PLAN!$B$3:$B$312,E224,BD_PLAN!$C$3:$C$312,INDEX(BD_CICLO!$F$3:$F$54,MATCH(E224&amp;"|"&amp;H224,BD_CICLO!$G$3:$G$54,0))),""))</f>
        <v/>
      </c>
      <c r="L224" s="9"/>
      <c r="M224" s="9"/>
      <c r="N224" s="1" t="str">
        <f aca="false">IF(C224="","",C224&amp;"|"&amp;COUNTIF(C$3:C224,C224))</f>
        <v/>
      </c>
      <c r="O224" s="1" t="str">
        <f aca="false">IF(OR(C224="",M224=""),"",C224&amp;"|"&amp;COUNTIFS(C$3:C224,C224,M$3:M224,"&lt;&gt;"))</f>
        <v/>
      </c>
    </row>
    <row r="225" customFormat="false" ht="15" hidden="false" customHeight="false" outlineLevel="0" collapsed="false">
      <c r="B225" s="7"/>
      <c r="C225" s="5"/>
      <c r="D225" s="9" t="str">
        <f aca="false">IF(C225="","",IFERROR(VLOOKUP(C225,EQUIPOS!$B$3:$C$18,2,0),"NO EXISTE"))</f>
        <v/>
      </c>
      <c r="E225" s="9" t="str">
        <f aca="false">IF(C225="","",IFERROR(VLOOKUP(C225,EQUIPOS!$B$3:$F$18,5,0),""))</f>
        <v/>
      </c>
      <c r="F225" s="5" t="str">
        <f aca="false">IF(C225="","",IFERROR(VLOOKUP(C225,EQUIPOS!$B$3:$G$18,6,0),""))</f>
        <v/>
      </c>
      <c r="G225" s="8"/>
      <c r="H225" s="5"/>
      <c r="I225" s="5"/>
      <c r="J225" s="9"/>
      <c r="K225" s="17" t="str">
        <f aca="false">IF(H225="","",IFERROR(SUMIFS(BD_PLAN!$I$3:$I$312,BD_PLAN!$B$3:$B$312,E225,BD_PLAN!$C$3:$C$312,INDEX(BD_CICLO!$F$3:$F$54,MATCH(E225&amp;"|"&amp;H225,BD_CICLO!$G$3:$G$54,0))),""))</f>
        <v/>
      </c>
      <c r="L225" s="9"/>
      <c r="M225" s="9"/>
      <c r="N225" s="1" t="str">
        <f aca="false">IF(C225="","",C225&amp;"|"&amp;COUNTIF(C$3:C225,C225))</f>
        <v/>
      </c>
      <c r="O225" s="1" t="str">
        <f aca="false">IF(OR(C225="",M225=""),"",C225&amp;"|"&amp;COUNTIFS(C$3:C225,C225,M$3:M225,"&lt;&gt;"))</f>
        <v/>
      </c>
    </row>
    <row r="226" customFormat="false" ht="15" hidden="false" customHeight="false" outlineLevel="0" collapsed="false">
      <c r="B226" s="7"/>
      <c r="C226" s="5"/>
      <c r="D226" s="9" t="str">
        <f aca="false">IF(C226="","",IFERROR(VLOOKUP(C226,EQUIPOS!$B$3:$C$18,2,0),"NO EXISTE"))</f>
        <v/>
      </c>
      <c r="E226" s="9" t="str">
        <f aca="false">IF(C226="","",IFERROR(VLOOKUP(C226,EQUIPOS!$B$3:$F$18,5,0),""))</f>
        <v/>
      </c>
      <c r="F226" s="5" t="str">
        <f aca="false">IF(C226="","",IFERROR(VLOOKUP(C226,EQUIPOS!$B$3:$G$18,6,0),""))</f>
        <v/>
      </c>
      <c r="G226" s="8"/>
      <c r="H226" s="5"/>
      <c r="I226" s="5"/>
      <c r="J226" s="9"/>
      <c r="K226" s="17" t="str">
        <f aca="false">IF(H226="","",IFERROR(SUMIFS(BD_PLAN!$I$3:$I$312,BD_PLAN!$B$3:$B$312,E226,BD_PLAN!$C$3:$C$312,INDEX(BD_CICLO!$F$3:$F$54,MATCH(E226&amp;"|"&amp;H226,BD_CICLO!$G$3:$G$54,0))),""))</f>
        <v/>
      </c>
      <c r="L226" s="9"/>
      <c r="M226" s="9"/>
      <c r="N226" s="1" t="str">
        <f aca="false">IF(C226="","",C226&amp;"|"&amp;COUNTIF(C$3:C226,C226))</f>
        <v/>
      </c>
      <c r="O226" s="1" t="str">
        <f aca="false">IF(OR(C226="",M226=""),"",C226&amp;"|"&amp;COUNTIFS(C$3:C226,C226,M$3:M226,"&lt;&gt;"))</f>
        <v/>
      </c>
    </row>
    <row r="227" customFormat="false" ht="15" hidden="false" customHeight="false" outlineLevel="0" collapsed="false">
      <c r="B227" s="7"/>
      <c r="C227" s="5"/>
      <c r="D227" s="9" t="str">
        <f aca="false">IF(C227="","",IFERROR(VLOOKUP(C227,EQUIPOS!$B$3:$C$18,2,0),"NO EXISTE"))</f>
        <v/>
      </c>
      <c r="E227" s="9" t="str">
        <f aca="false">IF(C227="","",IFERROR(VLOOKUP(C227,EQUIPOS!$B$3:$F$18,5,0),""))</f>
        <v/>
      </c>
      <c r="F227" s="5" t="str">
        <f aca="false">IF(C227="","",IFERROR(VLOOKUP(C227,EQUIPOS!$B$3:$G$18,6,0),""))</f>
        <v/>
      </c>
      <c r="G227" s="8"/>
      <c r="H227" s="5"/>
      <c r="I227" s="5"/>
      <c r="J227" s="9"/>
      <c r="K227" s="17" t="str">
        <f aca="false">IF(H227="","",IFERROR(SUMIFS(BD_PLAN!$I$3:$I$312,BD_PLAN!$B$3:$B$312,E227,BD_PLAN!$C$3:$C$312,INDEX(BD_CICLO!$F$3:$F$54,MATCH(E227&amp;"|"&amp;H227,BD_CICLO!$G$3:$G$54,0))),""))</f>
        <v/>
      </c>
      <c r="L227" s="9"/>
      <c r="M227" s="9"/>
      <c r="N227" s="1" t="str">
        <f aca="false">IF(C227="","",C227&amp;"|"&amp;COUNTIF(C$3:C227,C227))</f>
        <v/>
      </c>
      <c r="O227" s="1" t="str">
        <f aca="false">IF(OR(C227="",M227=""),"",C227&amp;"|"&amp;COUNTIFS(C$3:C227,C227,M$3:M227,"&lt;&gt;"))</f>
        <v/>
      </c>
    </row>
    <row r="228" customFormat="false" ht="15" hidden="false" customHeight="false" outlineLevel="0" collapsed="false">
      <c r="B228" s="7"/>
      <c r="C228" s="5"/>
      <c r="D228" s="9" t="str">
        <f aca="false">IF(C228="","",IFERROR(VLOOKUP(C228,EQUIPOS!$B$3:$C$18,2,0),"NO EXISTE"))</f>
        <v/>
      </c>
      <c r="E228" s="9" t="str">
        <f aca="false">IF(C228="","",IFERROR(VLOOKUP(C228,EQUIPOS!$B$3:$F$18,5,0),""))</f>
        <v/>
      </c>
      <c r="F228" s="5" t="str">
        <f aca="false">IF(C228="","",IFERROR(VLOOKUP(C228,EQUIPOS!$B$3:$G$18,6,0),""))</f>
        <v/>
      </c>
      <c r="G228" s="8"/>
      <c r="H228" s="5"/>
      <c r="I228" s="5"/>
      <c r="J228" s="9"/>
      <c r="K228" s="17" t="str">
        <f aca="false">IF(H228="","",IFERROR(SUMIFS(BD_PLAN!$I$3:$I$312,BD_PLAN!$B$3:$B$312,E228,BD_PLAN!$C$3:$C$312,INDEX(BD_CICLO!$F$3:$F$54,MATCH(E228&amp;"|"&amp;H228,BD_CICLO!$G$3:$G$54,0))),""))</f>
        <v/>
      </c>
      <c r="L228" s="9"/>
      <c r="M228" s="9"/>
      <c r="N228" s="1" t="str">
        <f aca="false">IF(C228="","",C228&amp;"|"&amp;COUNTIF(C$3:C228,C228))</f>
        <v/>
      </c>
      <c r="O228" s="1" t="str">
        <f aca="false">IF(OR(C228="",M228=""),"",C228&amp;"|"&amp;COUNTIFS(C$3:C228,C228,M$3:M228,"&lt;&gt;"))</f>
        <v/>
      </c>
    </row>
    <row r="229" customFormat="false" ht="15" hidden="false" customHeight="false" outlineLevel="0" collapsed="false">
      <c r="B229" s="7"/>
      <c r="C229" s="5"/>
      <c r="D229" s="9" t="str">
        <f aca="false">IF(C229="","",IFERROR(VLOOKUP(C229,EQUIPOS!$B$3:$C$18,2,0),"NO EXISTE"))</f>
        <v/>
      </c>
      <c r="E229" s="9" t="str">
        <f aca="false">IF(C229="","",IFERROR(VLOOKUP(C229,EQUIPOS!$B$3:$F$18,5,0),""))</f>
        <v/>
      </c>
      <c r="F229" s="5" t="str">
        <f aca="false">IF(C229="","",IFERROR(VLOOKUP(C229,EQUIPOS!$B$3:$G$18,6,0),""))</f>
        <v/>
      </c>
      <c r="G229" s="8"/>
      <c r="H229" s="5"/>
      <c r="I229" s="5"/>
      <c r="J229" s="9"/>
      <c r="K229" s="17" t="str">
        <f aca="false">IF(H229="","",IFERROR(SUMIFS(BD_PLAN!$I$3:$I$312,BD_PLAN!$B$3:$B$312,E229,BD_PLAN!$C$3:$C$312,INDEX(BD_CICLO!$F$3:$F$54,MATCH(E229&amp;"|"&amp;H229,BD_CICLO!$G$3:$G$54,0))),""))</f>
        <v/>
      </c>
      <c r="L229" s="9"/>
      <c r="M229" s="9"/>
      <c r="N229" s="1" t="str">
        <f aca="false">IF(C229="","",C229&amp;"|"&amp;COUNTIF(C$3:C229,C229))</f>
        <v/>
      </c>
      <c r="O229" s="1" t="str">
        <f aca="false">IF(OR(C229="",M229=""),"",C229&amp;"|"&amp;COUNTIFS(C$3:C229,C229,M$3:M229,"&lt;&gt;"))</f>
        <v/>
      </c>
    </row>
    <row r="230" customFormat="false" ht="15" hidden="false" customHeight="false" outlineLevel="0" collapsed="false">
      <c r="B230" s="7"/>
      <c r="C230" s="5"/>
      <c r="D230" s="9" t="str">
        <f aca="false">IF(C230="","",IFERROR(VLOOKUP(C230,EQUIPOS!$B$3:$C$18,2,0),"NO EXISTE"))</f>
        <v/>
      </c>
      <c r="E230" s="9" t="str">
        <f aca="false">IF(C230="","",IFERROR(VLOOKUP(C230,EQUIPOS!$B$3:$F$18,5,0),""))</f>
        <v/>
      </c>
      <c r="F230" s="5" t="str">
        <f aca="false">IF(C230="","",IFERROR(VLOOKUP(C230,EQUIPOS!$B$3:$G$18,6,0),""))</f>
        <v/>
      </c>
      <c r="G230" s="8"/>
      <c r="H230" s="5"/>
      <c r="I230" s="5"/>
      <c r="J230" s="9"/>
      <c r="K230" s="17" t="str">
        <f aca="false">IF(H230="","",IFERROR(SUMIFS(BD_PLAN!$I$3:$I$312,BD_PLAN!$B$3:$B$312,E230,BD_PLAN!$C$3:$C$312,INDEX(BD_CICLO!$F$3:$F$54,MATCH(E230&amp;"|"&amp;H230,BD_CICLO!$G$3:$G$54,0))),""))</f>
        <v/>
      </c>
      <c r="L230" s="9"/>
      <c r="M230" s="9"/>
      <c r="N230" s="1" t="str">
        <f aca="false">IF(C230="","",C230&amp;"|"&amp;COUNTIF(C$3:C230,C230))</f>
        <v/>
      </c>
      <c r="O230" s="1" t="str">
        <f aca="false">IF(OR(C230="",M230=""),"",C230&amp;"|"&amp;COUNTIFS(C$3:C230,C230,M$3:M230,"&lt;&gt;"))</f>
        <v/>
      </c>
    </row>
    <row r="231" customFormat="false" ht="15" hidden="false" customHeight="false" outlineLevel="0" collapsed="false">
      <c r="B231" s="7"/>
      <c r="C231" s="5"/>
      <c r="D231" s="9" t="str">
        <f aca="false">IF(C231="","",IFERROR(VLOOKUP(C231,EQUIPOS!$B$3:$C$18,2,0),"NO EXISTE"))</f>
        <v/>
      </c>
      <c r="E231" s="9" t="str">
        <f aca="false">IF(C231="","",IFERROR(VLOOKUP(C231,EQUIPOS!$B$3:$F$18,5,0),""))</f>
        <v/>
      </c>
      <c r="F231" s="5" t="str">
        <f aca="false">IF(C231="","",IFERROR(VLOOKUP(C231,EQUIPOS!$B$3:$G$18,6,0),""))</f>
        <v/>
      </c>
      <c r="G231" s="8"/>
      <c r="H231" s="5"/>
      <c r="I231" s="5"/>
      <c r="J231" s="9"/>
      <c r="K231" s="17" t="str">
        <f aca="false">IF(H231="","",IFERROR(SUMIFS(BD_PLAN!$I$3:$I$312,BD_PLAN!$B$3:$B$312,E231,BD_PLAN!$C$3:$C$312,INDEX(BD_CICLO!$F$3:$F$54,MATCH(E231&amp;"|"&amp;H231,BD_CICLO!$G$3:$G$54,0))),""))</f>
        <v/>
      </c>
      <c r="L231" s="9"/>
      <c r="M231" s="9"/>
      <c r="N231" s="1" t="str">
        <f aca="false">IF(C231="","",C231&amp;"|"&amp;COUNTIF(C$3:C231,C231))</f>
        <v/>
      </c>
      <c r="O231" s="1" t="str">
        <f aca="false">IF(OR(C231="",M231=""),"",C231&amp;"|"&amp;COUNTIFS(C$3:C231,C231,M$3:M231,"&lt;&gt;"))</f>
        <v/>
      </c>
    </row>
    <row r="232" customFormat="false" ht="15" hidden="false" customHeight="false" outlineLevel="0" collapsed="false">
      <c r="B232" s="7"/>
      <c r="C232" s="5"/>
      <c r="D232" s="9" t="str">
        <f aca="false">IF(C232="","",IFERROR(VLOOKUP(C232,EQUIPOS!$B$3:$C$18,2,0),"NO EXISTE"))</f>
        <v/>
      </c>
      <c r="E232" s="9" t="str">
        <f aca="false">IF(C232="","",IFERROR(VLOOKUP(C232,EQUIPOS!$B$3:$F$18,5,0),""))</f>
        <v/>
      </c>
      <c r="F232" s="5" t="str">
        <f aca="false">IF(C232="","",IFERROR(VLOOKUP(C232,EQUIPOS!$B$3:$G$18,6,0),""))</f>
        <v/>
      </c>
      <c r="G232" s="8"/>
      <c r="H232" s="5"/>
      <c r="I232" s="5"/>
      <c r="J232" s="9"/>
      <c r="K232" s="17" t="str">
        <f aca="false">IF(H232="","",IFERROR(SUMIFS(BD_PLAN!$I$3:$I$312,BD_PLAN!$B$3:$B$312,E232,BD_PLAN!$C$3:$C$312,INDEX(BD_CICLO!$F$3:$F$54,MATCH(E232&amp;"|"&amp;H232,BD_CICLO!$G$3:$G$54,0))),""))</f>
        <v/>
      </c>
      <c r="L232" s="9"/>
      <c r="M232" s="9"/>
      <c r="N232" s="1" t="str">
        <f aca="false">IF(C232="","",C232&amp;"|"&amp;COUNTIF(C$3:C232,C232))</f>
        <v/>
      </c>
      <c r="O232" s="1" t="str">
        <f aca="false">IF(OR(C232="",M232=""),"",C232&amp;"|"&amp;COUNTIFS(C$3:C232,C232,M$3:M232,"&lt;&gt;"))</f>
        <v/>
      </c>
    </row>
    <row r="233" customFormat="false" ht="15" hidden="false" customHeight="false" outlineLevel="0" collapsed="false">
      <c r="B233" s="7"/>
      <c r="C233" s="5"/>
      <c r="D233" s="9" t="str">
        <f aca="false">IF(C233="","",IFERROR(VLOOKUP(C233,EQUIPOS!$B$3:$C$18,2,0),"NO EXISTE"))</f>
        <v/>
      </c>
      <c r="E233" s="9" t="str">
        <f aca="false">IF(C233="","",IFERROR(VLOOKUP(C233,EQUIPOS!$B$3:$F$18,5,0),""))</f>
        <v/>
      </c>
      <c r="F233" s="5" t="str">
        <f aca="false">IF(C233="","",IFERROR(VLOOKUP(C233,EQUIPOS!$B$3:$G$18,6,0),""))</f>
        <v/>
      </c>
      <c r="G233" s="8"/>
      <c r="H233" s="5"/>
      <c r="I233" s="5"/>
      <c r="J233" s="9"/>
      <c r="K233" s="17" t="str">
        <f aca="false">IF(H233="","",IFERROR(SUMIFS(BD_PLAN!$I$3:$I$312,BD_PLAN!$B$3:$B$312,E233,BD_PLAN!$C$3:$C$312,INDEX(BD_CICLO!$F$3:$F$54,MATCH(E233&amp;"|"&amp;H233,BD_CICLO!$G$3:$G$54,0))),""))</f>
        <v/>
      </c>
      <c r="L233" s="9"/>
      <c r="M233" s="9"/>
      <c r="N233" s="1" t="str">
        <f aca="false">IF(C233="","",C233&amp;"|"&amp;COUNTIF(C$3:C233,C233))</f>
        <v/>
      </c>
      <c r="O233" s="1" t="str">
        <f aca="false">IF(OR(C233="",M233=""),"",C233&amp;"|"&amp;COUNTIFS(C$3:C233,C233,M$3:M233,"&lt;&gt;"))</f>
        <v/>
      </c>
    </row>
    <row r="234" customFormat="false" ht="15" hidden="false" customHeight="false" outlineLevel="0" collapsed="false">
      <c r="B234" s="7"/>
      <c r="C234" s="5"/>
      <c r="D234" s="9" t="str">
        <f aca="false">IF(C234="","",IFERROR(VLOOKUP(C234,EQUIPOS!$B$3:$C$18,2,0),"NO EXISTE"))</f>
        <v/>
      </c>
      <c r="E234" s="9" t="str">
        <f aca="false">IF(C234="","",IFERROR(VLOOKUP(C234,EQUIPOS!$B$3:$F$18,5,0),""))</f>
        <v/>
      </c>
      <c r="F234" s="5" t="str">
        <f aca="false">IF(C234="","",IFERROR(VLOOKUP(C234,EQUIPOS!$B$3:$G$18,6,0),""))</f>
        <v/>
      </c>
      <c r="G234" s="8"/>
      <c r="H234" s="5"/>
      <c r="I234" s="5"/>
      <c r="J234" s="9"/>
      <c r="K234" s="17" t="str">
        <f aca="false">IF(H234="","",IFERROR(SUMIFS(BD_PLAN!$I$3:$I$312,BD_PLAN!$B$3:$B$312,E234,BD_PLAN!$C$3:$C$312,INDEX(BD_CICLO!$F$3:$F$54,MATCH(E234&amp;"|"&amp;H234,BD_CICLO!$G$3:$G$54,0))),""))</f>
        <v/>
      </c>
      <c r="L234" s="9"/>
      <c r="M234" s="9"/>
      <c r="N234" s="1" t="str">
        <f aca="false">IF(C234="","",C234&amp;"|"&amp;COUNTIF(C$3:C234,C234))</f>
        <v/>
      </c>
      <c r="O234" s="1" t="str">
        <f aca="false">IF(OR(C234="",M234=""),"",C234&amp;"|"&amp;COUNTIFS(C$3:C234,C234,M$3:M234,"&lt;&gt;"))</f>
        <v/>
      </c>
    </row>
    <row r="235" customFormat="false" ht="15" hidden="false" customHeight="false" outlineLevel="0" collapsed="false">
      <c r="B235" s="7"/>
      <c r="C235" s="5"/>
      <c r="D235" s="9" t="str">
        <f aca="false">IF(C235="","",IFERROR(VLOOKUP(C235,EQUIPOS!$B$3:$C$18,2,0),"NO EXISTE"))</f>
        <v/>
      </c>
      <c r="E235" s="9" t="str">
        <f aca="false">IF(C235="","",IFERROR(VLOOKUP(C235,EQUIPOS!$B$3:$F$18,5,0),""))</f>
        <v/>
      </c>
      <c r="F235" s="5" t="str">
        <f aca="false">IF(C235="","",IFERROR(VLOOKUP(C235,EQUIPOS!$B$3:$G$18,6,0),""))</f>
        <v/>
      </c>
      <c r="G235" s="8"/>
      <c r="H235" s="5"/>
      <c r="I235" s="5"/>
      <c r="J235" s="9"/>
      <c r="K235" s="17" t="str">
        <f aca="false">IF(H235="","",IFERROR(SUMIFS(BD_PLAN!$I$3:$I$312,BD_PLAN!$B$3:$B$312,E235,BD_PLAN!$C$3:$C$312,INDEX(BD_CICLO!$F$3:$F$54,MATCH(E235&amp;"|"&amp;H235,BD_CICLO!$G$3:$G$54,0))),""))</f>
        <v/>
      </c>
      <c r="L235" s="9"/>
      <c r="M235" s="9"/>
      <c r="N235" s="1" t="str">
        <f aca="false">IF(C235="","",C235&amp;"|"&amp;COUNTIF(C$3:C235,C235))</f>
        <v/>
      </c>
      <c r="O235" s="1" t="str">
        <f aca="false">IF(OR(C235="",M235=""),"",C235&amp;"|"&amp;COUNTIFS(C$3:C235,C235,M$3:M235,"&lt;&gt;"))</f>
        <v/>
      </c>
    </row>
    <row r="236" customFormat="false" ht="15" hidden="false" customHeight="false" outlineLevel="0" collapsed="false">
      <c r="B236" s="7"/>
      <c r="C236" s="5"/>
      <c r="D236" s="9" t="str">
        <f aca="false">IF(C236="","",IFERROR(VLOOKUP(C236,EQUIPOS!$B$3:$C$18,2,0),"NO EXISTE"))</f>
        <v/>
      </c>
      <c r="E236" s="9" t="str">
        <f aca="false">IF(C236="","",IFERROR(VLOOKUP(C236,EQUIPOS!$B$3:$F$18,5,0),""))</f>
        <v/>
      </c>
      <c r="F236" s="5" t="str">
        <f aca="false">IF(C236="","",IFERROR(VLOOKUP(C236,EQUIPOS!$B$3:$G$18,6,0),""))</f>
        <v/>
      </c>
      <c r="G236" s="8"/>
      <c r="H236" s="5"/>
      <c r="I236" s="5"/>
      <c r="J236" s="9"/>
      <c r="K236" s="17" t="str">
        <f aca="false">IF(H236="","",IFERROR(SUMIFS(BD_PLAN!$I$3:$I$312,BD_PLAN!$B$3:$B$312,E236,BD_PLAN!$C$3:$C$312,INDEX(BD_CICLO!$F$3:$F$54,MATCH(E236&amp;"|"&amp;H236,BD_CICLO!$G$3:$G$54,0))),""))</f>
        <v/>
      </c>
      <c r="L236" s="9"/>
      <c r="M236" s="9"/>
      <c r="N236" s="1" t="str">
        <f aca="false">IF(C236="","",C236&amp;"|"&amp;COUNTIF(C$3:C236,C236))</f>
        <v/>
      </c>
      <c r="O236" s="1" t="str">
        <f aca="false">IF(OR(C236="",M236=""),"",C236&amp;"|"&amp;COUNTIFS(C$3:C236,C236,M$3:M236,"&lt;&gt;"))</f>
        <v/>
      </c>
    </row>
    <row r="237" customFormat="false" ht="15" hidden="false" customHeight="false" outlineLevel="0" collapsed="false">
      <c r="B237" s="7"/>
      <c r="C237" s="5"/>
      <c r="D237" s="9" t="str">
        <f aca="false">IF(C237="","",IFERROR(VLOOKUP(C237,EQUIPOS!$B$3:$C$18,2,0),"NO EXISTE"))</f>
        <v/>
      </c>
      <c r="E237" s="9" t="str">
        <f aca="false">IF(C237="","",IFERROR(VLOOKUP(C237,EQUIPOS!$B$3:$F$18,5,0),""))</f>
        <v/>
      </c>
      <c r="F237" s="5" t="str">
        <f aca="false">IF(C237="","",IFERROR(VLOOKUP(C237,EQUIPOS!$B$3:$G$18,6,0),""))</f>
        <v/>
      </c>
      <c r="G237" s="8"/>
      <c r="H237" s="5"/>
      <c r="I237" s="5"/>
      <c r="J237" s="9"/>
      <c r="K237" s="17" t="str">
        <f aca="false">IF(H237="","",IFERROR(SUMIFS(BD_PLAN!$I$3:$I$312,BD_PLAN!$B$3:$B$312,E237,BD_PLAN!$C$3:$C$312,INDEX(BD_CICLO!$F$3:$F$54,MATCH(E237&amp;"|"&amp;H237,BD_CICLO!$G$3:$G$54,0))),""))</f>
        <v/>
      </c>
      <c r="L237" s="9"/>
      <c r="M237" s="9"/>
      <c r="N237" s="1" t="str">
        <f aca="false">IF(C237="","",C237&amp;"|"&amp;COUNTIF(C$3:C237,C237))</f>
        <v/>
      </c>
      <c r="O237" s="1" t="str">
        <f aca="false">IF(OR(C237="",M237=""),"",C237&amp;"|"&amp;COUNTIFS(C$3:C237,C237,M$3:M237,"&lt;&gt;"))</f>
        <v/>
      </c>
    </row>
    <row r="238" customFormat="false" ht="15" hidden="false" customHeight="false" outlineLevel="0" collapsed="false">
      <c r="B238" s="7"/>
      <c r="C238" s="5"/>
      <c r="D238" s="9" t="str">
        <f aca="false">IF(C238="","",IFERROR(VLOOKUP(C238,EQUIPOS!$B$3:$C$18,2,0),"NO EXISTE"))</f>
        <v/>
      </c>
      <c r="E238" s="9" t="str">
        <f aca="false">IF(C238="","",IFERROR(VLOOKUP(C238,EQUIPOS!$B$3:$F$18,5,0),""))</f>
        <v/>
      </c>
      <c r="F238" s="5" t="str">
        <f aca="false">IF(C238="","",IFERROR(VLOOKUP(C238,EQUIPOS!$B$3:$G$18,6,0),""))</f>
        <v/>
      </c>
      <c r="G238" s="8"/>
      <c r="H238" s="5"/>
      <c r="I238" s="5"/>
      <c r="J238" s="9"/>
      <c r="K238" s="17" t="str">
        <f aca="false">IF(H238="","",IFERROR(SUMIFS(BD_PLAN!$I$3:$I$312,BD_PLAN!$B$3:$B$312,E238,BD_PLAN!$C$3:$C$312,INDEX(BD_CICLO!$F$3:$F$54,MATCH(E238&amp;"|"&amp;H238,BD_CICLO!$G$3:$G$54,0))),""))</f>
        <v/>
      </c>
      <c r="L238" s="9"/>
      <c r="M238" s="9"/>
      <c r="N238" s="1" t="str">
        <f aca="false">IF(C238="","",C238&amp;"|"&amp;COUNTIF(C$3:C238,C238))</f>
        <v/>
      </c>
      <c r="O238" s="1" t="str">
        <f aca="false">IF(OR(C238="",M238=""),"",C238&amp;"|"&amp;COUNTIFS(C$3:C238,C238,M$3:M238,"&lt;&gt;"))</f>
        <v/>
      </c>
    </row>
    <row r="239" customFormat="false" ht="15" hidden="false" customHeight="false" outlineLevel="0" collapsed="false">
      <c r="B239" s="7"/>
      <c r="C239" s="5"/>
      <c r="D239" s="9" t="str">
        <f aca="false">IF(C239="","",IFERROR(VLOOKUP(C239,EQUIPOS!$B$3:$C$18,2,0),"NO EXISTE"))</f>
        <v/>
      </c>
      <c r="E239" s="9" t="str">
        <f aca="false">IF(C239="","",IFERROR(VLOOKUP(C239,EQUIPOS!$B$3:$F$18,5,0),""))</f>
        <v/>
      </c>
      <c r="F239" s="5" t="str">
        <f aca="false">IF(C239="","",IFERROR(VLOOKUP(C239,EQUIPOS!$B$3:$G$18,6,0),""))</f>
        <v/>
      </c>
      <c r="G239" s="8"/>
      <c r="H239" s="5"/>
      <c r="I239" s="5"/>
      <c r="J239" s="9"/>
      <c r="K239" s="17" t="str">
        <f aca="false">IF(H239="","",IFERROR(SUMIFS(BD_PLAN!$I$3:$I$312,BD_PLAN!$B$3:$B$312,E239,BD_PLAN!$C$3:$C$312,INDEX(BD_CICLO!$F$3:$F$54,MATCH(E239&amp;"|"&amp;H239,BD_CICLO!$G$3:$G$54,0))),""))</f>
        <v/>
      </c>
      <c r="L239" s="9"/>
      <c r="M239" s="9"/>
      <c r="N239" s="1" t="str">
        <f aca="false">IF(C239="","",C239&amp;"|"&amp;COUNTIF(C$3:C239,C239))</f>
        <v/>
      </c>
      <c r="O239" s="1" t="str">
        <f aca="false">IF(OR(C239="",M239=""),"",C239&amp;"|"&amp;COUNTIFS(C$3:C239,C239,M$3:M239,"&lt;&gt;"))</f>
        <v/>
      </c>
    </row>
    <row r="240" customFormat="false" ht="15" hidden="false" customHeight="false" outlineLevel="0" collapsed="false">
      <c r="B240" s="7"/>
      <c r="C240" s="5"/>
      <c r="D240" s="9" t="str">
        <f aca="false">IF(C240="","",IFERROR(VLOOKUP(C240,EQUIPOS!$B$3:$C$18,2,0),"NO EXISTE"))</f>
        <v/>
      </c>
      <c r="E240" s="9" t="str">
        <f aca="false">IF(C240="","",IFERROR(VLOOKUP(C240,EQUIPOS!$B$3:$F$18,5,0),""))</f>
        <v/>
      </c>
      <c r="F240" s="5" t="str">
        <f aca="false">IF(C240="","",IFERROR(VLOOKUP(C240,EQUIPOS!$B$3:$G$18,6,0),""))</f>
        <v/>
      </c>
      <c r="G240" s="8"/>
      <c r="H240" s="5"/>
      <c r="I240" s="5"/>
      <c r="J240" s="9"/>
      <c r="K240" s="17" t="str">
        <f aca="false">IF(H240="","",IFERROR(SUMIFS(BD_PLAN!$I$3:$I$312,BD_PLAN!$B$3:$B$312,E240,BD_PLAN!$C$3:$C$312,INDEX(BD_CICLO!$F$3:$F$54,MATCH(E240&amp;"|"&amp;H240,BD_CICLO!$G$3:$G$54,0))),""))</f>
        <v/>
      </c>
      <c r="L240" s="9"/>
      <c r="M240" s="9"/>
      <c r="N240" s="1" t="str">
        <f aca="false">IF(C240="","",C240&amp;"|"&amp;COUNTIF(C$3:C240,C240))</f>
        <v/>
      </c>
      <c r="O240" s="1" t="str">
        <f aca="false">IF(OR(C240="",M240=""),"",C240&amp;"|"&amp;COUNTIFS(C$3:C240,C240,M$3:M240,"&lt;&gt;"))</f>
        <v/>
      </c>
    </row>
    <row r="241" customFormat="false" ht="15" hidden="false" customHeight="false" outlineLevel="0" collapsed="false">
      <c r="B241" s="7"/>
      <c r="C241" s="5"/>
      <c r="D241" s="9" t="str">
        <f aca="false">IF(C241="","",IFERROR(VLOOKUP(C241,EQUIPOS!$B$3:$C$18,2,0),"NO EXISTE"))</f>
        <v/>
      </c>
      <c r="E241" s="9" t="str">
        <f aca="false">IF(C241="","",IFERROR(VLOOKUP(C241,EQUIPOS!$B$3:$F$18,5,0),""))</f>
        <v/>
      </c>
      <c r="F241" s="5" t="str">
        <f aca="false">IF(C241="","",IFERROR(VLOOKUP(C241,EQUIPOS!$B$3:$G$18,6,0),""))</f>
        <v/>
      </c>
      <c r="G241" s="8"/>
      <c r="H241" s="5"/>
      <c r="I241" s="5"/>
      <c r="J241" s="9"/>
      <c r="K241" s="17" t="str">
        <f aca="false">IF(H241="","",IFERROR(SUMIFS(BD_PLAN!$I$3:$I$312,BD_PLAN!$B$3:$B$312,E241,BD_PLAN!$C$3:$C$312,INDEX(BD_CICLO!$F$3:$F$54,MATCH(E241&amp;"|"&amp;H241,BD_CICLO!$G$3:$G$54,0))),""))</f>
        <v/>
      </c>
      <c r="L241" s="9"/>
      <c r="M241" s="9"/>
      <c r="N241" s="1" t="str">
        <f aca="false">IF(C241="","",C241&amp;"|"&amp;COUNTIF(C$3:C241,C241))</f>
        <v/>
      </c>
      <c r="O241" s="1" t="str">
        <f aca="false">IF(OR(C241="",M241=""),"",C241&amp;"|"&amp;COUNTIFS(C$3:C241,C241,M$3:M241,"&lt;&gt;"))</f>
        <v/>
      </c>
    </row>
    <row r="242" customFormat="false" ht="15" hidden="false" customHeight="false" outlineLevel="0" collapsed="false">
      <c r="B242" s="7"/>
      <c r="C242" s="5"/>
      <c r="D242" s="9" t="str">
        <f aca="false">IF(C242="","",IFERROR(VLOOKUP(C242,EQUIPOS!$B$3:$C$18,2,0),"NO EXISTE"))</f>
        <v/>
      </c>
      <c r="E242" s="9" t="str">
        <f aca="false">IF(C242="","",IFERROR(VLOOKUP(C242,EQUIPOS!$B$3:$F$18,5,0),""))</f>
        <v/>
      </c>
      <c r="F242" s="5" t="str">
        <f aca="false">IF(C242="","",IFERROR(VLOOKUP(C242,EQUIPOS!$B$3:$G$18,6,0),""))</f>
        <v/>
      </c>
      <c r="G242" s="8"/>
      <c r="H242" s="5"/>
      <c r="I242" s="5"/>
      <c r="J242" s="9"/>
      <c r="K242" s="17" t="str">
        <f aca="false">IF(H242="","",IFERROR(SUMIFS(BD_PLAN!$I$3:$I$312,BD_PLAN!$B$3:$B$312,E242,BD_PLAN!$C$3:$C$312,INDEX(BD_CICLO!$F$3:$F$54,MATCH(E242&amp;"|"&amp;H242,BD_CICLO!$G$3:$G$54,0))),""))</f>
        <v/>
      </c>
      <c r="L242" s="9"/>
      <c r="M242" s="9"/>
      <c r="N242" s="1" t="str">
        <f aca="false">IF(C242="","",C242&amp;"|"&amp;COUNTIF(C$3:C242,C242))</f>
        <v/>
      </c>
      <c r="O242" s="1" t="str">
        <f aca="false">IF(OR(C242="",M242=""),"",C242&amp;"|"&amp;COUNTIFS(C$3:C242,C242,M$3:M242,"&lt;&gt;"))</f>
        <v/>
      </c>
    </row>
    <row r="243" customFormat="false" ht="15" hidden="false" customHeight="false" outlineLevel="0" collapsed="false">
      <c r="B243" s="7"/>
      <c r="C243" s="5"/>
      <c r="D243" s="9" t="str">
        <f aca="false">IF(C243="","",IFERROR(VLOOKUP(C243,EQUIPOS!$B$3:$C$18,2,0),"NO EXISTE"))</f>
        <v/>
      </c>
      <c r="E243" s="9" t="str">
        <f aca="false">IF(C243="","",IFERROR(VLOOKUP(C243,EQUIPOS!$B$3:$F$18,5,0),""))</f>
        <v/>
      </c>
      <c r="F243" s="5" t="str">
        <f aca="false">IF(C243="","",IFERROR(VLOOKUP(C243,EQUIPOS!$B$3:$G$18,6,0),""))</f>
        <v/>
      </c>
      <c r="G243" s="8"/>
      <c r="H243" s="5"/>
      <c r="I243" s="5"/>
      <c r="J243" s="9"/>
      <c r="K243" s="17" t="str">
        <f aca="false">IF(H243="","",IFERROR(SUMIFS(BD_PLAN!$I$3:$I$312,BD_PLAN!$B$3:$B$312,E243,BD_PLAN!$C$3:$C$312,INDEX(BD_CICLO!$F$3:$F$54,MATCH(E243&amp;"|"&amp;H243,BD_CICLO!$G$3:$G$54,0))),""))</f>
        <v/>
      </c>
      <c r="L243" s="9"/>
      <c r="M243" s="9"/>
      <c r="N243" s="1" t="str">
        <f aca="false">IF(C243="","",C243&amp;"|"&amp;COUNTIF(C$3:C243,C243))</f>
        <v/>
      </c>
      <c r="O243" s="1" t="str">
        <f aca="false">IF(OR(C243="",M243=""),"",C243&amp;"|"&amp;COUNTIFS(C$3:C243,C243,M$3:M243,"&lt;&gt;"))</f>
        <v/>
      </c>
    </row>
    <row r="244" customFormat="false" ht="15" hidden="false" customHeight="false" outlineLevel="0" collapsed="false">
      <c r="B244" s="7"/>
      <c r="C244" s="5"/>
      <c r="D244" s="9" t="str">
        <f aca="false">IF(C244="","",IFERROR(VLOOKUP(C244,EQUIPOS!$B$3:$C$18,2,0),"NO EXISTE"))</f>
        <v/>
      </c>
      <c r="E244" s="9" t="str">
        <f aca="false">IF(C244="","",IFERROR(VLOOKUP(C244,EQUIPOS!$B$3:$F$18,5,0),""))</f>
        <v/>
      </c>
      <c r="F244" s="5" t="str">
        <f aca="false">IF(C244="","",IFERROR(VLOOKUP(C244,EQUIPOS!$B$3:$G$18,6,0),""))</f>
        <v/>
      </c>
      <c r="G244" s="8"/>
      <c r="H244" s="5"/>
      <c r="I244" s="5"/>
      <c r="J244" s="9"/>
      <c r="K244" s="17" t="str">
        <f aca="false">IF(H244="","",IFERROR(SUMIFS(BD_PLAN!$I$3:$I$312,BD_PLAN!$B$3:$B$312,E244,BD_PLAN!$C$3:$C$312,INDEX(BD_CICLO!$F$3:$F$54,MATCH(E244&amp;"|"&amp;H244,BD_CICLO!$G$3:$G$54,0))),""))</f>
        <v/>
      </c>
      <c r="L244" s="9"/>
      <c r="M244" s="9"/>
      <c r="N244" s="1" t="str">
        <f aca="false">IF(C244="","",C244&amp;"|"&amp;COUNTIF(C$3:C244,C244))</f>
        <v/>
      </c>
      <c r="O244" s="1" t="str">
        <f aca="false">IF(OR(C244="",M244=""),"",C244&amp;"|"&amp;COUNTIFS(C$3:C244,C244,M$3:M244,"&lt;&gt;"))</f>
        <v/>
      </c>
    </row>
    <row r="245" customFormat="false" ht="15" hidden="false" customHeight="false" outlineLevel="0" collapsed="false">
      <c r="B245" s="7"/>
      <c r="C245" s="5"/>
      <c r="D245" s="9" t="str">
        <f aca="false">IF(C245="","",IFERROR(VLOOKUP(C245,EQUIPOS!$B$3:$C$18,2,0),"NO EXISTE"))</f>
        <v/>
      </c>
      <c r="E245" s="9" t="str">
        <f aca="false">IF(C245="","",IFERROR(VLOOKUP(C245,EQUIPOS!$B$3:$F$18,5,0),""))</f>
        <v/>
      </c>
      <c r="F245" s="5" t="str">
        <f aca="false">IF(C245="","",IFERROR(VLOOKUP(C245,EQUIPOS!$B$3:$G$18,6,0),""))</f>
        <v/>
      </c>
      <c r="G245" s="8"/>
      <c r="H245" s="5"/>
      <c r="I245" s="5"/>
      <c r="J245" s="9"/>
      <c r="K245" s="17" t="str">
        <f aca="false">IF(H245="","",IFERROR(SUMIFS(BD_PLAN!$I$3:$I$312,BD_PLAN!$B$3:$B$312,E245,BD_PLAN!$C$3:$C$312,INDEX(BD_CICLO!$F$3:$F$54,MATCH(E245&amp;"|"&amp;H245,BD_CICLO!$G$3:$G$54,0))),""))</f>
        <v/>
      </c>
      <c r="L245" s="9"/>
      <c r="M245" s="9"/>
      <c r="N245" s="1" t="str">
        <f aca="false">IF(C245="","",C245&amp;"|"&amp;COUNTIF(C$3:C245,C245))</f>
        <v/>
      </c>
      <c r="O245" s="1" t="str">
        <f aca="false">IF(OR(C245="",M245=""),"",C245&amp;"|"&amp;COUNTIFS(C$3:C245,C245,M$3:M245,"&lt;&gt;"))</f>
        <v/>
      </c>
    </row>
    <row r="246" customFormat="false" ht="15" hidden="false" customHeight="false" outlineLevel="0" collapsed="false">
      <c r="B246" s="7"/>
      <c r="C246" s="5"/>
      <c r="D246" s="9" t="str">
        <f aca="false">IF(C246="","",IFERROR(VLOOKUP(C246,EQUIPOS!$B$3:$C$18,2,0),"NO EXISTE"))</f>
        <v/>
      </c>
      <c r="E246" s="9" t="str">
        <f aca="false">IF(C246="","",IFERROR(VLOOKUP(C246,EQUIPOS!$B$3:$F$18,5,0),""))</f>
        <v/>
      </c>
      <c r="F246" s="5" t="str">
        <f aca="false">IF(C246="","",IFERROR(VLOOKUP(C246,EQUIPOS!$B$3:$G$18,6,0),""))</f>
        <v/>
      </c>
      <c r="G246" s="8"/>
      <c r="H246" s="5"/>
      <c r="I246" s="5"/>
      <c r="J246" s="9"/>
      <c r="K246" s="17" t="str">
        <f aca="false">IF(H246="","",IFERROR(SUMIFS(BD_PLAN!$I$3:$I$312,BD_PLAN!$B$3:$B$312,E246,BD_PLAN!$C$3:$C$312,INDEX(BD_CICLO!$F$3:$F$54,MATCH(E246&amp;"|"&amp;H246,BD_CICLO!$G$3:$G$54,0))),""))</f>
        <v/>
      </c>
      <c r="L246" s="9"/>
      <c r="M246" s="9"/>
      <c r="N246" s="1" t="str">
        <f aca="false">IF(C246="","",C246&amp;"|"&amp;COUNTIF(C$3:C246,C246))</f>
        <v/>
      </c>
      <c r="O246" s="1" t="str">
        <f aca="false">IF(OR(C246="",M246=""),"",C246&amp;"|"&amp;COUNTIFS(C$3:C246,C246,M$3:M246,"&lt;&gt;"))</f>
        <v/>
      </c>
    </row>
    <row r="247" customFormat="false" ht="15" hidden="false" customHeight="false" outlineLevel="0" collapsed="false">
      <c r="B247" s="7"/>
      <c r="C247" s="5"/>
      <c r="D247" s="9" t="str">
        <f aca="false">IF(C247="","",IFERROR(VLOOKUP(C247,EQUIPOS!$B$3:$C$18,2,0),"NO EXISTE"))</f>
        <v/>
      </c>
      <c r="E247" s="9" t="str">
        <f aca="false">IF(C247="","",IFERROR(VLOOKUP(C247,EQUIPOS!$B$3:$F$18,5,0),""))</f>
        <v/>
      </c>
      <c r="F247" s="5" t="str">
        <f aca="false">IF(C247="","",IFERROR(VLOOKUP(C247,EQUIPOS!$B$3:$G$18,6,0),""))</f>
        <v/>
      </c>
      <c r="G247" s="8"/>
      <c r="H247" s="5"/>
      <c r="I247" s="5"/>
      <c r="J247" s="9"/>
      <c r="K247" s="17" t="str">
        <f aca="false">IF(H247="","",IFERROR(SUMIFS(BD_PLAN!$I$3:$I$312,BD_PLAN!$B$3:$B$312,E247,BD_PLAN!$C$3:$C$312,INDEX(BD_CICLO!$F$3:$F$54,MATCH(E247&amp;"|"&amp;H247,BD_CICLO!$G$3:$G$54,0))),""))</f>
        <v/>
      </c>
      <c r="L247" s="9"/>
      <c r="M247" s="9"/>
      <c r="N247" s="1" t="str">
        <f aca="false">IF(C247="","",C247&amp;"|"&amp;COUNTIF(C$3:C247,C247))</f>
        <v/>
      </c>
      <c r="O247" s="1" t="str">
        <f aca="false">IF(OR(C247="",M247=""),"",C247&amp;"|"&amp;COUNTIFS(C$3:C247,C247,M$3:M247,"&lt;&gt;"))</f>
        <v/>
      </c>
    </row>
    <row r="248" customFormat="false" ht="15" hidden="false" customHeight="false" outlineLevel="0" collapsed="false">
      <c r="B248" s="7"/>
      <c r="C248" s="5"/>
      <c r="D248" s="9" t="str">
        <f aca="false">IF(C248="","",IFERROR(VLOOKUP(C248,EQUIPOS!$B$3:$C$18,2,0),"NO EXISTE"))</f>
        <v/>
      </c>
      <c r="E248" s="9" t="str">
        <f aca="false">IF(C248="","",IFERROR(VLOOKUP(C248,EQUIPOS!$B$3:$F$18,5,0),""))</f>
        <v/>
      </c>
      <c r="F248" s="5" t="str">
        <f aca="false">IF(C248="","",IFERROR(VLOOKUP(C248,EQUIPOS!$B$3:$G$18,6,0),""))</f>
        <v/>
      </c>
      <c r="G248" s="8"/>
      <c r="H248" s="5"/>
      <c r="I248" s="5"/>
      <c r="J248" s="9"/>
      <c r="K248" s="17" t="str">
        <f aca="false">IF(H248="","",IFERROR(SUMIFS(BD_PLAN!$I$3:$I$312,BD_PLAN!$B$3:$B$312,E248,BD_PLAN!$C$3:$C$312,INDEX(BD_CICLO!$F$3:$F$54,MATCH(E248&amp;"|"&amp;H248,BD_CICLO!$G$3:$G$54,0))),""))</f>
        <v/>
      </c>
      <c r="L248" s="9"/>
      <c r="M248" s="9"/>
      <c r="N248" s="1" t="str">
        <f aca="false">IF(C248="","",C248&amp;"|"&amp;COUNTIF(C$3:C248,C248))</f>
        <v/>
      </c>
      <c r="O248" s="1" t="str">
        <f aca="false">IF(OR(C248="",M248=""),"",C248&amp;"|"&amp;COUNTIFS(C$3:C248,C248,M$3:M248,"&lt;&gt;"))</f>
        <v/>
      </c>
    </row>
    <row r="249" customFormat="false" ht="15" hidden="false" customHeight="false" outlineLevel="0" collapsed="false">
      <c r="B249" s="7"/>
      <c r="C249" s="5"/>
      <c r="D249" s="9" t="str">
        <f aca="false">IF(C249="","",IFERROR(VLOOKUP(C249,EQUIPOS!$B$3:$C$18,2,0),"NO EXISTE"))</f>
        <v/>
      </c>
      <c r="E249" s="9" t="str">
        <f aca="false">IF(C249="","",IFERROR(VLOOKUP(C249,EQUIPOS!$B$3:$F$18,5,0),""))</f>
        <v/>
      </c>
      <c r="F249" s="5" t="str">
        <f aca="false">IF(C249="","",IFERROR(VLOOKUP(C249,EQUIPOS!$B$3:$G$18,6,0),""))</f>
        <v/>
      </c>
      <c r="G249" s="8"/>
      <c r="H249" s="5"/>
      <c r="I249" s="5"/>
      <c r="J249" s="9"/>
      <c r="K249" s="17" t="str">
        <f aca="false">IF(H249="","",IFERROR(SUMIFS(BD_PLAN!$I$3:$I$312,BD_PLAN!$B$3:$B$312,E249,BD_PLAN!$C$3:$C$312,INDEX(BD_CICLO!$F$3:$F$54,MATCH(E249&amp;"|"&amp;H249,BD_CICLO!$G$3:$G$54,0))),""))</f>
        <v/>
      </c>
      <c r="L249" s="9"/>
      <c r="M249" s="9"/>
      <c r="N249" s="1" t="str">
        <f aca="false">IF(C249="","",C249&amp;"|"&amp;COUNTIF(C$3:C249,C249))</f>
        <v/>
      </c>
      <c r="O249" s="1" t="str">
        <f aca="false">IF(OR(C249="",M249=""),"",C249&amp;"|"&amp;COUNTIFS(C$3:C249,C249,M$3:M249,"&lt;&gt;"))</f>
        <v/>
      </c>
    </row>
    <row r="250" customFormat="false" ht="15" hidden="false" customHeight="false" outlineLevel="0" collapsed="false">
      <c r="B250" s="7"/>
      <c r="C250" s="5"/>
      <c r="D250" s="9" t="str">
        <f aca="false">IF(C250="","",IFERROR(VLOOKUP(C250,EQUIPOS!$B$3:$C$18,2,0),"NO EXISTE"))</f>
        <v/>
      </c>
      <c r="E250" s="9" t="str">
        <f aca="false">IF(C250="","",IFERROR(VLOOKUP(C250,EQUIPOS!$B$3:$F$18,5,0),""))</f>
        <v/>
      </c>
      <c r="F250" s="5" t="str">
        <f aca="false">IF(C250="","",IFERROR(VLOOKUP(C250,EQUIPOS!$B$3:$G$18,6,0),""))</f>
        <v/>
      </c>
      <c r="G250" s="8"/>
      <c r="H250" s="5"/>
      <c r="I250" s="5"/>
      <c r="J250" s="9"/>
      <c r="K250" s="17" t="str">
        <f aca="false">IF(H250="","",IFERROR(SUMIFS(BD_PLAN!$I$3:$I$312,BD_PLAN!$B$3:$B$312,E250,BD_PLAN!$C$3:$C$312,INDEX(BD_CICLO!$F$3:$F$54,MATCH(E250&amp;"|"&amp;H250,BD_CICLO!$G$3:$G$54,0))),""))</f>
        <v/>
      </c>
      <c r="L250" s="9"/>
      <c r="M250" s="9"/>
      <c r="N250" s="1" t="str">
        <f aca="false">IF(C250="","",C250&amp;"|"&amp;COUNTIF(C$3:C250,C250))</f>
        <v/>
      </c>
      <c r="O250" s="1" t="str">
        <f aca="false">IF(OR(C250="",M250=""),"",C250&amp;"|"&amp;COUNTIFS(C$3:C250,C250,M$3:M250,"&lt;&gt;"))</f>
        <v/>
      </c>
    </row>
    <row r="251" customFormat="false" ht="15" hidden="false" customHeight="false" outlineLevel="0" collapsed="false">
      <c r="B251" s="7"/>
      <c r="C251" s="5"/>
      <c r="D251" s="9" t="str">
        <f aca="false">IF(C251="","",IFERROR(VLOOKUP(C251,EQUIPOS!$B$3:$C$18,2,0),"NO EXISTE"))</f>
        <v/>
      </c>
      <c r="E251" s="9" t="str">
        <f aca="false">IF(C251="","",IFERROR(VLOOKUP(C251,EQUIPOS!$B$3:$F$18,5,0),""))</f>
        <v/>
      </c>
      <c r="F251" s="5" t="str">
        <f aca="false">IF(C251="","",IFERROR(VLOOKUP(C251,EQUIPOS!$B$3:$G$18,6,0),""))</f>
        <v/>
      </c>
      <c r="G251" s="8"/>
      <c r="H251" s="5"/>
      <c r="I251" s="5"/>
      <c r="J251" s="9"/>
      <c r="K251" s="17" t="str">
        <f aca="false">IF(H251="","",IFERROR(SUMIFS(BD_PLAN!$I$3:$I$312,BD_PLAN!$B$3:$B$312,E251,BD_PLAN!$C$3:$C$312,INDEX(BD_CICLO!$F$3:$F$54,MATCH(E251&amp;"|"&amp;H251,BD_CICLO!$G$3:$G$54,0))),""))</f>
        <v/>
      </c>
      <c r="L251" s="9"/>
      <c r="M251" s="9"/>
      <c r="N251" s="1" t="str">
        <f aca="false">IF(C251="","",C251&amp;"|"&amp;COUNTIF(C$3:C251,C251))</f>
        <v/>
      </c>
      <c r="O251" s="1" t="str">
        <f aca="false">IF(OR(C251="",M251=""),"",C251&amp;"|"&amp;COUNTIFS(C$3:C251,C251,M$3:M251,"&lt;&gt;"))</f>
        <v/>
      </c>
    </row>
    <row r="252" customFormat="false" ht="15" hidden="false" customHeight="false" outlineLevel="0" collapsed="false">
      <c r="B252" s="7"/>
      <c r="C252" s="5"/>
      <c r="D252" s="9" t="str">
        <f aca="false">IF(C252="","",IFERROR(VLOOKUP(C252,EQUIPOS!$B$3:$C$18,2,0),"NO EXISTE"))</f>
        <v/>
      </c>
      <c r="E252" s="9" t="str">
        <f aca="false">IF(C252="","",IFERROR(VLOOKUP(C252,EQUIPOS!$B$3:$F$18,5,0),""))</f>
        <v/>
      </c>
      <c r="F252" s="5" t="str">
        <f aca="false">IF(C252="","",IFERROR(VLOOKUP(C252,EQUIPOS!$B$3:$G$18,6,0),""))</f>
        <v/>
      </c>
      <c r="G252" s="8"/>
      <c r="H252" s="5"/>
      <c r="I252" s="5"/>
      <c r="J252" s="9"/>
      <c r="K252" s="17" t="str">
        <f aca="false">IF(H252="","",IFERROR(SUMIFS(BD_PLAN!$I$3:$I$312,BD_PLAN!$B$3:$B$312,E252,BD_PLAN!$C$3:$C$312,INDEX(BD_CICLO!$F$3:$F$54,MATCH(E252&amp;"|"&amp;H252,BD_CICLO!$G$3:$G$54,0))),""))</f>
        <v/>
      </c>
      <c r="L252" s="9"/>
      <c r="M252" s="9"/>
      <c r="N252" s="1" t="str">
        <f aca="false">IF(C252="","",C252&amp;"|"&amp;COUNTIF(C$3:C252,C252))</f>
        <v/>
      </c>
      <c r="O252" s="1" t="str">
        <f aca="false">IF(OR(C252="",M252=""),"",C252&amp;"|"&amp;COUNTIFS(C$3:C252,C252,M$3:M252,"&lt;&gt;"))</f>
        <v/>
      </c>
    </row>
    <row r="253" customFormat="false" ht="15" hidden="false" customHeight="false" outlineLevel="0" collapsed="false">
      <c r="B253" s="7"/>
      <c r="C253" s="5"/>
      <c r="D253" s="9" t="str">
        <f aca="false">IF(C253="","",IFERROR(VLOOKUP(C253,EQUIPOS!$B$3:$C$18,2,0),"NO EXISTE"))</f>
        <v/>
      </c>
      <c r="E253" s="9" t="str">
        <f aca="false">IF(C253="","",IFERROR(VLOOKUP(C253,EQUIPOS!$B$3:$F$18,5,0),""))</f>
        <v/>
      </c>
      <c r="F253" s="5" t="str">
        <f aca="false">IF(C253="","",IFERROR(VLOOKUP(C253,EQUIPOS!$B$3:$G$18,6,0),""))</f>
        <v/>
      </c>
      <c r="G253" s="8"/>
      <c r="H253" s="5"/>
      <c r="I253" s="5"/>
      <c r="J253" s="9"/>
      <c r="K253" s="17" t="str">
        <f aca="false">IF(H253="","",IFERROR(SUMIFS(BD_PLAN!$I$3:$I$312,BD_PLAN!$B$3:$B$312,E253,BD_PLAN!$C$3:$C$312,INDEX(BD_CICLO!$F$3:$F$54,MATCH(E253&amp;"|"&amp;H253,BD_CICLO!$G$3:$G$54,0))),""))</f>
        <v/>
      </c>
      <c r="L253" s="9"/>
      <c r="M253" s="9"/>
      <c r="N253" s="1" t="str">
        <f aca="false">IF(C253="","",C253&amp;"|"&amp;COUNTIF(C$3:C253,C253))</f>
        <v/>
      </c>
      <c r="O253" s="1" t="str">
        <f aca="false">IF(OR(C253="",M253=""),"",C253&amp;"|"&amp;COUNTIFS(C$3:C253,C253,M$3:M253,"&lt;&gt;"))</f>
        <v/>
      </c>
    </row>
    <row r="254" customFormat="false" ht="15" hidden="false" customHeight="false" outlineLevel="0" collapsed="false">
      <c r="B254" s="7"/>
      <c r="C254" s="5"/>
      <c r="D254" s="9" t="str">
        <f aca="false">IF(C254="","",IFERROR(VLOOKUP(C254,EQUIPOS!$B$3:$C$18,2,0),"NO EXISTE"))</f>
        <v/>
      </c>
      <c r="E254" s="9" t="str">
        <f aca="false">IF(C254="","",IFERROR(VLOOKUP(C254,EQUIPOS!$B$3:$F$18,5,0),""))</f>
        <v/>
      </c>
      <c r="F254" s="5" t="str">
        <f aca="false">IF(C254="","",IFERROR(VLOOKUP(C254,EQUIPOS!$B$3:$G$18,6,0),""))</f>
        <v/>
      </c>
      <c r="G254" s="8"/>
      <c r="H254" s="5"/>
      <c r="I254" s="5"/>
      <c r="J254" s="9"/>
      <c r="K254" s="17" t="str">
        <f aca="false">IF(H254="","",IFERROR(SUMIFS(BD_PLAN!$I$3:$I$312,BD_PLAN!$B$3:$B$312,E254,BD_PLAN!$C$3:$C$312,INDEX(BD_CICLO!$F$3:$F$54,MATCH(E254&amp;"|"&amp;H254,BD_CICLO!$G$3:$G$54,0))),""))</f>
        <v/>
      </c>
      <c r="L254" s="9"/>
      <c r="M254" s="9"/>
      <c r="N254" s="1" t="str">
        <f aca="false">IF(C254="","",C254&amp;"|"&amp;COUNTIF(C$3:C254,C254))</f>
        <v/>
      </c>
      <c r="O254" s="1" t="str">
        <f aca="false">IF(OR(C254="",M254=""),"",C254&amp;"|"&amp;COUNTIFS(C$3:C254,C254,M$3:M254,"&lt;&gt;"))</f>
        <v/>
      </c>
    </row>
    <row r="255" customFormat="false" ht="15" hidden="false" customHeight="false" outlineLevel="0" collapsed="false">
      <c r="B255" s="7"/>
      <c r="C255" s="5"/>
      <c r="D255" s="9" t="str">
        <f aca="false">IF(C255="","",IFERROR(VLOOKUP(C255,EQUIPOS!$B$3:$C$18,2,0),"NO EXISTE"))</f>
        <v/>
      </c>
      <c r="E255" s="9" t="str">
        <f aca="false">IF(C255="","",IFERROR(VLOOKUP(C255,EQUIPOS!$B$3:$F$18,5,0),""))</f>
        <v/>
      </c>
      <c r="F255" s="5" t="str">
        <f aca="false">IF(C255="","",IFERROR(VLOOKUP(C255,EQUIPOS!$B$3:$G$18,6,0),""))</f>
        <v/>
      </c>
      <c r="G255" s="8"/>
      <c r="H255" s="5"/>
      <c r="I255" s="5"/>
      <c r="J255" s="9"/>
      <c r="K255" s="17" t="str">
        <f aca="false">IF(H255="","",IFERROR(SUMIFS(BD_PLAN!$I$3:$I$312,BD_PLAN!$B$3:$B$312,E255,BD_PLAN!$C$3:$C$312,INDEX(BD_CICLO!$F$3:$F$54,MATCH(E255&amp;"|"&amp;H255,BD_CICLO!$G$3:$G$54,0))),""))</f>
        <v/>
      </c>
      <c r="L255" s="9"/>
      <c r="M255" s="9"/>
      <c r="N255" s="1" t="str">
        <f aca="false">IF(C255="","",C255&amp;"|"&amp;COUNTIF(C$3:C255,C255))</f>
        <v/>
      </c>
      <c r="O255" s="1" t="str">
        <f aca="false">IF(OR(C255="",M255=""),"",C255&amp;"|"&amp;COUNTIFS(C$3:C255,C255,M$3:M255,"&lt;&gt;"))</f>
        <v/>
      </c>
    </row>
    <row r="256" customFormat="false" ht="15" hidden="false" customHeight="false" outlineLevel="0" collapsed="false">
      <c r="B256" s="7"/>
      <c r="C256" s="5"/>
      <c r="D256" s="9" t="str">
        <f aca="false">IF(C256="","",IFERROR(VLOOKUP(C256,EQUIPOS!$B$3:$C$18,2,0),"NO EXISTE"))</f>
        <v/>
      </c>
      <c r="E256" s="9" t="str">
        <f aca="false">IF(C256="","",IFERROR(VLOOKUP(C256,EQUIPOS!$B$3:$F$18,5,0),""))</f>
        <v/>
      </c>
      <c r="F256" s="5" t="str">
        <f aca="false">IF(C256="","",IFERROR(VLOOKUP(C256,EQUIPOS!$B$3:$G$18,6,0),""))</f>
        <v/>
      </c>
      <c r="G256" s="8"/>
      <c r="H256" s="5"/>
      <c r="I256" s="5"/>
      <c r="J256" s="9"/>
      <c r="K256" s="17" t="str">
        <f aca="false">IF(H256="","",IFERROR(SUMIFS(BD_PLAN!$I$3:$I$312,BD_PLAN!$B$3:$B$312,E256,BD_PLAN!$C$3:$C$312,INDEX(BD_CICLO!$F$3:$F$54,MATCH(E256&amp;"|"&amp;H256,BD_CICLO!$G$3:$G$54,0))),""))</f>
        <v/>
      </c>
      <c r="L256" s="9"/>
      <c r="M256" s="9"/>
      <c r="N256" s="1" t="str">
        <f aca="false">IF(C256="","",C256&amp;"|"&amp;COUNTIF(C$3:C256,C256))</f>
        <v/>
      </c>
      <c r="O256" s="1" t="str">
        <f aca="false">IF(OR(C256="",M256=""),"",C256&amp;"|"&amp;COUNTIFS(C$3:C256,C256,M$3:M256,"&lt;&gt;"))</f>
        <v/>
      </c>
    </row>
    <row r="257" customFormat="false" ht="15" hidden="false" customHeight="false" outlineLevel="0" collapsed="false">
      <c r="B257" s="7"/>
      <c r="C257" s="5"/>
      <c r="D257" s="9" t="str">
        <f aca="false">IF(C257="","",IFERROR(VLOOKUP(C257,EQUIPOS!$B$3:$C$18,2,0),"NO EXISTE"))</f>
        <v/>
      </c>
      <c r="E257" s="9" t="str">
        <f aca="false">IF(C257="","",IFERROR(VLOOKUP(C257,EQUIPOS!$B$3:$F$18,5,0),""))</f>
        <v/>
      </c>
      <c r="F257" s="5" t="str">
        <f aca="false">IF(C257="","",IFERROR(VLOOKUP(C257,EQUIPOS!$B$3:$G$18,6,0),""))</f>
        <v/>
      </c>
      <c r="G257" s="8"/>
      <c r="H257" s="5"/>
      <c r="I257" s="5"/>
      <c r="J257" s="9"/>
      <c r="K257" s="17" t="str">
        <f aca="false">IF(H257="","",IFERROR(SUMIFS(BD_PLAN!$I$3:$I$312,BD_PLAN!$B$3:$B$312,E257,BD_PLAN!$C$3:$C$312,INDEX(BD_CICLO!$F$3:$F$54,MATCH(E257&amp;"|"&amp;H257,BD_CICLO!$G$3:$G$54,0))),""))</f>
        <v/>
      </c>
      <c r="L257" s="9"/>
      <c r="M257" s="9"/>
      <c r="N257" s="1" t="str">
        <f aca="false">IF(C257="","",C257&amp;"|"&amp;COUNTIF(C$3:C257,C257))</f>
        <v/>
      </c>
      <c r="O257" s="1" t="str">
        <f aca="false">IF(OR(C257="",M257=""),"",C257&amp;"|"&amp;COUNTIFS(C$3:C257,C257,M$3:M257,"&lt;&gt;"))</f>
        <v/>
      </c>
    </row>
    <row r="258" customFormat="false" ht="15" hidden="false" customHeight="false" outlineLevel="0" collapsed="false">
      <c r="B258" s="7"/>
      <c r="C258" s="5"/>
      <c r="D258" s="9" t="str">
        <f aca="false">IF(C258="","",IFERROR(VLOOKUP(C258,EQUIPOS!$B$3:$C$18,2,0),"NO EXISTE"))</f>
        <v/>
      </c>
      <c r="E258" s="9" t="str">
        <f aca="false">IF(C258="","",IFERROR(VLOOKUP(C258,EQUIPOS!$B$3:$F$18,5,0),""))</f>
        <v/>
      </c>
      <c r="F258" s="5" t="str">
        <f aca="false">IF(C258="","",IFERROR(VLOOKUP(C258,EQUIPOS!$B$3:$G$18,6,0),""))</f>
        <v/>
      </c>
      <c r="G258" s="8"/>
      <c r="H258" s="5"/>
      <c r="I258" s="5"/>
      <c r="J258" s="9"/>
      <c r="K258" s="17" t="str">
        <f aca="false">IF(H258="","",IFERROR(SUMIFS(BD_PLAN!$I$3:$I$312,BD_PLAN!$B$3:$B$312,E258,BD_PLAN!$C$3:$C$312,INDEX(BD_CICLO!$F$3:$F$54,MATCH(E258&amp;"|"&amp;H258,BD_CICLO!$G$3:$G$54,0))),""))</f>
        <v/>
      </c>
      <c r="L258" s="9"/>
      <c r="M258" s="9"/>
      <c r="N258" s="1" t="str">
        <f aca="false">IF(C258="","",C258&amp;"|"&amp;COUNTIF(C$3:C258,C258))</f>
        <v/>
      </c>
      <c r="O258" s="1" t="str">
        <f aca="false">IF(OR(C258="",M258=""),"",C258&amp;"|"&amp;COUNTIFS(C$3:C258,C258,M$3:M258,"&lt;&gt;"))</f>
        <v/>
      </c>
    </row>
    <row r="259" customFormat="false" ht="15" hidden="false" customHeight="false" outlineLevel="0" collapsed="false">
      <c r="B259" s="7"/>
      <c r="C259" s="5"/>
      <c r="D259" s="9" t="str">
        <f aca="false">IF(C259="","",IFERROR(VLOOKUP(C259,EQUIPOS!$B$3:$C$18,2,0),"NO EXISTE"))</f>
        <v/>
      </c>
      <c r="E259" s="9" t="str">
        <f aca="false">IF(C259="","",IFERROR(VLOOKUP(C259,EQUIPOS!$B$3:$F$18,5,0),""))</f>
        <v/>
      </c>
      <c r="F259" s="5" t="str">
        <f aca="false">IF(C259="","",IFERROR(VLOOKUP(C259,EQUIPOS!$B$3:$G$18,6,0),""))</f>
        <v/>
      </c>
      <c r="G259" s="8"/>
      <c r="H259" s="5"/>
      <c r="I259" s="5"/>
      <c r="J259" s="9"/>
      <c r="K259" s="17" t="str">
        <f aca="false">IF(H259="","",IFERROR(SUMIFS(BD_PLAN!$I$3:$I$312,BD_PLAN!$B$3:$B$312,E259,BD_PLAN!$C$3:$C$312,INDEX(BD_CICLO!$F$3:$F$54,MATCH(E259&amp;"|"&amp;H259,BD_CICLO!$G$3:$G$54,0))),""))</f>
        <v/>
      </c>
      <c r="L259" s="9"/>
      <c r="M259" s="9"/>
      <c r="N259" s="1" t="str">
        <f aca="false">IF(C259="","",C259&amp;"|"&amp;COUNTIF(C$3:C259,C259))</f>
        <v/>
      </c>
      <c r="O259" s="1" t="str">
        <f aca="false">IF(OR(C259="",M259=""),"",C259&amp;"|"&amp;COUNTIFS(C$3:C259,C259,M$3:M259,"&lt;&gt;"))</f>
        <v/>
      </c>
    </row>
    <row r="260" customFormat="false" ht="15" hidden="false" customHeight="false" outlineLevel="0" collapsed="false">
      <c r="B260" s="7"/>
      <c r="C260" s="5"/>
      <c r="D260" s="9" t="str">
        <f aca="false">IF(C260="","",IFERROR(VLOOKUP(C260,EQUIPOS!$B$3:$C$18,2,0),"NO EXISTE"))</f>
        <v/>
      </c>
      <c r="E260" s="9" t="str">
        <f aca="false">IF(C260="","",IFERROR(VLOOKUP(C260,EQUIPOS!$B$3:$F$18,5,0),""))</f>
        <v/>
      </c>
      <c r="F260" s="5" t="str">
        <f aca="false">IF(C260="","",IFERROR(VLOOKUP(C260,EQUIPOS!$B$3:$G$18,6,0),""))</f>
        <v/>
      </c>
      <c r="G260" s="8"/>
      <c r="H260" s="5"/>
      <c r="I260" s="5"/>
      <c r="J260" s="9"/>
      <c r="K260" s="17" t="str">
        <f aca="false">IF(H260="","",IFERROR(SUMIFS(BD_PLAN!$I$3:$I$312,BD_PLAN!$B$3:$B$312,E260,BD_PLAN!$C$3:$C$312,INDEX(BD_CICLO!$F$3:$F$54,MATCH(E260&amp;"|"&amp;H260,BD_CICLO!$G$3:$G$54,0))),""))</f>
        <v/>
      </c>
      <c r="L260" s="9"/>
      <c r="M260" s="9"/>
      <c r="N260" s="1" t="str">
        <f aca="false">IF(C260="","",C260&amp;"|"&amp;COUNTIF(C$3:C260,C260))</f>
        <v/>
      </c>
      <c r="O260" s="1" t="str">
        <f aca="false">IF(OR(C260="",M260=""),"",C260&amp;"|"&amp;COUNTIFS(C$3:C260,C260,M$3:M260,"&lt;&gt;"))</f>
        <v/>
      </c>
    </row>
    <row r="261" customFormat="false" ht="15" hidden="false" customHeight="false" outlineLevel="0" collapsed="false">
      <c r="B261" s="7"/>
      <c r="C261" s="5"/>
      <c r="D261" s="9" t="str">
        <f aca="false">IF(C261="","",IFERROR(VLOOKUP(C261,EQUIPOS!$B$3:$C$18,2,0),"NO EXISTE"))</f>
        <v/>
      </c>
      <c r="E261" s="9" t="str">
        <f aca="false">IF(C261="","",IFERROR(VLOOKUP(C261,EQUIPOS!$B$3:$F$18,5,0),""))</f>
        <v/>
      </c>
      <c r="F261" s="5" t="str">
        <f aca="false">IF(C261="","",IFERROR(VLOOKUP(C261,EQUIPOS!$B$3:$G$18,6,0),""))</f>
        <v/>
      </c>
      <c r="G261" s="8"/>
      <c r="H261" s="5"/>
      <c r="I261" s="5"/>
      <c r="J261" s="9"/>
      <c r="K261" s="17" t="str">
        <f aca="false">IF(H261="","",IFERROR(SUMIFS(BD_PLAN!$I$3:$I$312,BD_PLAN!$B$3:$B$312,E261,BD_PLAN!$C$3:$C$312,INDEX(BD_CICLO!$F$3:$F$54,MATCH(E261&amp;"|"&amp;H261,BD_CICLO!$G$3:$G$54,0))),""))</f>
        <v/>
      </c>
      <c r="L261" s="9"/>
      <c r="M261" s="9"/>
      <c r="N261" s="1" t="str">
        <f aca="false">IF(C261="","",C261&amp;"|"&amp;COUNTIF(C$3:C261,C261))</f>
        <v/>
      </c>
      <c r="O261" s="1" t="str">
        <f aca="false">IF(OR(C261="",M261=""),"",C261&amp;"|"&amp;COUNTIFS(C$3:C261,C261,M$3:M261,"&lt;&gt;"))</f>
        <v/>
      </c>
    </row>
    <row r="262" customFormat="false" ht="15" hidden="false" customHeight="false" outlineLevel="0" collapsed="false">
      <c r="B262" s="7"/>
      <c r="C262" s="5"/>
      <c r="D262" s="9" t="str">
        <f aca="false">IF(C262="","",IFERROR(VLOOKUP(C262,EQUIPOS!$B$3:$C$18,2,0),"NO EXISTE"))</f>
        <v/>
      </c>
      <c r="E262" s="9" t="str">
        <f aca="false">IF(C262="","",IFERROR(VLOOKUP(C262,EQUIPOS!$B$3:$F$18,5,0),""))</f>
        <v/>
      </c>
      <c r="F262" s="5" t="str">
        <f aca="false">IF(C262="","",IFERROR(VLOOKUP(C262,EQUIPOS!$B$3:$G$18,6,0),""))</f>
        <v/>
      </c>
      <c r="G262" s="8"/>
      <c r="H262" s="5"/>
      <c r="I262" s="5"/>
      <c r="J262" s="9"/>
      <c r="K262" s="17" t="str">
        <f aca="false">IF(H262="","",IFERROR(SUMIFS(BD_PLAN!$I$3:$I$312,BD_PLAN!$B$3:$B$312,E262,BD_PLAN!$C$3:$C$312,INDEX(BD_CICLO!$F$3:$F$54,MATCH(E262&amp;"|"&amp;H262,BD_CICLO!$G$3:$G$54,0))),""))</f>
        <v/>
      </c>
      <c r="L262" s="9"/>
      <c r="M262" s="9"/>
      <c r="N262" s="1" t="str">
        <f aca="false">IF(C262="","",C262&amp;"|"&amp;COUNTIF(C$3:C262,C262))</f>
        <v/>
      </c>
      <c r="O262" s="1" t="str">
        <f aca="false">IF(OR(C262="",M262=""),"",C262&amp;"|"&amp;COUNTIFS(C$3:C262,C262,M$3:M262,"&lt;&gt;"))</f>
        <v/>
      </c>
    </row>
    <row r="263" customFormat="false" ht="15" hidden="false" customHeight="false" outlineLevel="0" collapsed="false">
      <c r="B263" s="7"/>
      <c r="C263" s="5"/>
      <c r="D263" s="9" t="str">
        <f aca="false">IF(C263="","",IFERROR(VLOOKUP(C263,EQUIPOS!$B$3:$C$18,2,0),"NO EXISTE"))</f>
        <v/>
      </c>
      <c r="E263" s="9" t="str">
        <f aca="false">IF(C263="","",IFERROR(VLOOKUP(C263,EQUIPOS!$B$3:$F$18,5,0),""))</f>
        <v/>
      </c>
      <c r="F263" s="5" t="str">
        <f aca="false">IF(C263="","",IFERROR(VLOOKUP(C263,EQUIPOS!$B$3:$G$18,6,0),""))</f>
        <v/>
      </c>
      <c r="G263" s="8"/>
      <c r="H263" s="5"/>
      <c r="I263" s="5"/>
      <c r="J263" s="9"/>
      <c r="K263" s="17" t="str">
        <f aca="false">IF(H263="","",IFERROR(SUMIFS(BD_PLAN!$I$3:$I$312,BD_PLAN!$B$3:$B$312,E263,BD_PLAN!$C$3:$C$312,INDEX(BD_CICLO!$F$3:$F$54,MATCH(E263&amp;"|"&amp;H263,BD_CICLO!$G$3:$G$54,0))),""))</f>
        <v/>
      </c>
      <c r="L263" s="9"/>
      <c r="M263" s="9"/>
      <c r="N263" s="1" t="str">
        <f aca="false">IF(C263="","",C263&amp;"|"&amp;COUNTIF(C$3:C263,C263))</f>
        <v/>
      </c>
      <c r="O263" s="1" t="str">
        <f aca="false">IF(OR(C263="",M263=""),"",C263&amp;"|"&amp;COUNTIFS(C$3:C263,C263,M$3:M263,"&lt;&gt;"))</f>
        <v/>
      </c>
    </row>
    <row r="264" customFormat="false" ht="15" hidden="false" customHeight="false" outlineLevel="0" collapsed="false">
      <c r="B264" s="7"/>
      <c r="C264" s="5"/>
      <c r="D264" s="9" t="str">
        <f aca="false">IF(C264="","",IFERROR(VLOOKUP(C264,EQUIPOS!$B$3:$C$18,2,0),"NO EXISTE"))</f>
        <v/>
      </c>
      <c r="E264" s="9" t="str">
        <f aca="false">IF(C264="","",IFERROR(VLOOKUP(C264,EQUIPOS!$B$3:$F$18,5,0),""))</f>
        <v/>
      </c>
      <c r="F264" s="5" t="str">
        <f aca="false">IF(C264="","",IFERROR(VLOOKUP(C264,EQUIPOS!$B$3:$G$18,6,0),""))</f>
        <v/>
      </c>
      <c r="G264" s="8"/>
      <c r="H264" s="5"/>
      <c r="I264" s="5"/>
      <c r="J264" s="9"/>
      <c r="K264" s="17" t="str">
        <f aca="false">IF(H264="","",IFERROR(SUMIFS(BD_PLAN!$I$3:$I$312,BD_PLAN!$B$3:$B$312,E264,BD_PLAN!$C$3:$C$312,INDEX(BD_CICLO!$F$3:$F$54,MATCH(E264&amp;"|"&amp;H264,BD_CICLO!$G$3:$G$54,0))),""))</f>
        <v/>
      </c>
      <c r="L264" s="9"/>
      <c r="M264" s="9"/>
      <c r="N264" s="1" t="str">
        <f aca="false">IF(C264="","",C264&amp;"|"&amp;COUNTIF(C$3:C264,C264))</f>
        <v/>
      </c>
      <c r="O264" s="1" t="str">
        <f aca="false">IF(OR(C264="",M264=""),"",C264&amp;"|"&amp;COUNTIFS(C$3:C264,C264,M$3:M264,"&lt;&gt;"))</f>
        <v/>
      </c>
    </row>
    <row r="265" customFormat="false" ht="15" hidden="false" customHeight="false" outlineLevel="0" collapsed="false">
      <c r="B265" s="7"/>
      <c r="C265" s="5"/>
      <c r="D265" s="9" t="str">
        <f aca="false">IF(C265="","",IFERROR(VLOOKUP(C265,EQUIPOS!$B$3:$C$18,2,0),"NO EXISTE"))</f>
        <v/>
      </c>
      <c r="E265" s="9" t="str">
        <f aca="false">IF(C265="","",IFERROR(VLOOKUP(C265,EQUIPOS!$B$3:$F$18,5,0),""))</f>
        <v/>
      </c>
      <c r="F265" s="5" t="str">
        <f aca="false">IF(C265="","",IFERROR(VLOOKUP(C265,EQUIPOS!$B$3:$G$18,6,0),""))</f>
        <v/>
      </c>
      <c r="G265" s="8"/>
      <c r="H265" s="5"/>
      <c r="I265" s="5"/>
      <c r="J265" s="9"/>
      <c r="K265" s="17" t="str">
        <f aca="false">IF(H265="","",IFERROR(SUMIFS(BD_PLAN!$I$3:$I$312,BD_PLAN!$B$3:$B$312,E265,BD_PLAN!$C$3:$C$312,INDEX(BD_CICLO!$F$3:$F$54,MATCH(E265&amp;"|"&amp;H265,BD_CICLO!$G$3:$G$54,0))),""))</f>
        <v/>
      </c>
      <c r="L265" s="9"/>
      <c r="M265" s="9"/>
      <c r="N265" s="1" t="str">
        <f aca="false">IF(C265="","",C265&amp;"|"&amp;COUNTIF(C$3:C265,C265))</f>
        <v/>
      </c>
      <c r="O265" s="1" t="str">
        <f aca="false">IF(OR(C265="",M265=""),"",C265&amp;"|"&amp;COUNTIFS(C$3:C265,C265,M$3:M265,"&lt;&gt;"))</f>
        <v/>
      </c>
    </row>
    <row r="266" customFormat="false" ht="15" hidden="false" customHeight="false" outlineLevel="0" collapsed="false">
      <c r="B266" s="7"/>
      <c r="C266" s="5"/>
      <c r="D266" s="9" t="str">
        <f aca="false">IF(C266="","",IFERROR(VLOOKUP(C266,EQUIPOS!$B$3:$C$18,2,0),"NO EXISTE"))</f>
        <v/>
      </c>
      <c r="E266" s="9" t="str">
        <f aca="false">IF(C266="","",IFERROR(VLOOKUP(C266,EQUIPOS!$B$3:$F$18,5,0),""))</f>
        <v/>
      </c>
      <c r="F266" s="5" t="str">
        <f aca="false">IF(C266="","",IFERROR(VLOOKUP(C266,EQUIPOS!$B$3:$G$18,6,0),""))</f>
        <v/>
      </c>
      <c r="G266" s="8"/>
      <c r="H266" s="5"/>
      <c r="I266" s="5"/>
      <c r="J266" s="9"/>
      <c r="K266" s="17" t="str">
        <f aca="false">IF(H266="","",IFERROR(SUMIFS(BD_PLAN!$I$3:$I$312,BD_PLAN!$B$3:$B$312,E266,BD_PLAN!$C$3:$C$312,INDEX(BD_CICLO!$F$3:$F$54,MATCH(E266&amp;"|"&amp;H266,BD_CICLO!$G$3:$G$54,0))),""))</f>
        <v/>
      </c>
      <c r="L266" s="9"/>
      <c r="M266" s="9"/>
      <c r="N266" s="1" t="str">
        <f aca="false">IF(C266="","",C266&amp;"|"&amp;COUNTIF(C$3:C266,C266))</f>
        <v/>
      </c>
      <c r="O266" s="1" t="str">
        <f aca="false">IF(OR(C266="",M266=""),"",C266&amp;"|"&amp;COUNTIFS(C$3:C266,C266,M$3:M266,"&lt;&gt;"))</f>
        <v/>
      </c>
    </row>
    <row r="267" customFormat="false" ht="15" hidden="false" customHeight="false" outlineLevel="0" collapsed="false">
      <c r="B267" s="7"/>
      <c r="C267" s="5"/>
      <c r="D267" s="9" t="str">
        <f aca="false">IF(C267="","",IFERROR(VLOOKUP(C267,EQUIPOS!$B$3:$C$18,2,0),"NO EXISTE"))</f>
        <v/>
      </c>
      <c r="E267" s="9" t="str">
        <f aca="false">IF(C267="","",IFERROR(VLOOKUP(C267,EQUIPOS!$B$3:$F$18,5,0),""))</f>
        <v/>
      </c>
      <c r="F267" s="5" t="str">
        <f aca="false">IF(C267="","",IFERROR(VLOOKUP(C267,EQUIPOS!$B$3:$G$18,6,0),""))</f>
        <v/>
      </c>
      <c r="G267" s="8"/>
      <c r="H267" s="5"/>
      <c r="I267" s="5"/>
      <c r="J267" s="9"/>
      <c r="K267" s="17" t="str">
        <f aca="false">IF(H267="","",IFERROR(SUMIFS(BD_PLAN!$I$3:$I$312,BD_PLAN!$B$3:$B$312,E267,BD_PLAN!$C$3:$C$312,INDEX(BD_CICLO!$F$3:$F$54,MATCH(E267&amp;"|"&amp;H267,BD_CICLO!$G$3:$G$54,0))),""))</f>
        <v/>
      </c>
      <c r="L267" s="9"/>
      <c r="M267" s="9"/>
      <c r="N267" s="1" t="str">
        <f aca="false">IF(C267="","",C267&amp;"|"&amp;COUNTIF(C$3:C267,C267))</f>
        <v/>
      </c>
      <c r="O267" s="1" t="str">
        <f aca="false">IF(OR(C267="",M267=""),"",C267&amp;"|"&amp;COUNTIFS(C$3:C267,C267,M$3:M267,"&lt;&gt;"))</f>
        <v/>
      </c>
    </row>
    <row r="268" customFormat="false" ht="15" hidden="false" customHeight="false" outlineLevel="0" collapsed="false">
      <c r="B268" s="7"/>
      <c r="C268" s="5"/>
      <c r="D268" s="9" t="str">
        <f aca="false">IF(C268="","",IFERROR(VLOOKUP(C268,EQUIPOS!$B$3:$C$18,2,0),"NO EXISTE"))</f>
        <v/>
      </c>
      <c r="E268" s="9" t="str">
        <f aca="false">IF(C268="","",IFERROR(VLOOKUP(C268,EQUIPOS!$B$3:$F$18,5,0),""))</f>
        <v/>
      </c>
      <c r="F268" s="5" t="str">
        <f aca="false">IF(C268="","",IFERROR(VLOOKUP(C268,EQUIPOS!$B$3:$G$18,6,0),""))</f>
        <v/>
      </c>
      <c r="G268" s="8"/>
      <c r="H268" s="5"/>
      <c r="I268" s="5"/>
      <c r="J268" s="9"/>
      <c r="K268" s="17" t="str">
        <f aca="false">IF(H268="","",IFERROR(SUMIFS(BD_PLAN!$I$3:$I$312,BD_PLAN!$B$3:$B$312,E268,BD_PLAN!$C$3:$C$312,INDEX(BD_CICLO!$F$3:$F$54,MATCH(E268&amp;"|"&amp;H268,BD_CICLO!$G$3:$G$54,0))),""))</f>
        <v/>
      </c>
      <c r="L268" s="9"/>
      <c r="M268" s="9"/>
      <c r="N268" s="1" t="str">
        <f aca="false">IF(C268="","",C268&amp;"|"&amp;COUNTIF(C$3:C268,C268))</f>
        <v/>
      </c>
      <c r="O268" s="1" t="str">
        <f aca="false">IF(OR(C268="",M268=""),"",C268&amp;"|"&amp;COUNTIFS(C$3:C268,C268,M$3:M268,"&lt;&gt;"))</f>
        <v/>
      </c>
    </row>
    <row r="269" customFormat="false" ht="15" hidden="false" customHeight="false" outlineLevel="0" collapsed="false">
      <c r="B269" s="7"/>
      <c r="C269" s="5"/>
      <c r="D269" s="9" t="str">
        <f aca="false">IF(C269="","",IFERROR(VLOOKUP(C269,EQUIPOS!$B$3:$C$18,2,0),"NO EXISTE"))</f>
        <v/>
      </c>
      <c r="E269" s="9" t="str">
        <f aca="false">IF(C269="","",IFERROR(VLOOKUP(C269,EQUIPOS!$B$3:$F$18,5,0),""))</f>
        <v/>
      </c>
      <c r="F269" s="5" t="str">
        <f aca="false">IF(C269="","",IFERROR(VLOOKUP(C269,EQUIPOS!$B$3:$G$18,6,0),""))</f>
        <v/>
      </c>
      <c r="G269" s="8"/>
      <c r="H269" s="5"/>
      <c r="I269" s="5"/>
      <c r="J269" s="9"/>
      <c r="K269" s="17" t="str">
        <f aca="false">IF(H269="","",IFERROR(SUMIFS(BD_PLAN!$I$3:$I$312,BD_PLAN!$B$3:$B$312,E269,BD_PLAN!$C$3:$C$312,INDEX(BD_CICLO!$F$3:$F$54,MATCH(E269&amp;"|"&amp;H269,BD_CICLO!$G$3:$G$54,0))),""))</f>
        <v/>
      </c>
      <c r="L269" s="9"/>
      <c r="M269" s="9"/>
      <c r="N269" s="1" t="str">
        <f aca="false">IF(C269="","",C269&amp;"|"&amp;COUNTIF(C$3:C269,C269))</f>
        <v/>
      </c>
      <c r="O269" s="1" t="str">
        <f aca="false">IF(OR(C269="",M269=""),"",C269&amp;"|"&amp;COUNTIFS(C$3:C269,C269,M$3:M269,"&lt;&gt;"))</f>
        <v/>
      </c>
    </row>
    <row r="270" customFormat="false" ht="15" hidden="false" customHeight="false" outlineLevel="0" collapsed="false">
      <c r="B270" s="7"/>
      <c r="C270" s="5"/>
      <c r="D270" s="9" t="str">
        <f aca="false">IF(C270="","",IFERROR(VLOOKUP(C270,EQUIPOS!$B$3:$C$18,2,0),"NO EXISTE"))</f>
        <v/>
      </c>
      <c r="E270" s="9" t="str">
        <f aca="false">IF(C270="","",IFERROR(VLOOKUP(C270,EQUIPOS!$B$3:$F$18,5,0),""))</f>
        <v/>
      </c>
      <c r="F270" s="5" t="str">
        <f aca="false">IF(C270="","",IFERROR(VLOOKUP(C270,EQUIPOS!$B$3:$G$18,6,0),""))</f>
        <v/>
      </c>
      <c r="G270" s="8"/>
      <c r="H270" s="5"/>
      <c r="I270" s="5"/>
      <c r="J270" s="9"/>
      <c r="K270" s="17" t="str">
        <f aca="false">IF(H270="","",IFERROR(SUMIFS(BD_PLAN!$I$3:$I$312,BD_PLAN!$B$3:$B$312,E270,BD_PLAN!$C$3:$C$312,INDEX(BD_CICLO!$F$3:$F$54,MATCH(E270&amp;"|"&amp;H270,BD_CICLO!$G$3:$G$54,0))),""))</f>
        <v/>
      </c>
      <c r="L270" s="9"/>
      <c r="M270" s="9"/>
      <c r="N270" s="1" t="str">
        <f aca="false">IF(C270="","",C270&amp;"|"&amp;COUNTIF(C$3:C270,C270))</f>
        <v/>
      </c>
      <c r="O270" s="1" t="str">
        <f aca="false">IF(OR(C270="",M270=""),"",C270&amp;"|"&amp;COUNTIFS(C$3:C270,C270,M$3:M270,"&lt;&gt;"))</f>
        <v/>
      </c>
    </row>
    <row r="271" customFormat="false" ht="15" hidden="false" customHeight="false" outlineLevel="0" collapsed="false">
      <c r="B271" s="7"/>
      <c r="C271" s="5"/>
      <c r="D271" s="9" t="str">
        <f aca="false">IF(C271="","",IFERROR(VLOOKUP(C271,EQUIPOS!$B$3:$C$18,2,0),"NO EXISTE"))</f>
        <v/>
      </c>
      <c r="E271" s="9" t="str">
        <f aca="false">IF(C271="","",IFERROR(VLOOKUP(C271,EQUIPOS!$B$3:$F$18,5,0),""))</f>
        <v/>
      </c>
      <c r="F271" s="5" t="str">
        <f aca="false">IF(C271="","",IFERROR(VLOOKUP(C271,EQUIPOS!$B$3:$G$18,6,0),""))</f>
        <v/>
      </c>
      <c r="G271" s="8"/>
      <c r="H271" s="5"/>
      <c r="I271" s="5"/>
      <c r="J271" s="9"/>
      <c r="K271" s="17" t="str">
        <f aca="false">IF(H271="","",IFERROR(SUMIFS(BD_PLAN!$I$3:$I$312,BD_PLAN!$B$3:$B$312,E271,BD_PLAN!$C$3:$C$312,INDEX(BD_CICLO!$F$3:$F$54,MATCH(E271&amp;"|"&amp;H271,BD_CICLO!$G$3:$G$54,0))),""))</f>
        <v/>
      </c>
      <c r="L271" s="9"/>
      <c r="M271" s="9"/>
      <c r="N271" s="1" t="str">
        <f aca="false">IF(C271="","",C271&amp;"|"&amp;COUNTIF(C$3:C271,C271))</f>
        <v/>
      </c>
      <c r="O271" s="1" t="str">
        <f aca="false">IF(OR(C271="",M271=""),"",C271&amp;"|"&amp;COUNTIFS(C$3:C271,C271,M$3:M271,"&lt;&gt;"))</f>
        <v/>
      </c>
    </row>
    <row r="272" customFormat="false" ht="15" hidden="false" customHeight="false" outlineLevel="0" collapsed="false">
      <c r="B272" s="7"/>
      <c r="C272" s="5"/>
      <c r="D272" s="9" t="str">
        <f aca="false">IF(C272="","",IFERROR(VLOOKUP(C272,EQUIPOS!$B$3:$C$18,2,0),"NO EXISTE"))</f>
        <v/>
      </c>
      <c r="E272" s="9" t="str">
        <f aca="false">IF(C272="","",IFERROR(VLOOKUP(C272,EQUIPOS!$B$3:$F$18,5,0),""))</f>
        <v/>
      </c>
      <c r="F272" s="5" t="str">
        <f aca="false">IF(C272="","",IFERROR(VLOOKUP(C272,EQUIPOS!$B$3:$G$18,6,0),""))</f>
        <v/>
      </c>
      <c r="G272" s="8"/>
      <c r="H272" s="5"/>
      <c r="I272" s="5"/>
      <c r="J272" s="9"/>
      <c r="K272" s="17" t="str">
        <f aca="false">IF(H272="","",IFERROR(SUMIFS(BD_PLAN!$I$3:$I$312,BD_PLAN!$B$3:$B$312,E272,BD_PLAN!$C$3:$C$312,INDEX(BD_CICLO!$F$3:$F$54,MATCH(E272&amp;"|"&amp;H272,BD_CICLO!$G$3:$G$54,0))),""))</f>
        <v/>
      </c>
      <c r="L272" s="9"/>
      <c r="M272" s="9"/>
      <c r="N272" s="1" t="str">
        <f aca="false">IF(C272="","",C272&amp;"|"&amp;COUNTIF(C$3:C272,C272))</f>
        <v/>
      </c>
      <c r="O272" s="1" t="str">
        <f aca="false">IF(OR(C272="",M272=""),"",C272&amp;"|"&amp;COUNTIFS(C$3:C272,C272,M$3:M272,"&lt;&gt;"))</f>
        <v/>
      </c>
    </row>
    <row r="273" customFormat="false" ht="15" hidden="false" customHeight="false" outlineLevel="0" collapsed="false">
      <c r="B273" s="7"/>
      <c r="C273" s="5"/>
      <c r="D273" s="9" t="str">
        <f aca="false">IF(C273="","",IFERROR(VLOOKUP(C273,EQUIPOS!$B$3:$C$18,2,0),"NO EXISTE"))</f>
        <v/>
      </c>
      <c r="E273" s="9" t="str">
        <f aca="false">IF(C273="","",IFERROR(VLOOKUP(C273,EQUIPOS!$B$3:$F$18,5,0),""))</f>
        <v/>
      </c>
      <c r="F273" s="5" t="str">
        <f aca="false">IF(C273="","",IFERROR(VLOOKUP(C273,EQUIPOS!$B$3:$G$18,6,0),""))</f>
        <v/>
      </c>
      <c r="G273" s="8"/>
      <c r="H273" s="5"/>
      <c r="I273" s="5"/>
      <c r="J273" s="9"/>
      <c r="K273" s="17" t="str">
        <f aca="false">IF(H273="","",IFERROR(SUMIFS(BD_PLAN!$I$3:$I$312,BD_PLAN!$B$3:$B$312,E273,BD_PLAN!$C$3:$C$312,INDEX(BD_CICLO!$F$3:$F$54,MATCH(E273&amp;"|"&amp;H273,BD_CICLO!$G$3:$G$54,0))),""))</f>
        <v/>
      </c>
      <c r="L273" s="9"/>
      <c r="M273" s="9"/>
      <c r="N273" s="1" t="str">
        <f aca="false">IF(C273="","",C273&amp;"|"&amp;COUNTIF(C$3:C273,C273))</f>
        <v/>
      </c>
      <c r="O273" s="1" t="str">
        <f aca="false">IF(OR(C273="",M273=""),"",C273&amp;"|"&amp;COUNTIFS(C$3:C273,C273,M$3:M273,"&lt;&gt;"))</f>
        <v/>
      </c>
    </row>
    <row r="274" customFormat="false" ht="15" hidden="false" customHeight="false" outlineLevel="0" collapsed="false">
      <c r="B274" s="7"/>
      <c r="C274" s="5"/>
      <c r="D274" s="9" t="str">
        <f aca="false">IF(C274="","",IFERROR(VLOOKUP(C274,EQUIPOS!$B$3:$C$18,2,0),"NO EXISTE"))</f>
        <v/>
      </c>
      <c r="E274" s="9" t="str">
        <f aca="false">IF(C274="","",IFERROR(VLOOKUP(C274,EQUIPOS!$B$3:$F$18,5,0),""))</f>
        <v/>
      </c>
      <c r="F274" s="5" t="str">
        <f aca="false">IF(C274="","",IFERROR(VLOOKUP(C274,EQUIPOS!$B$3:$G$18,6,0),""))</f>
        <v/>
      </c>
      <c r="G274" s="8"/>
      <c r="H274" s="5"/>
      <c r="I274" s="5"/>
      <c r="J274" s="9"/>
      <c r="K274" s="17" t="str">
        <f aca="false">IF(H274="","",IFERROR(SUMIFS(BD_PLAN!$I$3:$I$312,BD_PLAN!$B$3:$B$312,E274,BD_PLAN!$C$3:$C$312,INDEX(BD_CICLO!$F$3:$F$54,MATCH(E274&amp;"|"&amp;H274,BD_CICLO!$G$3:$G$54,0))),""))</f>
        <v/>
      </c>
      <c r="L274" s="9"/>
      <c r="M274" s="9"/>
      <c r="N274" s="1" t="str">
        <f aca="false">IF(C274="","",C274&amp;"|"&amp;COUNTIF(C$3:C274,C274))</f>
        <v/>
      </c>
      <c r="O274" s="1" t="str">
        <f aca="false">IF(OR(C274="",M274=""),"",C274&amp;"|"&amp;COUNTIFS(C$3:C274,C274,M$3:M274,"&lt;&gt;"))</f>
        <v/>
      </c>
    </row>
    <row r="275" customFormat="false" ht="15" hidden="false" customHeight="false" outlineLevel="0" collapsed="false">
      <c r="B275" s="7"/>
      <c r="C275" s="5"/>
      <c r="D275" s="9" t="str">
        <f aca="false">IF(C275="","",IFERROR(VLOOKUP(C275,EQUIPOS!$B$3:$C$18,2,0),"NO EXISTE"))</f>
        <v/>
      </c>
      <c r="E275" s="9" t="str">
        <f aca="false">IF(C275="","",IFERROR(VLOOKUP(C275,EQUIPOS!$B$3:$F$18,5,0),""))</f>
        <v/>
      </c>
      <c r="F275" s="5" t="str">
        <f aca="false">IF(C275="","",IFERROR(VLOOKUP(C275,EQUIPOS!$B$3:$G$18,6,0),""))</f>
        <v/>
      </c>
      <c r="G275" s="8"/>
      <c r="H275" s="5"/>
      <c r="I275" s="5"/>
      <c r="J275" s="9"/>
      <c r="K275" s="17" t="str">
        <f aca="false">IF(H275="","",IFERROR(SUMIFS(BD_PLAN!$I$3:$I$312,BD_PLAN!$B$3:$B$312,E275,BD_PLAN!$C$3:$C$312,INDEX(BD_CICLO!$F$3:$F$54,MATCH(E275&amp;"|"&amp;H275,BD_CICLO!$G$3:$G$54,0))),""))</f>
        <v/>
      </c>
      <c r="L275" s="9"/>
      <c r="M275" s="9"/>
      <c r="N275" s="1" t="str">
        <f aca="false">IF(C275="","",C275&amp;"|"&amp;COUNTIF(C$3:C275,C275))</f>
        <v/>
      </c>
      <c r="O275" s="1" t="str">
        <f aca="false">IF(OR(C275="",M275=""),"",C275&amp;"|"&amp;COUNTIFS(C$3:C275,C275,M$3:M275,"&lt;&gt;"))</f>
        <v/>
      </c>
    </row>
    <row r="276" customFormat="false" ht="15" hidden="false" customHeight="false" outlineLevel="0" collapsed="false">
      <c r="B276" s="7"/>
      <c r="C276" s="5"/>
      <c r="D276" s="9" t="str">
        <f aca="false">IF(C276="","",IFERROR(VLOOKUP(C276,EQUIPOS!$B$3:$C$18,2,0),"NO EXISTE"))</f>
        <v/>
      </c>
      <c r="E276" s="9" t="str">
        <f aca="false">IF(C276="","",IFERROR(VLOOKUP(C276,EQUIPOS!$B$3:$F$18,5,0),""))</f>
        <v/>
      </c>
      <c r="F276" s="5" t="str">
        <f aca="false">IF(C276="","",IFERROR(VLOOKUP(C276,EQUIPOS!$B$3:$G$18,6,0),""))</f>
        <v/>
      </c>
      <c r="G276" s="8"/>
      <c r="H276" s="5"/>
      <c r="I276" s="5"/>
      <c r="J276" s="9"/>
      <c r="K276" s="17" t="str">
        <f aca="false">IF(H276="","",IFERROR(SUMIFS(BD_PLAN!$I$3:$I$312,BD_PLAN!$B$3:$B$312,E276,BD_PLAN!$C$3:$C$312,INDEX(BD_CICLO!$F$3:$F$54,MATCH(E276&amp;"|"&amp;H276,BD_CICLO!$G$3:$G$54,0))),""))</f>
        <v/>
      </c>
      <c r="L276" s="9"/>
      <c r="M276" s="9"/>
      <c r="N276" s="1" t="str">
        <f aca="false">IF(C276="","",C276&amp;"|"&amp;COUNTIF(C$3:C276,C276))</f>
        <v/>
      </c>
      <c r="O276" s="1" t="str">
        <f aca="false">IF(OR(C276="",M276=""),"",C276&amp;"|"&amp;COUNTIFS(C$3:C276,C276,M$3:M276,"&lt;&gt;"))</f>
        <v/>
      </c>
    </row>
    <row r="277" customFormat="false" ht="15" hidden="false" customHeight="false" outlineLevel="0" collapsed="false">
      <c r="B277" s="7"/>
      <c r="C277" s="5"/>
      <c r="D277" s="9" t="str">
        <f aca="false">IF(C277="","",IFERROR(VLOOKUP(C277,EQUIPOS!$B$3:$C$18,2,0),"NO EXISTE"))</f>
        <v/>
      </c>
      <c r="E277" s="9" t="str">
        <f aca="false">IF(C277="","",IFERROR(VLOOKUP(C277,EQUIPOS!$B$3:$F$18,5,0),""))</f>
        <v/>
      </c>
      <c r="F277" s="5" t="str">
        <f aca="false">IF(C277="","",IFERROR(VLOOKUP(C277,EQUIPOS!$B$3:$G$18,6,0),""))</f>
        <v/>
      </c>
      <c r="G277" s="8"/>
      <c r="H277" s="5"/>
      <c r="I277" s="5"/>
      <c r="J277" s="9"/>
      <c r="K277" s="17" t="str">
        <f aca="false">IF(H277="","",IFERROR(SUMIFS(BD_PLAN!$I$3:$I$312,BD_PLAN!$B$3:$B$312,E277,BD_PLAN!$C$3:$C$312,INDEX(BD_CICLO!$F$3:$F$54,MATCH(E277&amp;"|"&amp;H277,BD_CICLO!$G$3:$G$54,0))),""))</f>
        <v/>
      </c>
      <c r="L277" s="9"/>
      <c r="M277" s="9"/>
      <c r="N277" s="1" t="str">
        <f aca="false">IF(C277="","",C277&amp;"|"&amp;COUNTIF(C$3:C277,C277))</f>
        <v/>
      </c>
      <c r="O277" s="1" t="str">
        <f aca="false">IF(OR(C277="",M277=""),"",C277&amp;"|"&amp;COUNTIFS(C$3:C277,C277,M$3:M277,"&lt;&gt;"))</f>
        <v/>
      </c>
    </row>
    <row r="278" customFormat="false" ht="15" hidden="false" customHeight="false" outlineLevel="0" collapsed="false">
      <c r="B278" s="7"/>
      <c r="C278" s="5"/>
      <c r="D278" s="9" t="str">
        <f aca="false">IF(C278="","",IFERROR(VLOOKUP(C278,EQUIPOS!$B$3:$C$18,2,0),"NO EXISTE"))</f>
        <v/>
      </c>
      <c r="E278" s="9" t="str">
        <f aca="false">IF(C278="","",IFERROR(VLOOKUP(C278,EQUIPOS!$B$3:$F$18,5,0),""))</f>
        <v/>
      </c>
      <c r="F278" s="5" t="str">
        <f aca="false">IF(C278="","",IFERROR(VLOOKUP(C278,EQUIPOS!$B$3:$G$18,6,0),""))</f>
        <v/>
      </c>
      <c r="G278" s="8"/>
      <c r="H278" s="5"/>
      <c r="I278" s="5"/>
      <c r="J278" s="9"/>
      <c r="K278" s="17" t="str">
        <f aca="false">IF(H278="","",IFERROR(SUMIFS(BD_PLAN!$I$3:$I$312,BD_PLAN!$B$3:$B$312,E278,BD_PLAN!$C$3:$C$312,INDEX(BD_CICLO!$F$3:$F$54,MATCH(E278&amp;"|"&amp;H278,BD_CICLO!$G$3:$G$54,0))),""))</f>
        <v/>
      </c>
      <c r="L278" s="9"/>
      <c r="M278" s="9"/>
      <c r="N278" s="1" t="str">
        <f aca="false">IF(C278="","",C278&amp;"|"&amp;COUNTIF(C$3:C278,C278))</f>
        <v/>
      </c>
      <c r="O278" s="1" t="str">
        <f aca="false">IF(OR(C278="",M278=""),"",C278&amp;"|"&amp;COUNTIFS(C$3:C278,C278,M$3:M278,"&lt;&gt;"))</f>
        <v/>
      </c>
    </row>
    <row r="279" customFormat="false" ht="15" hidden="false" customHeight="false" outlineLevel="0" collapsed="false">
      <c r="B279" s="7"/>
      <c r="C279" s="5"/>
      <c r="D279" s="9" t="str">
        <f aca="false">IF(C279="","",IFERROR(VLOOKUP(C279,EQUIPOS!$B$3:$C$18,2,0),"NO EXISTE"))</f>
        <v/>
      </c>
      <c r="E279" s="9" t="str">
        <f aca="false">IF(C279="","",IFERROR(VLOOKUP(C279,EQUIPOS!$B$3:$F$18,5,0),""))</f>
        <v/>
      </c>
      <c r="F279" s="5" t="str">
        <f aca="false">IF(C279="","",IFERROR(VLOOKUP(C279,EQUIPOS!$B$3:$G$18,6,0),""))</f>
        <v/>
      </c>
      <c r="G279" s="8"/>
      <c r="H279" s="5"/>
      <c r="I279" s="5"/>
      <c r="J279" s="9"/>
      <c r="K279" s="17" t="str">
        <f aca="false">IF(H279="","",IFERROR(SUMIFS(BD_PLAN!$I$3:$I$312,BD_PLAN!$B$3:$B$312,E279,BD_PLAN!$C$3:$C$312,INDEX(BD_CICLO!$F$3:$F$54,MATCH(E279&amp;"|"&amp;H279,BD_CICLO!$G$3:$G$54,0))),""))</f>
        <v/>
      </c>
      <c r="L279" s="9"/>
      <c r="M279" s="9"/>
      <c r="N279" s="1" t="str">
        <f aca="false">IF(C279="","",C279&amp;"|"&amp;COUNTIF(C$3:C279,C279))</f>
        <v/>
      </c>
      <c r="O279" s="1" t="str">
        <f aca="false">IF(OR(C279="",M279=""),"",C279&amp;"|"&amp;COUNTIFS(C$3:C279,C279,M$3:M279,"&lt;&gt;"))</f>
        <v/>
      </c>
    </row>
    <row r="280" customFormat="false" ht="15" hidden="false" customHeight="false" outlineLevel="0" collapsed="false">
      <c r="B280" s="7"/>
      <c r="C280" s="5"/>
      <c r="D280" s="9" t="str">
        <f aca="false">IF(C280="","",IFERROR(VLOOKUP(C280,EQUIPOS!$B$3:$C$18,2,0),"NO EXISTE"))</f>
        <v/>
      </c>
      <c r="E280" s="9" t="str">
        <f aca="false">IF(C280="","",IFERROR(VLOOKUP(C280,EQUIPOS!$B$3:$F$18,5,0),""))</f>
        <v/>
      </c>
      <c r="F280" s="5" t="str">
        <f aca="false">IF(C280="","",IFERROR(VLOOKUP(C280,EQUIPOS!$B$3:$G$18,6,0),""))</f>
        <v/>
      </c>
      <c r="G280" s="8"/>
      <c r="H280" s="5"/>
      <c r="I280" s="5"/>
      <c r="J280" s="9"/>
      <c r="K280" s="17" t="str">
        <f aca="false">IF(H280="","",IFERROR(SUMIFS(BD_PLAN!$I$3:$I$312,BD_PLAN!$B$3:$B$312,E280,BD_PLAN!$C$3:$C$312,INDEX(BD_CICLO!$F$3:$F$54,MATCH(E280&amp;"|"&amp;H280,BD_CICLO!$G$3:$G$54,0))),""))</f>
        <v/>
      </c>
      <c r="L280" s="9"/>
      <c r="M280" s="9"/>
      <c r="N280" s="1" t="str">
        <f aca="false">IF(C280="","",C280&amp;"|"&amp;COUNTIF(C$3:C280,C280))</f>
        <v/>
      </c>
      <c r="O280" s="1" t="str">
        <f aca="false">IF(OR(C280="",M280=""),"",C280&amp;"|"&amp;COUNTIFS(C$3:C280,C280,M$3:M280,"&lt;&gt;"))</f>
        <v/>
      </c>
    </row>
    <row r="281" customFormat="false" ht="15" hidden="false" customHeight="false" outlineLevel="0" collapsed="false">
      <c r="B281" s="7"/>
      <c r="C281" s="5"/>
      <c r="D281" s="9" t="str">
        <f aca="false">IF(C281="","",IFERROR(VLOOKUP(C281,EQUIPOS!$B$3:$C$18,2,0),"NO EXISTE"))</f>
        <v/>
      </c>
      <c r="E281" s="9" t="str">
        <f aca="false">IF(C281="","",IFERROR(VLOOKUP(C281,EQUIPOS!$B$3:$F$18,5,0),""))</f>
        <v/>
      </c>
      <c r="F281" s="5" t="str">
        <f aca="false">IF(C281="","",IFERROR(VLOOKUP(C281,EQUIPOS!$B$3:$G$18,6,0),""))</f>
        <v/>
      </c>
      <c r="G281" s="8"/>
      <c r="H281" s="5"/>
      <c r="I281" s="5"/>
      <c r="J281" s="9"/>
      <c r="K281" s="17" t="str">
        <f aca="false">IF(H281="","",IFERROR(SUMIFS(BD_PLAN!$I$3:$I$312,BD_PLAN!$B$3:$B$312,E281,BD_PLAN!$C$3:$C$312,INDEX(BD_CICLO!$F$3:$F$54,MATCH(E281&amp;"|"&amp;H281,BD_CICLO!$G$3:$G$54,0))),""))</f>
        <v/>
      </c>
      <c r="L281" s="9"/>
      <c r="M281" s="9"/>
      <c r="N281" s="1" t="str">
        <f aca="false">IF(C281="","",C281&amp;"|"&amp;COUNTIF(C$3:C281,C281))</f>
        <v/>
      </c>
      <c r="O281" s="1" t="str">
        <f aca="false">IF(OR(C281="",M281=""),"",C281&amp;"|"&amp;COUNTIFS(C$3:C281,C281,M$3:M281,"&lt;&gt;"))</f>
        <v/>
      </c>
    </row>
    <row r="282" customFormat="false" ht="15" hidden="false" customHeight="false" outlineLevel="0" collapsed="false">
      <c r="B282" s="7"/>
      <c r="C282" s="5"/>
      <c r="D282" s="9" t="str">
        <f aca="false">IF(C282="","",IFERROR(VLOOKUP(C282,EQUIPOS!$B$3:$C$18,2,0),"NO EXISTE"))</f>
        <v/>
      </c>
      <c r="E282" s="9" t="str">
        <f aca="false">IF(C282="","",IFERROR(VLOOKUP(C282,EQUIPOS!$B$3:$F$18,5,0),""))</f>
        <v/>
      </c>
      <c r="F282" s="5" t="str">
        <f aca="false">IF(C282="","",IFERROR(VLOOKUP(C282,EQUIPOS!$B$3:$G$18,6,0),""))</f>
        <v/>
      </c>
      <c r="G282" s="8"/>
      <c r="H282" s="5"/>
      <c r="I282" s="5"/>
      <c r="J282" s="9"/>
      <c r="K282" s="17" t="str">
        <f aca="false">IF(H282="","",IFERROR(SUMIFS(BD_PLAN!$I$3:$I$312,BD_PLAN!$B$3:$B$312,E282,BD_PLAN!$C$3:$C$312,INDEX(BD_CICLO!$F$3:$F$54,MATCH(E282&amp;"|"&amp;H282,BD_CICLO!$G$3:$G$54,0))),""))</f>
        <v/>
      </c>
      <c r="L282" s="9"/>
      <c r="M282" s="9"/>
      <c r="N282" s="1" t="str">
        <f aca="false">IF(C282="","",C282&amp;"|"&amp;COUNTIF(C$3:C282,C282))</f>
        <v/>
      </c>
      <c r="O282" s="1" t="str">
        <f aca="false">IF(OR(C282="",M282=""),"",C282&amp;"|"&amp;COUNTIFS(C$3:C282,C282,M$3:M282,"&lt;&gt;"))</f>
        <v/>
      </c>
    </row>
    <row r="283" customFormat="false" ht="15" hidden="false" customHeight="false" outlineLevel="0" collapsed="false">
      <c r="B283" s="7"/>
      <c r="C283" s="5"/>
      <c r="D283" s="9" t="str">
        <f aca="false">IF(C283="","",IFERROR(VLOOKUP(C283,EQUIPOS!$B$3:$C$18,2,0),"NO EXISTE"))</f>
        <v/>
      </c>
      <c r="E283" s="9" t="str">
        <f aca="false">IF(C283="","",IFERROR(VLOOKUP(C283,EQUIPOS!$B$3:$F$18,5,0),""))</f>
        <v/>
      </c>
      <c r="F283" s="5" t="str">
        <f aca="false">IF(C283="","",IFERROR(VLOOKUP(C283,EQUIPOS!$B$3:$G$18,6,0),""))</f>
        <v/>
      </c>
      <c r="G283" s="8"/>
      <c r="H283" s="5"/>
      <c r="I283" s="5"/>
      <c r="J283" s="9"/>
      <c r="K283" s="17" t="str">
        <f aca="false">IF(H283="","",IFERROR(SUMIFS(BD_PLAN!$I$3:$I$312,BD_PLAN!$B$3:$B$312,E283,BD_PLAN!$C$3:$C$312,INDEX(BD_CICLO!$F$3:$F$54,MATCH(E283&amp;"|"&amp;H283,BD_CICLO!$G$3:$G$54,0))),""))</f>
        <v/>
      </c>
      <c r="L283" s="9"/>
      <c r="M283" s="9"/>
      <c r="N283" s="1" t="str">
        <f aca="false">IF(C283="","",C283&amp;"|"&amp;COUNTIF(C$3:C283,C283))</f>
        <v/>
      </c>
      <c r="O283" s="1" t="str">
        <f aca="false">IF(OR(C283="",M283=""),"",C283&amp;"|"&amp;COUNTIFS(C$3:C283,C283,M$3:M283,"&lt;&gt;"))</f>
        <v/>
      </c>
    </row>
    <row r="284" customFormat="false" ht="15" hidden="false" customHeight="false" outlineLevel="0" collapsed="false">
      <c r="B284" s="7"/>
      <c r="C284" s="5"/>
      <c r="D284" s="9" t="str">
        <f aca="false">IF(C284="","",IFERROR(VLOOKUP(C284,EQUIPOS!$B$3:$C$18,2,0),"NO EXISTE"))</f>
        <v/>
      </c>
      <c r="E284" s="9" t="str">
        <f aca="false">IF(C284="","",IFERROR(VLOOKUP(C284,EQUIPOS!$B$3:$F$18,5,0),""))</f>
        <v/>
      </c>
      <c r="F284" s="5" t="str">
        <f aca="false">IF(C284="","",IFERROR(VLOOKUP(C284,EQUIPOS!$B$3:$G$18,6,0),""))</f>
        <v/>
      </c>
      <c r="G284" s="8"/>
      <c r="H284" s="5"/>
      <c r="I284" s="5"/>
      <c r="J284" s="9"/>
      <c r="K284" s="17" t="str">
        <f aca="false">IF(H284="","",IFERROR(SUMIFS(BD_PLAN!$I$3:$I$312,BD_PLAN!$B$3:$B$312,E284,BD_PLAN!$C$3:$C$312,INDEX(BD_CICLO!$F$3:$F$54,MATCH(E284&amp;"|"&amp;H284,BD_CICLO!$G$3:$G$54,0))),""))</f>
        <v/>
      </c>
      <c r="L284" s="9"/>
      <c r="M284" s="9"/>
      <c r="N284" s="1" t="str">
        <f aca="false">IF(C284="","",C284&amp;"|"&amp;COUNTIF(C$3:C284,C284))</f>
        <v/>
      </c>
      <c r="O284" s="1" t="str">
        <f aca="false">IF(OR(C284="",M284=""),"",C284&amp;"|"&amp;COUNTIFS(C$3:C284,C284,M$3:M284,"&lt;&gt;"))</f>
        <v/>
      </c>
    </row>
    <row r="285" customFormat="false" ht="15" hidden="false" customHeight="false" outlineLevel="0" collapsed="false">
      <c r="B285" s="7"/>
      <c r="C285" s="5"/>
      <c r="D285" s="9" t="str">
        <f aca="false">IF(C285="","",IFERROR(VLOOKUP(C285,EQUIPOS!$B$3:$C$18,2,0),"NO EXISTE"))</f>
        <v/>
      </c>
      <c r="E285" s="9" t="str">
        <f aca="false">IF(C285="","",IFERROR(VLOOKUP(C285,EQUIPOS!$B$3:$F$18,5,0),""))</f>
        <v/>
      </c>
      <c r="F285" s="5" t="str">
        <f aca="false">IF(C285="","",IFERROR(VLOOKUP(C285,EQUIPOS!$B$3:$G$18,6,0),""))</f>
        <v/>
      </c>
      <c r="G285" s="8"/>
      <c r="H285" s="5"/>
      <c r="I285" s="5"/>
      <c r="J285" s="9"/>
      <c r="K285" s="17" t="str">
        <f aca="false">IF(H285="","",IFERROR(SUMIFS(BD_PLAN!$I$3:$I$312,BD_PLAN!$B$3:$B$312,E285,BD_PLAN!$C$3:$C$312,INDEX(BD_CICLO!$F$3:$F$54,MATCH(E285&amp;"|"&amp;H285,BD_CICLO!$G$3:$G$54,0))),""))</f>
        <v/>
      </c>
      <c r="L285" s="9"/>
      <c r="M285" s="9"/>
      <c r="N285" s="1" t="str">
        <f aca="false">IF(C285="","",C285&amp;"|"&amp;COUNTIF(C$3:C285,C285))</f>
        <v/>
      </c>
      <c r="O285" s="1" t="str">
        <f aca="false">IF(OR(C285="",M285=""),"",C285&amp;"|"&amp;COUNTIFS(C$3:C285,C285,M$3:M285,"&lt;&gt;"))</f>
        <v/>
      </c>
    </row>
    <row r="286" customFormat="false" ht="15" hidden="false" customHeight="false" outlineLevel="0" collapsed="false">
      <c r="B286" s="7"/>
      <c r="C286" s="5"/>
      <c r="D286" s="9" t="str">
        <f aca="false">IF(C286="","",IFERROR(VLOOKUP(C286,EQUIPOS!$B$3:$C$18,2,0),"NO EXISTE"))</f>
        <v/>
      </c>
      <c r="E286" s="9" t="str">
        <f aca="false">IF(C286="","",IFERROR(VLOOKUP(C286,EQUIPOS!$B$3:$F$18,5,0),""))</f>
        <v/>
      </c>
      <c r="F286" s="5" t="str">
        <f aca="false">IF(C286="","",IFERROR(VLOOKUP(C286,EQUIPOS!$B$3:$G$18,6,0),""))</f>
        <v/>
      </c>
      <c r="G286" s="8"/>
      <c r="H286" s="5"/>
      <c r="I286" s="5"/>
      <c r="J286" s="9"/>
      <c r="K286" s="17" t="str">
        <f aca="false">IF(H286="","",IFERROR(SUMIFS(BD_PLAN!$I$3:$I$312,BD_PLAN!$B$3:$B$312,E286,BD_PLAN!$C$3:$C$312,INDEX(BD_CICLO!$F$3:$F$54,MATCH(E286&amp;"|"&amp;H286,BD_CICLO!$G$3:$G$54,0))),""))</f>
        <v/>
      </c>
      <c r="L286" s="9"/>
      <c r="M286" s="9"/>
      <c r="N286" s="1" t="str">
        <f aca="false">IF(C286="","",C286&amp;"|"&amp;COUNTIF(C$3:C286,C286))</f>
        <v/>
      </c>
      <c r="O286" s="1" t="str">
        <f aca="false">IF(OR(C286="",M286=""),"",C286&amp;"|"&amp;COUNTIFS(C$3:C286,C286,M$3:M286,"&lt;&gt;"))</f>
        <v/>
      </c>
    </row>
    <row r="287" customFormat="false" ht="15" hidden="false" customHeight="false" outlineLevel="0" collapsed="false">
      <c r="B287" s="7"/>
      <c r="C287" s="5"/>
      <c r="D287" s="9" t="str">
        <f aca="false">IF(C287="","",IFERROR(VLOOKUP(C287,EQUIPOS!$B$3:$C$18,2,0),"NO EXISTE"))</f>
        <v/>
      </c>
      <c r="E287" s="9" t="str">
        <f aca="false">IF(C287="","",IFERROR(VLOOKUP(C287,EQUIPOS!$B$3:$F$18,5,0),""))</f>
        <v/>
      </c>
      <c r="F287" s="5" t="str">
        <f aca="false">IF(C287="","",IFERROR(VLOOKUP(C287,EQUIPOS!$B$3:$G$18,6,0),""))</f>
        <v/>
      </c>
      <c r="G287" s="8"/>
      <c r="H287" s="5"/>
      <c r="I287" s="5"/>
      <c r="J287" s="9"/>
      <c r="K287" s="17" t="str">
        <f aca="false">IF(H287="","",IFERROR(SUMIFS(BD_PLAN!$I$3:$I$312,BD_PLAN!$B$3:$B$312,E287,BD_PLAN!$C$3:$C$312,INDEX(BD_CICLO!$F$3:$F$54,MATCH(E287&amp;"|"&amp;H287,BD_CICLO!$G$3:$G$54,0))),""))</f>
        <v/>
      </c>
      <c r="L287" s="9"/>
      <c r="M287" s="9"/>
      <c r="N287" s="1" t="str">
        <f aca="false">IF(C287="","",C287&amp;"|"&amp;COUNTIF(C$3:C287,C287))</f>
        <v/>
      </c>
      <c r="O287" s="1" t="str">
        <f aca="false">IF(OR(C287="",M287=""),"",C287&amp;"|"&amp;COUNTIFS(C$3:C287,C287,M$3:M287,"&lt;&gt;"))</f>
        <v/>
      </c>
    </row>
    <row r="288" customFormat="false" ht="15" hidden="false" customHeight="false" outlineLevel="0" collapsed="false">
      <c r="B288" s="7"/>
      <c r="C288" s="5"/>
      <c r="D288" s="9" t="str">
        <f aca="false">IF(C288="","",IFERROR(VLOOKUP(C288,EQUIPOS!$B$3:$C$18,2,0),"NO EXISTE"))</f>
        <v/>
      </c>
      <c r="E288" s="9" t="str">
        <f aca="false">IF(C288="","",IFERROR(VLOOKUP(C288,EQUIPOS!$B$3:$F$18,5,0),""))</f>
        <v/>
      </c>
      <c r="F288" s="5" t="str">
        <f aca="false">IF(C288="","",IFERROR(VLOOKUP(C288,EQUIPOS!$B$3:$G$18,6,0),""))</f>
        <v/>
      </c>
      <c r="G288" s="8"/>
      <c r="H288" s="5"/>
      <c r="I288" s="5"/>
      <c r="J288" s="9"/>
      <c r="K288" s="17" t="str">
        <f aca="false">IF(H288="","",IFERROR(SUMIFS(BD_PLAN!$I$3:$I$312,BD_PLAN!$B$3:$B$312,E288,BD_PLAN!$C$3:$C$312,INDEX(BD_CICLO!$F$3:$F$54,MATCH(E288&amp;"|"&amp;H288,BD_CICLO!$G$3:$G$54,0))),""))</f>
        <v/>
      </c>
      <c r="L288" s="9"/>
      <c r="M288" s="9"/>
      <c r="N288" s="1" t="str">
        <f aca="false">IF(C288="","",C288&amp;"|"&amp;COUNTIF(C$3:C288,C288))</f>
        <v/>
      </c>
      <c r="O288" s="1" t="str">
        <f aca="false">IF(OR(C288="",M288=""),"",C288&amp;"|"&amp;COUNTIFS(C$3:C288,C288,M$3:M288,"&lt;&gt;"))</f>
        <v/>
      </c>
    </row>
    <row r="289" customFormat="false" ht="15" hidden="false" customHeight="false" outlineLevel="0" collapsed="false">
      <c r="B289" s="7"/>
      <c r="C289" s="5"/>
      <c r="D289" s="9" t="str">
        <f aca="false">IF(C289="","",IFERROR(VLOOKUP(C289,EQUIPOS!$B$3:$C$18,2,0),"NO EXISTE"))</f>
        <v/>
      </c>
      <c r="E289" s="9" t="str">
        <f aca="false">IF(C289="","",IFERROR(VLOOKUP(C289,EQUIPOS!$B$3:$F$18,5,0),""))</f>
        <v/>
      </c>
      <c r="F289" s="5" t="str">
        <f aca="false">IF(C289="","",IFERROR(VLOOKUP(C289,EQUIPOS!$B$3:$G$18,6,0),""))</f>
        <v/>
      </c>
      <c r="G289" s="8"/>
      <c r="H289" s="5"/>
      <c r="I289" s="5"/>
      <c r="J289" s="9"/>
      <c r="K289" s="17" t="str">
        <f aca="false">IF(H289="","",IFERROR(SUMIFS(BD_PLAN!$I$3:$I$312,BD_PLAN!$B$3:$B$312,E289,BD_PLAN!$C$3:$C$312,INDEX(BD_CICLO!$F$3:$F$54,MATCH(E289&amp;"|"&amp;H289,BD_CICLO!$G$3:$G$54,0))),""))</f>
        <v/>
      </c>
      <c r="L289" s="9"/>
      <c r="M289" s="9"/>
      <c r="N289" s="1" t="str">
        <f aca="false">IF(C289="","",C289&amp;"|"&amp;COUNTIF(C$3:C289,C289))</f>
        <v/>
      </c>
      <c r="O289" s="1" t="str">
        <f aca="false">IF(OR(C289="",M289=""),"",C289&amp;"|"&amp;COUNTIFS(C$3:C289,C289,M$3:M289,"&lt;&gt;"))</f>
        <v/>
      </c>
    </row>
    <row r="290" customFormat="false" ht="15" hidden="false" customHeight="false" outlineLevel="0" collapsed="false">
      <c r="B290" s="7"/>
      <c r="C290" s="5"/>
      <c r="D290" s="9" t="str">
        <f aca="false">IF(C290="","",IFERROR(VLOOKUP(C290,EQUIPOS!$B$3:$C$18,2,0),"NO EXISTE"))</f>
        <v/>
      </c>
      <c r="E290" s="9" t="str">
        <f aca="false">IF(C290="","",IFERROR(VLOOKUP(C290,EQUIPOS!$B$3:$F$18,5,0),""))</f>
        <v/>
      </c>
      <c r="F290" s="5" t="str">
        <f aca="false">IF(C290="","",IFERROR(VLOOKUP(C290,EQUIPOS!$B$3:$G$18,6,0),""))</f>
        <v/>
      </c>
      <c r="G290" s="8"/>
      <c r="H290" s="5"/>
      <c r="I290" s="5"/>
      <c r="J290" s="9"/>
      <c r="K290" s="17" t="str">
        <f aca="false">IF(H290="","",IFERROR(SUMIFS(BD_PLAN!$I$3:$I$312,BD_PLAN!$B$3:$B$312,E290,BD_PLAN!$C$3:$C$312,INDEX(BD_CICLO!$F$3:$F$54,MATCH(E290&amp;"|"&amp;H290,BD_CICLO!$G$3:$G$54,0))),""))</f>
        <v/>
      </c>
      <c r="L290" s="9"/>
      <c r="M290" s="9"/>
      <c r="N290" s="1" t="str">
        <f aca="false">IF(C290="","",C290&amp;"|"&amp;COUNTIF(C$3:C290,C290))</f>
        <v/>
      </c>
      <c r="O290" s="1" t="str">
        <f aca="false">IF(OR(C290="",M290=""),"",C290&amp;"|"&amp;COUNTIFS(C$3:C290,C290,M$3:M290,"&lt;&gt;"))</f>
        <v/>
      </c>
    </row>
    <row r="291" customFormat="false" ht="15" hidden="false" customHeight="false" outlineLevel="0" collapsed="false">
      <c r="B291" s="7"/>
      <c r="C291" s="5"/>
      <c r="D291" s="9" t="str">
        <f aca="false">IF(C291="","",IFERROR(VLOOKUP(C291,EQUIPOS!$B$3:$C$18,2,0),"NO EXISTE"))</f>
        <v/>
      </c>
      <c r="E291" s="9" t="str">
        <f aca="false">IF(C291="","",IFERROR(VLOOKUP(C291,EQUIPOS!$B$3:$F$18,5,0),""))</f>
        <v/>
      </c>
      <c r="F291" s="5" t="str">
        <f aca="false">IF(C291="","",IFERROR(VLOOKUP(C291,EQUIPOS!$B$3:$G$18,6,0),""))</f>
        <v/>
      </c>
      <c r="G291" s="8"/>
      <c r="H291" s="5"/>
      <c r="I291" s="5"/>
      <c r="J291" s="9"/>
      <c r="K291" s="17" t="str">
        <f aca="false">IF(H291="","",IFERROR(SUMIFS(BD_PLAN!$I$3:$I$312,BD_PLAN!$B$3:$B$312,E291,BD_PLAN!$C$3:$C$312,INDEX(BD_CICLO!$F$3:$F$54,MATCH(E291&amp;"|"&amp;H291,BD_CICLO!$G$3:$G$54,0))),""))</f>
        <v/>
      </c>
      <c r="L291" s="9"/>
      <c r="M291" s="9"/>
      <c r="N291" s="1" t="str">
        <f aca="false">IF(C291="","",C291&amp;"|"&amp;COUNTIF(C$3:C291,C291))</f>
        <v/>
      </c>
      <c r="O291" s="1" t="str">
        <f aca="false">IF(OR(C291="",M291=""),"",C291&amp;"|"&amp;COUNTIFS(C$3:C291,C291,M$3:M291,"&lt;&gt;"))</f>
        <v/>
      </c>
    </row>
    <row r="292" customFormat="false" ht="15" hidden="false" customHeight="false" outlineLevel="0" collapsed="false">
      <c r="B292" s="7"/>
      <c r="C292" s="5"/>
      <c r="D292" s="9" t="str">
        <f aca="false">IF(C292="","",IFERROR(VLOOKUP(C292,EQUIPOS!$B$3:$C$18,2,0),"NO EXISTE"))</f>
        <v/>
      </c>
      <c r="E292" s="9" t="str">
        <f aca="false">IF(C292="","",IFERROR(VLOOKUP(C292,EQUIPOS!$B$3:$F$18,5,0),""))</f>
        <v/>
      </c>
      <c r="F292" s="5" t="str">
        <f aca="false">IF(C292="","",IFERROR(VLOOKUP(C292,EQUIPOS!$B$3:$G$18,6,0),""))</f>
        <v/>
      </c>
      <c r="G292" s="8"/>
      <c r="H292" s="5"/>
      <c r="I292" s="5"/>
      <c r="J292" s="9"/>
      <c r="K292" s="17" t="str">
        <f aca="false">IF(H292="","",IFERROR(SUMIFS(BD_PLAN!$I$3:$I$312,BD_PLAN!$B$3:$B$312,E292,BD_PLAN!$C$3:$C$312,INDEX(BD_CICLO!$F$3:$F$54,MATCH(E292&amp;"|"&amp;H292,BD_CICLO!$G$3:$G$54,0))),""))</f>
        <v/>
      </c>
      <c r="L292" s="9"/>
      <c r="M292" s="9"/>
      <c r="N292" s="1" t="str">
        <f aca="false">IF(C292="","",C292&amp;"|"&amp;COUNTIF(C$3:C292,C292))</f>
        <v/>
      </c>
      <c r="O292" s="1" t="str">
        <f aca="false">IF(OR(C292="",M292=""),"",C292&amp;"|"&amp;COUNTIFS(C$3:C292,C292,M$3:M292,"&lt;&gt;"))</f>
        <v/>
      </c>
    </row>
    <row r="293" customFormat="false" ht="15" hidden="false" customHeight="false" outlineLevel="0" collapsed="false">
      <c r="B293" s="7"/>
      <c r="C293" s="5"/>
      <c r="D293" s="9" t="str">
        <f aca="false">IF(C293="","",IFERROR(VLOOKUP(C293,EQUIPOS!$B$3:$C$18,2,0),"NO EXISTE"))</f>
        <v/>
      </c>
      <c r="E293" s="9" t="str">
        <f aca="false">IF(C293="","",IFERROR(VLOOKUP(C293,EQUIPOS!$B$3:$F$18,5,0),""))</f>
        <v/>
      </c>
      <c r="F293" s="5" t="str">
        <f aca="false">IF(C293="","",IFERROR(VLOOKUP(C293,EQUIPOS!$B$3:$G$18,6,0),""))</f>
        <v/>
      </c>
      <c r="G293" s="8"/>
      <c r="H293" s="5"/>
      <c r="I293" s="5"/>
      <c r="J293" s="9"/>
      <c r="K293" s="17" t="str">
        <f aca="false">IF(H293="","",IFERROR(SUMIFS(BD_PLAN!$I$3:$I$312,BD_PLAN!$B$3:$B$312,E293,BD_PLAN!$C$3:$C$312,INDEX(BD_CICLO!$F$3:$F$54,MATCH(E293&amp;"|"&amp;H293,BD_CICLO!$G$3:$G$54,0))),""))</f>
        <v/>
      </c>
      <c r="L293" s="9"/>
      <c r="M293" s="9"/>
      <c r="N293" s="1" t="str">
        <f aca="false">IF(C293="","",C293&amp;"|"&amp;COUNTIF(C$3:C293,C293))</f>
        <v/>
      </c>
      <c r="O293" s="1" t="str">
        <f aca="false">IF(OR(C293="",M293=""),"",C293&amp;"|"&amp;COUNTIFS(C$3:C293,C293,M$3:M293,"&lt;&gt;"))</f>
        <v/>
      </c>
    </row>
    <row r="294" customFormat="false" ht="15" hidden="false" customHeight="false" outlineLevel="0" collapsed="false">
      <c r="B294" s="7"/>
      <c r="C294" s="5"/>
      <c r="D294" s="9" t="str">
        <f aca="false">IF(C294="","",IFERROR(VLOOKUP(C294,EQUIPOS!$B$3:$C$18,2,0),"NO EXISTE"))</f>
        <v/>
      </c>
      <c r="E294" s="9" t="str">
        <f aca="false">IF(C294="","",IFERROR(VLOOKUP(C294,EQUIPOS!$B$3:$F$18,5,0),""))</f>
        <v/>
      </c>
      <c r="F294" s="5" t="str">
        <f aca="false">IF(C294="","",IFERROR(VLOOKUP(C294,EQUIPOS!$B$3:$G$18,6,0),""))</f>
        <v/>
      </c>
      <c r="G294" s="8"/>
      <c r="H294" s="5"/>
      <c r="I294" s="5"/>
      <c r="J294" s="9"/>
      <c r="K294" s="17" t="str">
        <f aca="false">IF(H294="","",IFERROR(SUMIFS(BD_PLAN!$I$3:$I$312,BD_PLAN!$B$3:$B$312,E294,BD_PLAN!$C$3:$C$312,INDEX(BD_CICLO!$F$3:$F$54,MATCH(E294&amp;"|"&amp;H294,BD_CICLO!$G$3:$G$54,0))),""))</f>
        <v/>
      </c>
      <c r="L294" s="9"/>
      <c r="M294" s="9"/>
      <c r="N294" s="1" t="str">
        <f aca="false">IF(C294="","",C294&amp;"|"&amp;COUNTIF(C$3:C294,C294))</f>
        <v/>
      </c>
      <c r="O294" s="1" t="str">
        <f aca="false">IF(OR(C294="",M294=""),"",C294&amp;"|"&amp;COUNTIFS(C$3:C294,C294,M$3:M294,"&lt;&gt;"))</f>
        <v/>
      </c>
    </row>
    <row r="295" customFormat="false" ht="15" hidden="false" customHeight="false" outlineLevel="0" collapsed="false">
      <c r="B295" s="7"/>
      <c r="C295" s="5"/>
      <c r="D295" s="9" t="str">
        <f aca="false">IF(C295="","",IFERROR(VLOOKUP(C295,EQUIPOS!$B$3:$C$18,2,0),"NO EXISTE"))</f>
        <v/>
      </c>
      <c r="E295" s="9" t="str">
        <f aca="false">IF(C295="","",IFERROR(VLOOKUP(C295,EQUIPOS!$B$3:$F$18,5,0),""))</f>
        <v/>
      </c>
      <c r="F295" s="5" t="str">
        <f aca="false">IF(C295="","",IFERROR(VLOOKUP(C295,EQUIPOS!$B$3:$G$18,6,0),""))</f>
        <v/>
      </c>
      <c r="G295" s="8"/>
      <c r="H295" s="5"/>
      <c r="I295" s="5"/>
      <c r="J295" s="9"/>
      <c r="K295" s="17" t="str">
        <f aca="false">IF(H295="","",IFERROR(SUMIFS(BD_PLAN!$I$3:$I$312,BD_PLAN!$B$3:$B$312,E295,BD_PLAN!$C$3:$C$312,INDEX(BD_CICLO!$F$3:$F$54,MATCH(E295&amp;"|"&amp;H295,BD_CICLO!$G$3:$G$54,0))),""))</f>
        <v/>
      </c>
      <c r="L295" s="9"/>
      <c r="M295" s="9"/>
      <c r="N295" s="1" t="str">
        <f aca="false">IF(C295="","",C295&amp;"|"&amp;COUNTIF(C$3:C295,C295))</f>
        <v/>
      </c>
      <c r="O295" s="1" t="str">
        <f aca="false">IF(OR(C295="",M295=""),"",C295&amp;"|"&amp;COUNTIFS(C$3:C295,C295,M$3:M295,"&lt;&gt;"))</f>
        <v/>
      </c>
    </row>
    <row r="296" customFormat="false" ht="15" hidden="false" customHeight="false" outlineLevel="0" collapsed="false">
      <c r="B296" s="7"/>
      <c r="C296" s="5"/>
      <c r="D296" s="9" t="str">
        <f aca="false">IF(C296="","",IFERROR(VLOOKUP(C296,EQUIPOS!$B$3:$C$18,2,0),"NO EXISTE"))</f>
        <v/>
      </c>
      <c r="E296" s="9" t="str">
        <f aca="false">IF(C296="","",IFERROR(VLOOKUP(C296,EQUIPOS!$B$3:$F$18,5,0),""))</f>
        <v/>
      </c>
      <c r="F296" s="5" t="str">
        <f aca="false">IF(C296="","",IFERROR(VLOOKUP(C296,EQUIPOS!$B$3:$G$18,6,0),""))</f>
        <v/>
      </c>
      <c r="G296" s="8"/>
      <c r="H296" s="5"/>
      <c r="I296" s="5"/>
      <c r="J296" s="9"/>
      <c r="K296" s="17" t="str">
        <f aca="false">IF(H296="","",IFERROR(SUMIFS(BD_PLAN!$I$3:$I$312,BD_PLAN!$B$3:$B$312,E296,BD_PLAN!$C$3:$C$312,INDEX(BD_CICLO!$F$3:$F$54,MATCH(E296&amp;"|"&amp;H296,BD_CICLO!$G$3:$G$54,0))),""))</f>
        <v/>
      </c>
      <c r="L296" s="9"/>
      <c r="M296" s="9"/>
      <c r="N296" s="1" t="str">
        <f aca="false">IF(C296="","",C296&amp;"|"&amp;COUNTIF(C$3:C296,C296))</f>
        <v/>
      </c>
      <c r="O296" s="1" t="str">
        <f aca="false">IF(OR(C296="",M296=""),"",C296&amp;"|"&amp;COUNTIFS(C$3:C296,C296,M$3:M296,"&lt;&gt;"))</f>
        <v/>
      </c>
    </row>
    <row r="297" customFormat="false" ht="15" hidden="false" customHeight="false" outlineLevel="0" collapsed="false">
      <c r="B297" s="7"/>
      <c r="C297" s="5"/>
      <c r="D297" s="9" t="str">
        <f aca="false">IF(C297="","",IFERROR(VLOOKUP(C297,EQUIPOS!$B$3:$C$18,2,0),"NO EXISTE"))</f>
        <v/>
      </c>
      <c r="E297" s="9" t="str">
        <f aca="false">IF(C297="","",IFERROR(VLOOKUP(C297,EQUIPOS!$B$3:$F$18,5,0),""))</f>
        <v/>
      </c>
      <c r="F297" s="5" t="str">
        <f aca="false">IF(C297="","",IFERROR(VLOOKUP(C297,EQUIPOS!$B$3:$G$18,6,0),""))</f>
        <v/>
      </c>
      <c r="G297" s="8"/>
      <c r="H297" s="5"/>
      <c r="I297" s="5"/>
      <c r="J297" s="9"/>
      <c r="K297" s="17" t="str">
        <f aca="false">IF(H297="","",IFERROR(SUMIFS(BD_PLAN!$I$3:$I$312,BD_PLAN!$B$3:$B$312,E297,BD_PLAN!$C$3:$C$312,INDEX(BD_CICLO!$F$3:$F$54,MATCH(E297&amp;"|"&amp;H297,BD_CICLO!$G$3:$G$54,0))),""))</f>
        <v/>
      </c>
      <c r="L297" s="9"/>
      <c r="M297" s="9"/>
      <c r="N297" s="1" t="str">
        <f aca="false">IF(C297="","",C297&amp;"|"&amp;COUNTIF(C$3:C297,C297))</f>
        <v/>
      </c>
      <c r="O297" s="1" t="str">
        <f aca="false">IF(OR(C297="",M297=""),"",C297&amp;"|"&amp;COUNTIFS(C$3:C297,C297,M$3:M297,"&lt;&gt;"))</f>
        <v/>
      </c>
    </row>
    <row r="298" customFormat="false" ht="15" hidden="false" customHeight="false" outlineLevel="0" collapsed="false">
      <c r="B298" s="7"/>
      <c r="C298" s="5"/>
      <c r="D298" s="9" t="str">
        <f aca="false">IF(C298="","",IFERROR(VLOOKUP(C298,EQUIPOS!$B$3:$C$18,2,0),"NO EXISTE"))</f>
        <v/>
      </c>
      <c r="E298" s="9" t="str">
        <f aca="false">IF(C298="","",IFERROR(VLOOKUP(C298,EQUIPOS!$B$3:$F$18,5,0),""))</f>
        <v/>
      </c>
      <c r="F298" s="5" t="str">
        <f aca="false">IF(C298="","",IFERROR(VLOOKUP(C298,EQUIPOS!$B$3:$G$18,6,0),""))</f>
        <v/>
      </c>
      <c r="G298" s="8"/>
      <c r="H298" s="5"/>
      <c r="I298" s="5"/>
      <c r="J298" s="9"/>
      <c r="K298" s="17" t="str">
        <f aca="false">IF(H298="","",IFERROR(SUMIFS(BD_PLAN!$I$3:$I$312,BD_PLAN!$B$3:$B$312,E298,BD_PLAN!$C$3:$C$312,INDEX(BD_CICLO!$F$3:$F$54,MATCH(E298&amp;"|"&amp;H298,BD_CICLO!$G$3:$G$54,0))),""))</f>
        <v/>
      </c>
      <c r="L298" s="9"/>
      <c r="M298" s="9"/>
      <c r="N298" s="1" t="str">
        <f aca="false">IF(C298="","",C298&amp;"|"&amp;COUNTIF(C$3:C298,C298))</f>
        <v/>
      </c>
      <c r="O298" s="1" t="str">
        <f aca="false">IF(OR(C298="",M298=""),"",C298&amp;"|"&amp;COUNTIFS(C$3:C298,C298,M$3:M298,"&lt;&gt;"))</f>
        <v/>
      </c>
    </row>
    <row r="299" customFormat="false" ht="15" hidden="false" customHeight="false" outlineLevel="0" collapsed="false">
      <c r="B299" s="7"/>
      <c r="C299" s="5"/>
      <c r="D299" s="9" t="str">
        <f aca="false">IF(C299="","",IFERROR(VLOOKUP(C299,EQUIPOS!$B$3:$C$18,2,0),"NO EXISTE"))</f>
        <v/>
      </c>
      <c r="E299" s="9" t="str">
        <f aca="false">IF(C299="","",IFERROR(VLOOKUP(C299,EQUIPOS!$B$3:$F$18,5,0),""))</f>
        <v/>
      </c>
      <c r="F299" s="5" t="str">
        <f aca="false">IF(C299="","",IFERROR(VLOOKUP(C299,EQUIPOS!$B$3:$G$18,6,0),""))</f>
        <v/>
      </c>
      <c r="G299" s="8"/>
      <c r="H299" s="5"/>
      <c r="I299" s="5"/>
      <c r="J299" s="9"/>
      <c r="K299" s="17" t="str">
        <f aca="false">IF(H299="","",IFERROR(SUMIFS(BD_PLAN!$I$3:$I$312,BD_PLAN!$B$3:$B$312,E299,BD_PLAN!$C$3:$C$312,INDEX(BD_CICLO!$F$3:$F$54,MATCH(E299&amp;"|"&amp;H299,BD_CICLO!$G$3:$G$54,0))),""))</f>
        <v/>
      </c>
      <c r="L299" s="9"/>
      <c r="M299" s="9"/>
      <c r="N299" s="1" t="str">
        <f aca="false">IF(C299="","",C299&amp;"|"&amp;COUNTIF(C$3:C299,C299))</f>
        <v/>
      </c>
      <c r="O299" s="1" t="str">
        <f aca="false">IF(OR(C299="",M299=""),"",C299&amp;"|"&amp;COUNTIFS(C$3:C299,C299,M$3:M299,"&lt;&gt;"))</f>
        <v/>
      </c>
    </row>
    <row r="300" customFormat="false" ht="15" hidden="false" customHeight="false" outlineLevel="0" collapsed="false">
      <c r="B300" s="7"/>
      <c r="C300" s="5"/>
      <c r="D300" s="9" t="str">
        <f aca="false">IF(C300="","",IFERROR(VLOOKUP(C300,EQUIPOS!$B$3:$C$18,2,0),"NO EXISTE"))</f>
        <v/>
      </c>
      <c r="E300" s="9" t="str">
        <f aca="false">IF(C300="","",IFERROR(VLOOKUP(C300,EQUIPOS!$B$3:$F$18,5,0),""))</f>
        <v/>
      </c>
      <c r="F300" s="5" t="str">
        <f aca="false">IF(C300="","",IFERROR(VLOOKUP(C300,EQUIPOS!$B$3:$G$18,6,0),""))</f>
        <v/>
      </c>
      <c r="G300" s="8"/>
      <c r="H300" s="5"/>
      <c r="I300" s="5"/>
      <c r="J300" s="9"/>
      <c r="K300" s="17" t="str">
        <f aca="false">IF(H300="","",IFERROR(SUMIFS(BD_PLAN!$I$3:$I$312,BD_PLAN!$B$3:$B$312,E300,BD_PLAN!$C$3:$C$312,INDEX(BD_CICLO!$F$3:$F$54,MATCH(E300&amp;"|"&amp;H300,BD_CICLO!$G$3:$G$54,0))),""))</f>
        <v/>
      </c>
      <c r="L300" s="9"/>
      <c r="M300" s="9"/>
      <c r="N300" s="1" t="str">
        <f aca="false">IF(C300="","",C300&amp;"|"&amp;COUNTIF(C$3:C300,C300))</f>
        <v/>
      </c>
      <c r="O300" s="1" t="str">
        <f aca="false">IF(OR(C300="",M300=""),"",C300&amp;"|"&amp;COUNTIFS(C$3:C300,C300,M$3:M300,"&lt;&gt;"))</f>
        <v/>
      </c>
    </row>
    <row r="301" customFormat="false" ht="15" hidden="false" customHeight="false" outlineLevel="0" collapsed="false">
      <c r="B301" s="7"/>
      <c r="C301" s="5"/>
      <c r="D301" s="9" t="str">
        <f aca="false">IF(C301="","",IFERROR(VLOOKUP(C301,EQUIPOS!$B$3:$C$18,2,0),"NO EXISTE"))</f>
        <v/>
      </c>
      <c r="E301" s="9" t="str">
        <f aca="false">IF(C301="","",IFERROR(VLOOKUP(C301,EQUIPOS!$B$3:$F$18,5,0),""))</f>
        <v/>
      </c>
      <c r="F301" s="5" t="str">
        <f aca="false">IF(C301="","",IFERROR(VLOOKUP(C301,EQUIPOS!$B$3:$G$18,6,0),""))</f>
        <v/>
      </c>
      <c r="G301" s="8"/>
      <c r="H301" s="5"/>
      <c r="I301" s="5"/>
      <c r="J301" s="9"/>
      <c r="K301" s="17" t="str">
        <f aca="false">IF(H301="","",IFERROR(SUMIFS(BD_PLAN!$I$3:$I$312,BD_PLAN!$B$3:$B$312,E301,BD_PLAN!$C$3:$C$312,INDEX(BD_CICLO!$F$3:$F$54,MATCH(E301&amp;"|"&amp;H301,BD_CICLO!$G$3:$G$54,0))),""))</f>
        <v/>
      </c>
      <c r="L301" s="9"/>
      <c r="M301" s="9"/>
      <c r="N301" s="1" t="str">
        <f aca="false">IF(C301="","",C301&amp;"|"&amp;COUNTIF(C$3:C301,C301))</f>
        <v/>
      </c>
      <c r="O301" s="1" t="str">
        <f aca="false">IF(OR(C301="",M301=""),"",C301&amp;"|"&amp;COUNTIFS(C$3:C301,C301,M$3:M301,"&lt;&gt;"))</f>
        <v/>
      </c>
    </row>
    <row r="302" customFormat="false" ht="15" hidden="false" customHeight="false" outlineLevel="0" collapsed="false">
      <c r="B302" s="7"/>
      <c r="C302" s="5"/>
      <c r="D302" s="9" t="str">
        <f aca="false">IF(C302="","",IFERROR(VLOOKUP(C302,EQUIPOS!$B$3:$C$18,2,0),"NO EXISTE"))</f>
        <v/>
      </c>
      <c r="E302" s="9" t="str">
        <f aca="false">IF(C302="","",IFERROR(VLOOKUP(C302,EQUIPOS!$B$3:$F$18,5,0),""))</f>
        <v/>
      </c>
      <c r="F302" s="5" t="str">
        <f aca="false">IF(C302="","",IFERROR(VLOOKUP(C302,EQUIPOS!$B$3:$G$18,6,0),""))</f>
        <v/>
      </c>
      <c r="G302" s="8"/>
      <c r="H302" s="5"/>
      <c r="I302" s="5"/>
      <c r="J302" s="9"/>
      <c r="K302" s="17" t="str">
        <f aca="false">IF(H302="","",IFERROR(SUMIFS(BD_PLAN!$I$3:$I$312,BD_PLAN!$B$3:$B$312,E302,BD_PLAN!$C$3:$C$312,INDEX(BD_CICLO!$F$3:$F$54,MATCH(E302&amp;"|"&amp;H302,BD_CICLO!$G$3:$G$54,0))),""))</f>
        <v/>
      </c>
      <c r="L302" s="9"/>
      <c r="M302" s="9"/>
      <c r="N302" s="1" t="str">
        <f aca="false">IF(C302="","",C302&amp;"|"&amp;COUNTIF(C$3:C302,C302))</f>
        <v/>
      </c>
      <c r="O302" s="1" t="str">
        <f aca="false">IF(OR(C302="",M302=""),"",C302&amp;"|"&amp;COUNTIFS(C$3:C302,C302,M$3:M302,"&lt;&gt;"))</f>
        <v/>
      </c>
    </row>
    <row r="303" customFormat="false" ht="15" hidden="false" customHeight="false" outlineLevel="0" collapsed="false">
      <c r="B303" s="7"/>
      <c r="C303" s="5"/>
      <c r="D303" s="9" t="str">
        <f aca="false">IF(C303="","",IFERROR(VLOOKUP(C303,EQUIPOS!$B$3:$C$18,2,0),"NO EXISTE"))</f>
        <v/>
      </c>
      <c r="E303" s="9" t="str">
        <f aca="false">IF(C303="","",IFERROR(VLOOKUP(C303,EQUIPOS!$B$3:$F$18,5,0),""))</f>
        <v/>
      </c>
      <c r="F303" s="5" t="str">
        <f aca="false">IF(C303="","",IFERROR(VLOOKUP(C303,EQUIPOS!$B$3:$G$18,6,0),""))</f>
        <v/>
      </c>
      <c r="G303" s="8"/>
      <c r="H303" s="5"/>
      <c r="I303" s="5"/>
      <c r="J303" s="9"/>
      <c r="K303" s="17" t="str">
        <f aca="false">IF(H303="","",IFERROR(SUMIFS(BD_PLAN!$I$3:$I$312,BD_PLAN!$B$3:$B$312,E303,BD_PLAN!$C$3:$C$312,INDEX(BD_CICLO!$F$3:$F$54,MATCH(E303&amp;"|"&amp;H303,BD_CICLO!$G$3:$G$54,0))),""))</f>
        <v/>
      </c>
      <c r="L303" s="9"/>
      <c r="M303" s="9"/>
      <c r="N303" s="1" t="str">
        <f aca="false">IF(C303="","",C303&amp;"|"&amp;COUNTIF(C$3:C303,C303))</f>
        <v/>
      </c>
      <c r="O303" s="1" t="str">
        <f aca="false">IF(OR(C303="",M303=""),"",C303&amp;"|"&amp;COUNTIFS(C$3:C303,C303,M$3:M303,"&lt;&gt;"))</f>
        <v/>
      </c>
    </row>
    <row r="304" customFormat="false" ht="15" hidden="false" customHeight="false" outlineLevel="0" collapsed="false">
      <c r="B304" s="7"/>
      <c r="C304" s="5"/>
      <c r="D304" s="9" t="str">
        <f aca="false">IF(C304="","",IFERROR(VLOOKUP(C304,EQUIPOS!$B$3:$C$18,2,0),"NO EXISTE"))</f>
        <v/>
      </c>
      <c r="E304" s="9" t="str">
        <f aca="false">IF(C304="","",IFERROR(VLOOKUP(C304,EQUIPOS!$B$3:$F$18,5,0),""))</f>
        <v/>
      </c>
      <c r="F304" s="5" t="str">
        <f aca="false">IF(C304="","",IFERROR(VLOOKUP(C304,EQUIPOS!$B$3:$G$18,6,0),""))</f>
        <v/>
      </c>
      <c r="G304" s="8"/>
      <c r="H304" s="5"/>
      <c r="I304" s="5"/>
      <c r="J304" s="9"/>
      <c r="K304" s="17" t="str">
        <f aca="false">IF(H304="","",IFERROR(SUMIFS(BD_PLAN!$I$3:$I$312,BD_PLAN!$B$3:$B$312,E304,BD_PLAN!$C$3:$C$312,INDEX(BD_CICLO!$F$3:$F$54,MATCH(E304&amp;"|"&amp;H304,BD_CICLO!$G$3:$G$54,0))),""))</f>
        <v/>
      </c>
      <c r="L304" s="9"/>
      <c r="M304" s="9"/>
      <c r="N304" s="1" t="str">
        <f aca="false">IF(C304="","",C304&amp;"|"&amp;COUNTIF(C$3:C304,C304))</f>
        <v/>
      </c>
      <c r="O304" s="1" t="str">
        <f aca="false">IF(OR(C304="",M304=""),"",C304&amp;"|"&amp;COUNTIFS(C$3:C304,C304,M$3:M304,"&lt;&gt;"))</f>
        <v/>
      </c>
    </row>
    <row r="305" customFormat="false" ht="15" hidden="false" customHeight="false" outlineLevel="0" collapsed="false">
      <c r="B305" s="7"/>
      <c r="C305" s="5"/>
      <c r="D305" s="9" t="str">
        <f aca="false">IF(C305="","",IFERROR(VLOOKUP(C305,EQUIPOS!$B$3:$C$18,2,0),"NO EXISTE"))</f>
        <v/>
      </c>
      <c r="E305" s="9" t="str">
        <f aca="false">IF(C305="","",IFERROR(VLOOKUP(C305,EQUIPOS!$B$3:$F$18,5,0),""))</f>
        <v/>
      </c>
      <c r="F305" s="5" t="str">
        <f aca="false">IF(C305="","",IFERROR(VLOOKUP(C305,EQUIPOS!$B$3:$G$18,6,0),""))</f>
        <v/>
      </c>
      <c r="G305" s="8"/>
      <c r="H305" s="5"/>
      <c r="I305" s="5"/>
      <c r="J305" s="9"/>
      <c r="K305" s="17" t="str">
        <f aca="false">IF(H305="","",IFERROR(SUMIFS(BD_PLAN!$I$3:$I$312,BD_PLAN!$B$3:$B$312,E305,BD_PLAN!$C$3:$C$312,INDEX(BD_CICLO!$F$3:$F$54,MATCH(E305&amp;"|"&amp;H305,BD_CICLO!$G$3:$G$54,0))),""))</f>
        <v/>
      </c>
      <c r="L305" s="9"/>
      <c r="M305" s="9"/>
      <c r="N305" s="1" t="str">
        <f aca="false">IF(C305="","",C305&amp;"|"&amp;COUNTIF(C$3:C305,C305))</f>
        <v/>
      </c>
      <c r="O305" s="1" t="str">
        <f aca="false">IF(OR(C305="",M305=""),"",C305&amp;"|"&amp;COUNTIFS(C$3:C305,C305,M$3:M305,"&lt;&gt;"))</f>
        <v/>
      </c>
    </row>
    <row r="306" customFormat="false" ht="15" hidden="false" customHeight="false" outlineLevel="0" collapsed="false">
      <c r="B306" s="7"/>
      <c r="C306" s="5"/>
      <c r="D306" s="9" t="str">
        <f aca="false">IF(C306="","",IFERROR(VLOOKUP(C306,EQUIPOS!$B$3:$C$18,2,0),"NO EXISTE"))</f>
        <v/>
      </c>
      <c r="E306" s="9" t="str">
        <f aca="false">IF(C306="","",IFERROR(VLOOKUP(C306,EQUIPOS!$B$3:$F$18,5,0),""))</f>
        <v/>
      </c>
      <c r="F306" s="5" t="str">
        <f aca="false">IF(C306="","",IFERROR(VLOOKUP(C306,EQUIPOS!$B$3:$G$18,6,0),""))</f>
        <v/>
      </c>
      <c r="G306" s="8"/>
      <c r="H306" s="5"/>
      <c r="I306" s="5"/>
      <c r="J306" s="9"/>
      <c r="K306" s="17" t="str">
        <f aca="false">IF(H306="","",IFERROR(SUMIFS(BD_PLAN!$I$3:$I$312,BD_PLAN!$B$3:$B$312,E306,BD_PLAN!$C$3:$C$312,INDEX(BD_CICLO!$F$3:$F$54,MATCH(E306&amp;"|"&amp;H306,BD_CICLO!$G$3:$G$54,0))),""))</f>
        <v/>
      </c>
      <c r="L306" s="9"/>
      <c r="M306" s="9"/>
      <c r="N306" s="1" t="str">
        <f aca="false">IF(C306="","",C306&amp;"|"&amp;COUNTIF(C$3:C306,C306))</f>
        <v/>
      </c>
      <c r="O306" s="1" t="str">
        <f aca="false">IF(OR(C306="",M306=""),"",C306&amp;"|"&amp;COUNTIFS(C$3:C306,C306,M$3:M306,"&lt;&gt;"))</f>
        <v/>
      </c>
    </row>
    <row r="307" customFormat="false" ht="15" hidden="false" customHeight="false" outlineLevel="0" collapsed="false">
      <c r="B307" s="7"/>
      <c r="C307" s="5"/>
      <c r="D307" s="9" t="str">
        <f aca="false">IF(C307="","",IFERROR(VLOOKUP(C307,EQUIPOS!$B$3:$C$18,2,0),"NO EXISTE"))</f>
        <v/>
      </c>
      <c r="E307" s="9" t="str">
        <f aca="false">IF(C307="","",IFERROR(VLOOKUP(C307,EQUIPOS!$B$3:$F$18,5,0),""))</f>
        <v/>
      </c>
      <c r="F307" s="5" t="str">
        <f aca="false">IF(C307="","",IFERROR(VLOOKUP(C307,EQUIPOS!$B$3:$G$18,6,0),""))</f>
        <v/>
      </c>
      <c r="G307" s="8"/>
      <c r="H307" s="5"/>
      <c r="I307" s="5"/>
      <c r="J307" s="9"/>
      <c r="K307" s="17" t="str">
        <f aca="false">IF(H307="","",IFERROR(SUMIFS(BD_PLAN!$I$3:$I$312,BD_PLAN!$B$3:$B$312,E307,BD_PLAN!$C$3:$C$312,INDEX(BD_CICLO!$F$3:$F$54,MATCH(E307&amp;"|"&amp;H307,BD_CICLO!$G$3:$G$54,0))),""))</f>
        <v/>
      </c>
      <c r="L307" s="9"/>
      <c r="M307" s="9"/>
      <c r="N307" s="1" t="str">
        <f aca="false">IF(C307="","",C307&amp;"|"&amp;COUNTIF(C$3:C307,C307))</f>
        <v/>
      </c>
      <c r="O307" s="1" t="str">
        <f aca="false">IF(OR(C307="",M307=""),"",C307&amp;"|"&amp;COUNTIFS(C$3:C307,C307,M$3:M307,"&lt;&gt;"))</f>
        <v/>
      </c>
    </row>
    <row r="308" customFormat="false" ht="15" hidden="false" customHeight="false" outlineLevel="0" collapsed="false">
      <c r="B308" s="7"/>
      <c r="C308" s="5"/>
      <c r="D308" s="9" t="str">
        <f aca="false">IF(C308="","",IFERROR(VLOOKUP(C308,EQUIPOS!$B$3:$C$18,2,0),"NO EXISTE"))</f>
        <v/>
      </c>
      <c r="E308" s="9" t="str">
        <f aca="false">IF(C308="","",IFERROR(VLOOKUP(C308,EQUIPOS!$B$3:$F$18,5,0),""))</f>
        <v/>
      </c>
      <c r="F308" s="5" t="str">
        <f aca="false">IF(C308="","",IFERROR(VLOOKUP(C308,EQUIPOS!$B$3:$G$18,6,0),""))</f>
        <v/>
      </c>
      <c r="G308" s="8"/>
      <c r="H308" s="5"/>
      <c r="I308" s="5"/>
      <c r="J308" s="9"/>
      <c r="K308" s="17" t="str">
        <f aca="false">IF(H308="","",IFERROR(SUMIFS(BD_PLAN!$I$3:$I$312,BD_PLAN!$B$3:$B$312,E308,BD_PLAN!$C$3:$C$312,INDEX(BD_CICLO!$F$3:$F$54,MATCH(E308&amp;"|"&amp;H308,BD_CICLO!$G$3:$G$54,0))),""))</f>
        <v/>
      </c>
      <c r="L308" s="9"/>
      <c r="M308" s="9"/>
      <c r="N308" s="1" t="str">
        <f aca="false">IF(C308="","",C308&amp;"|"&amp;COUNTIF(C$3:C308,C308))</f>
        <v/>
      </c>
      <c r="O308" s="1" t="str">
        <f aca="false">IF(OR(C308="",M308=""),"",C308&amp;"|"&amp;COUNTIFS(C$3:C308,C308,M$3:M308,"&lt;&gt;"))</f>
        <v/>
      </c>
    </row>
    <row r="309" customFormat="false" ht="15" hidden="false" customHeight="false" outlineLevel="0" collapsed="false">
      <c r="B309" s="7"/>
      <c r="C309" s="5"/>
      <c r="D309" s="9" t="str">
        <f aca="false">IF(C309="","",IFERROR(VLOOKUP(C309,EQUIPOS!$B$3:$C$18,2,0),"NO EXISTE"))</f>
        <v/>
      </c>
      <c r="E309" s="9" t="str">
        <f aca="false">IF(C309="","",IFERROR(VLOOKUP(C309,EQUIPOS!$B$3:$F$18,5,0),""))</f>
        <v/>
      </c>
      <c r="F309" s="5" t="str">
        <f aca="false">IF(C309="","",IFERROR(VLOOKUP(C309,EQUIPOS!$B$3:$G$18,6,0),""))</f>
        <v/>
      </c>
      <c r="G309" s="8"/>
      <c r="H309" s="5"/>
      <c r="I309" s="5"/>
      <c r="J309" s="9"/>
      <c r="K309" s="17" t="str">
        <f aca="false">IF(H309="","",IFERROR(SUMIFS(BD_PLAN!$I$3:$I$312,BD_PLAN!$B$3:$B$312,E309,BD_PLAN!$C$3:$C$312,INDEX(BD_CICLO!$F$3:$F$54,MATCH(E309&amp;"|"&amp;H309,BD_CICLO!$G$3:$G$54,0))),""))</f>
        <v/>
      </c>
      <c r="L309" s="9"/>
      <c r="M309" s="9"/>
      <c r="N309" s="1" t="str">
        <f aca="false">IF(C309="","",C309&amp;"|"&amp;COUNTIF(C$3:C309,C309))</f>
        <v/>
      </c>
      <c r="O309" s="1" t="str">
        <f aca="false">IF(OR(C309="",M309=""),"",C309&amp;"|"&amp;COUNTIFS(C$3:C309,C309,M$3:M309,"&lt;&gt;"))</f>
        <v/>
      </c>
    </row>
    <row r="310" customFormat="false" ht="15" hidden="false" customHeight="false" outlineLevel="0" collapsed="false">
      <c r="B310" s="7"/>
      <c r="C310" s="5"/>
      <c r="D310" s="9" t="str">
        <f aca="false">IF(C310="","",IFERROR(VLOOKUP(C310,EQUIPOS!$B$3:$C$18,2,0),"NO EXISTE"))</f>
        <v/>
      </c>
      <c r="E310" s="9" t="str">
        <f aca="false">IF(C310="","",IFERROR(VLOOKUP(C310,EQUIPOS!$B$3:$F$18,5,0),""))</f>
        <v/>
      </c>
      <c r="F310" s="5" t="str">
        <f aca="false">IF(C310="","",IFERROR(VLOOKUP(C310,EQUIPOS!$B$3:$G$18,6,0),""))</f>
        <v/>
      </c>
      <c r="G310" s="8"/>
      <c r="H310" s="5"/>
      <c r="I310" s="5"/>
      <c r="J310" s="9"/>
      <c r="K310" s="17" t="str">
        <f aca="false">IF(H310="","",IFERROR(SUMIFS(BD_PLAN!$I$3:$I$312,BD_PLAN!$B$3:$B$312,E310,BD_PLAN!$C$3:$C$312,INDEX(BD_CICLO!$F$3:$F$54,MATCH(E310&amp;"|"&amp;H310,BD_CICLO!$G$3:$G$54,0))),""))</f>
        <v/>
      </c>
      <c r="L310" s="9"/>
      <c r="M310" s="9"/>
      <c r="N310" s="1" t="str">
        <f aca="false">IF(C310="","",C310&amp;"|"&amp;COUNTIF(C$3:C310,C310))</f>
        <v/>
      </c>
      <c r="O310" s="1" t="str">
        <f aca="false">IF(OR(C310="",M310=""),"",C310&amp;"|"&amp;COUNTIFS(C$3:C310,C310,M$3:M310,"&lt;&gt;"))</f>
        <v/>
      </c>
    </row>
    <row r="311" customFormat="false" ht="15" hidden="false" customHeight="false" outlineLevel="0" collapsed="false">
      <c r="B311" s="7"/>
      <c r="C311" s="5"/>
      <c r="D311" s="9" t="str">
        <f aca="false">IF(C311="","",IFERROR(VLOOKUP(C311,EQUIPOS!$B$3:$C$18,2,0),"NO EXISTE"))</f>
        <v/>
      </c>
      <c r="E311" s="9" t="str">
        <f aca="false">IF(C311="","",IFERROR(VLOOKUP(C311,EQUIPOS!$B$3:$F$18,5,0),""))</f>
        <v/>
      </c>
      <c r="F311" s="5" t="str">
        <f aca="false">IF(C311="","",IFERROR(VLOOKUP(C311,EQUIPOS!$B$3:$G$18,6,0),""))</f>
        <v/>
      </c>
      <c r="G311" s="8"/>
      <c r="H311" s="5"/>
      <c r="I311" s="5"/>
      <c r="J311" s="9"/>
      <c r="K311" s="17" t="str">
        <f aca="false">IF(H311="","",IFERROR(SUMIFS(BD_PLAN!$I$3:$I$312,BD_PLAN!$B$3:$B$312,E311,BD_PLAN!$C$3:$C$312,INDEX(BD_CICLO!$F$3:$F$54,MATCH(E311&amp;"|"&amp;H311,BD_CICLO!$G$3:$G$54,0))),""))</f>
        <v/>
      </c>
      <c r="L311" s="9"/>
      <c r="M311" s="9"/>
      <c r="N311" s="1" t="str">
        <f aca="false">IF(C311="","",C311&amp;"|"&amp;COUNTIF(C$3:C311,C311))</f>
        <v/>
      </c>
      <c r="O311" s="1" t="str">
        <f aca="false">IF(OR(C311="",M311=""),"",C311&amp;"|"&amp;COUNTIFS(C$3:C311,C311,M$3:M311,"&lt;&gt;"))</f>
        <v/>
      </c>
    </row>
    <row r="312" customFormat="false" ht="15" hidden="false" customHeight="false" outlineLevel="0" collapsed="false">
      <c r="B312" s="7"/>
      <c r="C312" s="5"/>
      <c r="D312" s="9" t="str">
        <f aca="false">IF(C312="","",IFERROR(VLOOKUP(C312,EQUIPOS!$B$3:$C$18,2,0),"NO EXISTE"))</f>
        <v/>
      </c>
      <c r="E312" s="9" t="str">
        <f aca="false">IF(C312="","",IFERROR(VLOOKUP(C312,EQUIPOS!$B$3:$F$18,5,0),""))</f>
        <v/>
      </c>
      <c r="F312" s="5" t="str">
        <f aca="false">IF(C312="","",IFERROR(VLOOKUP(C312,EQUIPOS!$B$3:$G$18,6,0),""))</f>
        <v/>
      </c>
      <c r="G312" s="8"/>
      <c r="H312" s="5"/>
      <c r="I312" s="5"/>
      <c r="J312" s="9"/>
      <c r="K312" s="17" t="str">
        <f aca="false">IF(H312="","",IFERROR(SUMIFS(BD_PLAN!$I$3:$I$312,BD_PLAN!$B$3:$B$312,E312,BD_PLAN!$C$3:$C$312,INDEX(BD_CICLO!$F$3:$F$54,MATCH(E312&amp;"|"&amp;H312,BD_CICLO!$G$3:$G$54,0))),""))</f>
        <v/>
      </c>
      <c r="L312" s="9"/>
      <c r="M312" s="9"/>
      <c r="N312" s="1" t="str">
        <f aca="false">IF(C312="","",C312&amp;"|"&amp;COUNTIF(C$3:C312,C312))</f>
        <v/>
      </c>
      <c r="O312" s="1" t="str">
        <f aca="false">IF(OR(C312="",M312=""),"",C312&amp;"|"&amp;COUNTIFS(C$3:C312,C312,M$3:M312,"&lt;&gt;"))</f>
        <v/>
      </c>
    </row>
    <row r="313" customFormat="false" ht="15" hidden="false" customHeight="false" outlineLevel="0" collapsed="false">
      <c r="B313" s="7"/>
      <c r="C313" s="5"/>
      <c r="D313" s="9" t="str">
        <f aca="false">IF(C313="","",IFERROR(VLOOKUP(C313,EQUIPOS!$B$3:$C$18,2,0),"NO EXISTE"))</f>
        <v/>
      </c>
      <c r="E313" s="9" t="str">
        <f aca="false">IF(C313="","",IFERROR(VLOOKUP(C313,EQUIPOS!$B$3:$F$18,5,0),""))</f>
        <v/>
      </c>
      <c r="F313" s="5" t="str">
        <f aca="false">IF(C313="","",IFERROR(VLOOKUP(C313,EQUIPOS!$B$3:$G$18,6,0),""))</f>
        <v/>
      </c>
      <c r="G313" s="8"/>
      <c r="H313" s="5"/>
      <c r="I313" s="5"/>
      <c r="J313" s="9"/>
      <c r="K313" s="17" t="str">
        <f aca="false">IF(H313="","",IFERROR(SUMIFS(BD_PLAN!$I$3:$I$312,BD_PLAN!$B$3:$B$312,E313,BD_PLAN!$C$3:$C$312,INDEX(BD_CICLO!$F$3:$F$54,MATCH(E313&amp;"|"&amp;H313,BD_CICLO!$G$3:$G$54,0))),""))</f>
        <v/>
      </c>
      <c r="L313" s="9"/>
      <c r="M313" s="9"/>
      <c r="N313" s="1" t="str">
        <f aca="false">IF(C313="","",C313&amp;"|"&amp;COUNTIF(C$3:C313,C313))</f>
        <v/>
      </c>
      <c r="O313" s="1" t="str">
        <f aca="false">IF(OR(C313="",M313=""),"",C313&amp;"|"&amp;COUNTIFS(C$3:C313,C313,M$3:M313,"&lt;&gt;"))</f>
        <v/>
      </c>
    </row>
    <row r="314" customFormat="false" ht="15" hidden="false" customHeight="false" outlineLevel="0" collapsed="false">
      <c r="B314" s="7"/>
      <c r="C314" s="5"/>
      <c r="D314" s="9" t="str">
        <f aca="false">IF(C314="","",IFERROR(VLOOKUP(C314,EQUIPOS!$B$3:$C$18,2,0),"NO EXISTE"))</f>
        <v/>
      </c>
      <c r="E314" s="9" t="str">
        <f aca="false">IF(C314="","",IFERROR(VLOOKUP(C314,EQUIPOS!$B$3:$F$18,5,0),""))</f>
        <v/>
      </c>
      <c r="F314" s="5" t="str">
        <f aca="false">IF(C314="","",IFERROR(VLOOKUP(C314,EQUIPOS!$B$3:$G$18,6,0),""))</f>
        <v/>
      </c>
      <c r="G314" s="8"/>
      <c r="H314" s="5"/>
      <c r="I314" s="5"/>
      <c r="J314" s="9"/>
      <c r="K314" s="17" t="str">
        <f aca="false">IF(H314="","",IFERROR(SUMIFS(BD_PLAN!$I$3:$I$312,BD_PLAN!$B$3:$B$312,E314,BD_PLAN!$C$3:$C$312,INDEX(BD_CICLO!$F$3:$F$54,MATCH(E314&amp;"|"&amp;H314,BD_CICLO!$G$3:$G$54,0))),""))</f>
        <v/>
      </c>
      <c r="L314" s="9"/>
      <c r="M314" s="9"/>
      <c r="N314" s="1" t="str">
        <f aca="false">IF(C314="","",C314&amp;"|"&amp;COUNTIF(C$3:C314,C314))</f>
        <v/>
      </c>
      <c r="O314" s="1" t="str">
        <f aca="false">IF(OR(C314="",M314=""),"",C314&amp;"|"&amp;COUNTIFS(C$3:C314,C314,M$3:M314,"&lt;&gt;"))</f>
        <v/>
      </c>
    </row>
    <row r="315" customFormat="false" ht="15" hidden="false" customHeight="false" outlineLevel="0" collapsed="false">
      <c r="B315" s="7"/>
      <c r="C315" s="5"/>
      <c r="D315" s="9" t="str">
        <f aca="false">IF(C315="","",IFERROR(VLOOKUP(C315,EQUIPOS!$B$3:$C$18,2,0),"NO EXISTE"))</f>
        <v/>
      </c>
      <c r="E315" s="9" t="str">
        <f aca="false">IF(C315="","",IFERROR(VLOOKUP(C315,EQUIPOS!$B$3:$F$18,5,0),""))</f>
        <v/>
      </c>
      <c r="F315" s="5" t="str">
        <f aca="false">IF(C315="","",IFERROR(VLOOKUP(C315,EQUIPOS!$B$3:$G$18,6,0),""))</f>
        <v/>
      </c>
      <c r="G315" s="8"/>
      <c r="H315" s="5"/>
      <c r="I315" s="5"/>
      <c r="J315" s="9"/>
      <c r="K315" s="17" t="str">
        <f aca="false">IF(H315="","",IFERROR(SUMIFS(BD_PLAN!$I$3:$I$312,BD_PLAN!$B$3:$B$312,E315,BD_PLAN!$C$3:$C$312,INDEX(BD_CICLO!$F$3:$F$54,MATCH(E315&amp;"|"&amp;H315,BD_CICLO!$G$3:$G$54,0))),""))</f>
        <v/>
      </c>
      <c r="L315" s="9"/>
      <c r="M315" s="9"/>
      <c r="N315" s="1" t="str">
        <f aca="false">IF(C315="","",C315&amp;"|"&amp;COUNTIF(C$3:C315,C315))</f>
        <v/>
      </c>
      <c r="O315" s="1" t="str">
        <f aca="false">IF(OR(C315="",M315=""),"",C315&amp;"|"&amp;COUNTIFS(C$3:C315,C315,M$3:M315,"&lt;&gt;"))</f>
        <v/>
      </c>
    </row>
    <row r="316" customFormat="false" ht="15" hidden="false" customHeight="false" outlineLevel="0" collapsed="false">
      <c r="B316" s="7"/>
      <c r="C316" s="5"/>
      <c r="D316" s="9" t="str">
        <f aca="false">IF(C316="","",IFERROR(VLOOKUP(C316,EQUIPOS!$B$3:$C$18,2,0),"NO EXISTE"))</f>
        <v/>
      </c>
      <c r="E316" s="9" t="str">
        <f aca="false">IF(C316="","",IFERROR(VLOOKUP(C316,EQUIPOS!$B$3:$F$18,5,0),""))</f>
        <v/>
      </c>
      <c r="F316" s="5" t="str">
        <f aca="false">IF(C316="","",IFERROR(VLOOKUP(C316,EQUIPOS!$B$3:$G$18,6,0),""))</f>
        <v/>
      </c>
      <c r="G316" s="8"/>
      <c r="H316" s="5"/>
      <c r="I316" s="5"/>
      <c r="J316" s="9"/>
      <c r="K316" s="17" t="str">
        <f aca="false">IF(H316="","",IFERROR(SUMIFS(BD_PLAN!$I$3:$I$312,BD_PLAN!$B$3:$B$312,E316,BD_PLAN!$C$3:$C$312,INDEX(BD_CICLO!$F$3:$F$54,MATCH(E316&amp;"|"&amp;H316,BD_CICLO!$G$3:$G$54,0))),""))</f>
        <v/>
      </c>
      <c r="L316" s="9"/>
      <c r="M316" s="9"/>
      <c r="N316" s="1" t="str">
        <f aca="false">IF(C316="","",C316&amp;"|"&amp;COUNTIF(C$3:C316,C316))</f>
        <v/>
      </c>
      <c r="O316" s="1" t="str">
        <f aca="false">IF(OR(C316="",M316=""),"",C316&amp;"|"&amp;COUNTIFS(C$3:C316,C316,M$3:M316,"&lt;&gt;"))</f>
        <v/>
      </c>
    </row>
    <row r="317" customFormat="false" ht="15" hidden="false" customHeight="false" outlineLevel="0" collapsed="false">
      <c r="B317" s="7"/>
      <c r="C317" s="5"/>
      <c r="D317" s="9" t="str">
        <f aca="false">IF(C317="","",IFERROR(VLOOKUP(C317,EQUIPOS!$B$3:$C$18,2,0),"NO EXISTE"))</f>
        <v/>
      </c>
      <c r="E317" s="9" t="str">
        <f aca="false">IF(C317="","",IFERROR(VLOOKUP(C317,EQUIPOS!$B$3:$F$18,5,0),""))</f>
        <v/>
      </c>
      <c r="F317" s="5" t="str">
        <f aca="false">IF(C317="","",IFERROR(VLOOKUP(C317,EQUIPOS!$B$3:$G$18,6,0),""))</f>
        <v/>
      </c>
      <c r="G317" s="8"/>
      <c r="H317" s="5"/>
      <c r="I317" s="5"/>
      <c r="J317" s="9"/>
      <c r="K317" s="17" t="str">
        <f aca="false">IF(H317="","",IFERROR(SUMIFS(BD_PLAN!$I$3:$I$312,BD_PLAN!$B$3:$B$312,E317,BD_PLAN!$C$3:$C$312,INDEX(BD_CICLO!$F$3:$F$54,MATCH(E317&amp;"|"&amp;H317,BD_CICLO!$G$3:$G$54,0))),""))</f>
        <v/>
      </c>
      <c r="L317" s="9"/>
      <c r="M317" s="9"/>
      <c r="N317" s="1" t="str">
        <f aca="false">IF(C317="","",C317&amp;"|"&amp;COUNTIF(C$3:C317,C317))</f>
        <v/>
      </c>
      <c r="O317" s="1" t="str">
        <f aca="false">IF(OR(C317="",M317=""),"",C317&amp;"|"&amp;COUNTIFS(C$3:C317,C317,M$3:M317,"&lt;&gt;"))</f>
        <v/>
      </c>
    </row>
    <row r="318" customFormat="false" ht="15" hidden="false" customHeight="false" outlineLevel="0" collapsed="false">
      <c r="B318" s="7"/>
      <c r="C318" s="5"/>
      <c r="D318" s="9" t="str">
        <f aca="false">IF(C318="","",IFERROR(VLOOKUP(C318,EQUIPOS!$B$3:$C$18,2,0),"NO EXISTE"))</f>
        <v/>
      </c>
      <c r="E318" s="9" t="str">
        <f aca="false">IF(C318="","",IFERROR(VLOOKUP(C318,EQUIPOS!$B$3:$F$18,5,0),""))</f>
        <v/>
      </c>
      <c r="F318" s="5" t="str">
        <f aca="false">IF(C318="","",IFERROR(VLOOKUP(C318,EQUIPOS!$B$3:$G$18,6,0),""))</f>
        <v/>
      </c>
      <c r="G318" s="8"/>
      <c r="H318" s="5"/>
      <c r="I318" s="5"/>
      <c r="J318" s="9"/>
      <c r="K318" s="17" t="str">
        <f aca="false">IF(H318="","",IFERROR(SUMIFS(BD_PLAN!$I$3:$I$312,BD_PLAN!$B$3:$B$312,E318,BD_PLAN!$C$3:$C$312,INDEX(BD_CICLO!$F$3:$F$54,MATCH(E318&amp;"|"&amp;H318,BD_CICLO!$G$3:$G$54,0))),""))</f>
        <v/>
      </c>
      <c r="L318" s="9"/>
      <c r="M318" s="9"/>
      <c r="N318" s="1" t="str">
        <f aca="false">IF(C318="","",C318&amp;"|"&amp;COUNTIF(C$3:C318,C318))</f>
        <v/>
      </c>
      <c r="O318" s="1" t="str">
        <f aca="false">IF(OR(C318="",M318=""),"",C318&amp;"|"&amp;COUNTIFS(C$3:C318,C318,M$3:M318,"&lt;&gt;"))</f>
        <v/>
      </c>
    </row>
    <row r="319" customFormat="false" ht="15" hidden="false" customHeight="false" outlineLevel="0" collapsed="false">
      <c r="B319" s="7"/>
      <c r="C319" s="5"/>
      <c r="D319" s="9" t="str">
        <f aca="false">IF(C319="","",IFERROR(VLOOKUP(C319,EQUIPOS!$B$3:$C$18,2,0),"NO EXISTE"))</f>
        <v/>
      </c>
      <c r="E319" s="9" t="str">
        <f aca="false">IF(C319="","",IFERROR(VLOOKUP(C319,EQUIPOS!$B$3:$F$18,5,0),""))</f>
        <v/>
      </c>
      <c r="F319" s="5" t="str">
        <f aca="false">IF(C319="","",IFERROR(VLOOKUP(C319,EQUIPOS!$B$3:$G$18,6,0),""))</f>
        <v/>
      </c>
      <c r="G319" s="8"/>
      <c r="H319" s="5"/>
      <c r="I319" s="5"/>
      <c r="J319" s="9"/>
      <c r="K319" s="17" t="str">
        <f aca="false">IF(H319="","",IFERROR(SUMIFS(BD_PLAN!$I$3:$I$312,BD_PLAN!$B$3:$B$312,E319,BD_PLAN!$C$3:$C$312,INDEX(BD_CICLO!$F$3:$F$54,MATCH(E319&amp;"|"&amp;H319,BD_CICLO!$G$3:$G$54,0))),""))</f>
        <v/>
      </c>
      <c r="L319" s="9"/>
      <c r="M319" s="9"/>
      <c r="N319" s="1" t="str">
        <f aca="false">IF(C319="","",C319&amp;"|"&amp;COUNTIF(C$3:C319,C319))</f>
        <v/>
      </c>
      <c r="O319" s="1" t="str">
        <f aca="false">IF(OR(C319="",M319=""),"",C319&amp;"|"&amp;COUNTIFS(C$3:C319,C319,M$3:M319,"&lt;&gt;"))</f>
        <v/>
      </c>
    </row>
    <row r="320" customFormat="false" ht="15" hidden="false" customHeight="false" outlineLevel="0" collapsed="false">
      <c r="B320" s="7"/>
      <c r="C320" s="5"/>
      <c r="D320" s="9" t="str">
        <f aca="false">IF(C320="","",IFERROR(VLOOKUP(C320,EQUIPOS!$B$3:$C$18,2,0),"NO EXISTE"))</f>
        <v/>
      </c>
      <c r="E320" s="9" t="str">
        <f aca="false">IF(C320="","",IFERROR(VLOOKUP(C320,EQUIPOS!$B$3:$F$18,5,0),""))</f>
        <v/>
      </c>
      <c r="F320" s="5" t="str">
        <f aca="false">IF(C320="","",IFERROR(VLOOKUP(C320,EQUIPOS!$B$3:$G$18,6,0),""))</f>
        <v/>
      </c>
      <c r="G320" s="8"/>
      <c r="H320" s="5"/>
      <c r="I320" s="5"/>
      <c r="J320" s="9"/>
      <c r="K320" s="17" t="str">
        <f aca="false">IF(H320="","",IFERROR(SUMIFS(BD_PLAN!$I$3:$I$312,BD_PLAN!$B$3:$B$312,E320,BD_PLAN!$C$3:$C$312,INDEX(BD_CICLO!$F$3:$F$54,MATCH(E320&amp;"|"&amp;H320,BD_CICLO!$G$3:$G$54,0))),""))</f>
        <v/>
      </c>
      <c r="L320" s="9"/>
      <c r="M320" s="9"/>
      <c r="N320" s="1" t="str">
        <f aca="false">IF(C320="","",C320&amp;"|"&amp;COUNTIF(C$3:C320,C320))</f>
        <v/>
      </c>
      <c r="O320" s="1" t="str">
        <f aca="false">IF(OR(C320="",M320=""),"",C320&amp;"|"&amp;COUNTIFS(C$3:C320,C320,M$3:M320,"&lt;&gt;"))</f>
        <v/>
      </c>
    </row>
    <row r="321" customFormat="false" ht="15" hidden="false" customHeight="false" outlineLevel="0" collapsed="false">
      <c r="B321" s="7"/>
      <c r="C321" s="5"/>
      <c r="D321" s="9" t="str">
        <f aca="false">IF(C321="","",IFERROR(VLOOKUP(C321,EQUIPOS!$B$3:$C$18,2,0),"NO EXISTE"))</f>
        <v/>
      </c>
      <c r="E321" s="9" t="str">
        <f aca="false">IF(C321="","",IFERROR(VLOOKUP(C321,EQUIPOS!$B$3:$F$18,5,0),""))</f>
        <v/>
      </c>
      <c r="F321" s="5" t="str">
        <f aca="false">IF(C321="","",IFERROR(VLOOKUP(C321,EQUIPOS!$B$3:$G$18,6,0),""))</f>
        <v/>
      </c>
      <c r="G321" s="8"/>
      <c r="H321" s="5"/>
      <c r="I321" s="5"/>
      <c r="J321" s="9"/>
      <c r="K321" s="17" t="str">
        <f aca="false">IF(H321="","",IFERROR(SUMIFS(BD_PLAN!$I$3:$I$312,BD_PLAN!$B$3:$B$312,E321,BD_PLAN!$C$3:$C$312,INDEX(BD_CICLO!$F$3:$F$54,MATCH(E321&amp;"|"&amp;H321,BD_CICLO!$G$3:$G$54,0))),""))</f>
        <v/>
      </c>
      <c r="L321" s="9"/>
      <c r="M321" s="9"/>
      <c r="N321" s="1" t="str">
        <f aca="false">IF(C321="","",C321&amp;"|"&amp;COUNTIF(C$3:C321,C321))</f>
        <v/>
      </c>
      <c r="O321" s="1" t="str">
        <f aca="false">IF(OR(C321="",M321=""),"",C321&amp;"|"&amp;COUNTIFS(C$3:C321,C321,M$3:M321,"&lt;&gt;"))</f>
        <v/>
      </c>
    </row>
    <row r="322" customFormat="false" ht="15" hidden="false" customHeight="false" outlineLevel="0" collapsed="false">
      <c r="B322" s="7"/>
      <c r="C322" s="5"/>
      <c r="D322" s="9" t="str">
        <f aca="false">IF(C322="","",IFERROR(VLOOKUP(C322,EQUIPOS!$B$3:$C$18,2,0),"NO EXISTE"))</f>
        <v/>
      </c>
      <c r="E322" s="9" t="str">
        <f aca="false">IF(C322="","",IFERROR(VLOOKUP(C322,EQUIPOS!$B$3:$F$18,5,0),""))</f>
        <v/>
      </c>
      <c r="F322" s="5" t="str">
        <f aca="false">IF(C322="","",IFERROR(VLOOKUP(C322,EQUIPOS!$B$3:$G$18,6,0),""))</f>
        <v/>
      </c>
      <c r="G322" s="8"/>
      <c r="H322" s="5"/>
      <c r="I322" s="5"/>
      <c r="J322" s="9"/>
      <c r="K322" s="17" t="str">
        <f aca="false">IF(H322="","",IFERROR(SUMIFS(BD_PLAN!$I$3:$I$312,BD_PLAN!$B$3:$B$312,E322,BD_PLAN!$C$3:$C$312,INDEX(BD_CICLO!$F$3:$F$54,MATCH(E322&amp;"|"&amp;H322,BD_CICLO!$G$3:$G$54,0))),""))</f>
        <v/>
      </c>
      <c r="L322" s="9"/>
      <c r="M322" s="9"/>
      <c r="N322" s="1" t="str">
        <f aca="false">IF(C322="","",C322&amp;"|"&amp;COUNTIF(C$3:C322,C322))</f>
        <v/>
      </c>
      <c r="O322" s="1" t="str">
        <f aca="false">IF(OR(C322="",M322=""),"",C322&amp;"|"&amp;COUNTIFS(C$3:C322,C322,M$3:M322,"&lt;&gt;"))</f>
        <v/>
      </c>
    </row>
    <row r="323" customFormat="false" ht="15" hidden="false" customHeight="false" outlineLevel="0" collapsed="false">
      <c r="B323" s="7"/>
      <c r="C323" s="5"/>
      <c r="D323" s="9" t="str">
        <f aca="false">IF(C323="","",IFERROR(VLOOKUP(C323,EQUIPOS!$B$3:$C$18,2,0),"NO EXISTE"))</f>
        <v/>
      </c>
      <c r="E323" s="9" t="str">
        <f aca="false">IF(C323="","",IFERROR(VLOOKUP(C323,EQUIPOS!$B$3:$F$18,5,0),""))</f>
        <v/>
      </c>
      <c r="F323" s="5" t="str">
        <f aca="false">IF(C323="","",IFERROR(VLOOKUP(C323,EQUIPOS!$B$3:$G$18,6,0),""))</f>
        <v/>
      </c>
      <c r="G323" s="8"/>
      <c r="H323" s="5"/>
      <c r="I323" s="5"/>
      <c r="J323" s="9"/>
      <c r="K323" s="17" t="str">
        <f aca="false">IF(H323="","",IFERROR(SUMIFS(BD_PLAN!$I$3:$I$312,BD_PLAN!$B$3:$B$312,E323,BD_PLAN!$C$3:$C$312,INDEX(BD_CICLO!$F$3:$F$54,MATCH(E323&amp;"|"&amp;H323,BD_CICLO!$G$3:$G$54,0))),""))</f>
        <v/>
      </c>
      <c r="L323" s="9"/>
      <c r="M323" s="9"/>
      <c r="N323" s="1" t="str">
        <f aca="false">IF(C323="","",C323&amp;"|"&amp;COUNTIF(C$3:C323,C323))</f>
        <v/>
      </c>
      <c r="O323" s="1" t="str">
        <f aca="false">IF(OR(C323="",M323=""),"",C323&amp;"|"&amp;COUNTIFS(C$3:C323,C323,M$3:M323,"&lt;&gt;"))</f>
        <v/>
      </c>
    </row>
    <row r="324" customFormat="false" ht="15" hidden="false" customHeight="false" outlineLevel="0" collapsed="false">
      <c r="B324" s="7"/>
      <c r="C324" s="5"/>
      <c r="D324" s="9" t="str">
        <f aca="false">IF(C324="","",IFERROR(VLOOKUP(C324,EQUIPOS!$B$3:$C$18,2,0),"NO EXISTE"))</f>
        <v/>
      </c>
      <c r="E324" s="9" t="str">
        <f aca="false">IF(C324="","",IFERROR(VLOOKUP(C324,EQUIPOS!$B$3:$F$18,5,0),""))</f>
        <v/>
      </c>
      <c r="F324" s="5" t="str">
        <f aca="false">IF(C324="","",IFERROR(VLOOKUP(C324,EQUIPOS!$B$3:$G$18,6,0),""))</f>
        <v/>
      </c>
      <c r="G324" s="8"/>
      <c r="H324" s="5"/>
      <c r="I324" s="5"/>
      <c r="J324" s="9"/>
      <c r="K324" s="17" t="str">
        <f aca="false">IF(H324="","",IFERROR(SUMIFS(BD_PLAN!$I$3:$I$312,BD_PLAN!$B$3:$B$312,E324,BD_PLAN!$C$3:$C$312,INDEX(BD_CICLO!$F$3:$F$54,MATCH(E324&amp;"|"&amp;H324,BD_CICLO!$G$3:$G$54,0))),""))</f>
        <v/>
      </c>
      <c r="L324" s="9"/>
      <c r="M324" s="9"/>
      <c r="N324" s="1" t="str">
        <f aca="false">IF(C324="","",C324&amp;"|"&amp;COUNTIF(C$3:C324,C324))</f>
        <v/>
      </c>
      <c r="O324" s="1" t="str">
        <f aca="false">IF(OR(C324="",M324=""),"",C324&amp;"|"&amp;COUNTIFS(C$3:C324,C324,M$3:M324,"&lt;&gt;"))</f>
        <v/>
      </c>
    </row>
    <row r="325" customFormat="false" ht="15" hidden="false" customHeight="false" outlineLevel="0" collapsed="false">
      <c r="B325" s="7"/>
      <c r="C325" s="5"/>
      <c r="D325" s="9" t="str">
        <f aca="false">IF(C325="","",IFERROR(VLOOKUP(C325,EQUIPOS!$B$3:$C$18,2,0),"NO EXISTE"))</f>
        <v/>
      </c>
      <c r="E325" s="9" t="str">
        <f aca="false">IF(C325="","",IFERROR(VLOOKUP(C325,EQUIPOS!$B$3:$F$18,5,0),""))</f>
        <v/>
      </c>
      <c r="F325" s="5" t="str">
        <f aca="false">IF(C325="","",IFERROR(VLOOKUP(C325,EQUIPOS!$B$3:$G$18,6,0),""))</f>
        <v/>
      </c>
      <c r="G325" s="8"/>
      <c r="H325" s="5"/>
      <c r="I325" s="5"/>
      <c r="J325" s="9"/>
      <c r="K325" s="17" t="str">
        <f aca="false">IF(H325="","",IFERROR(SUMIFS(BD_PLAN!$I$3:$I$312,BD_PLAN!$B$3:$B$312,E325,BD_PLAN!$C$3:$C$312,INDEX(BD_CICLO!$F$3:$F$54,MATCH(E325&amp;"|"&amp;H325,BD_CICLO!$G$3:$G$54,0))),""))</f>
        <v/>
      </c>
      <c r="L325" s="9"/>
      <c r="M325" s="9"/>
      <c r="N325" s="1" t="str">
        <f aca="false">IF(C325="","",C325&amp;"|"&amp;COUNTIF(C$3:C325,C325))</f>
        <v/>
      </c>
      <c r="O325" s="1" t="str">
        <f aca="false">IF(OR(C325="",M325=""),"",C325&amp;"|"&amp;COUNTIFS(C$3:C325,C325,M$3:M325,"&lt;&gt;"))</f>
        <v/>
      </c>
    </row>
    <row r="326" customFormat="false" ht="15" hidden="false" customHeight="false" outlineLevel="0" collapsed="false">
      <c r="B326" s="7"/>
      <c r="C326" s="5"/>
      <c r="D326" s="9" t="str">
        <f aca="false">IF(C326="","",IFERROR(VLOOKUP(C326,EQUIPOS!$B$3:$C$18,2,0),"NO EXISTE"))</f>
        <v/>
      </c>
      <c r="E326" s="9" t="str">
        <f aca="false">IF(C326="","",IFERROR(VLOOKUP(C326,EQUIPOS!$B$3:$F$18,5,0),""))</f>
        <v/>
      </c>
      <c r="F326" s="5" t="str">
        <f aca="false">IF(C326="","",IFERROR(VLOOKUP(C326,EQUIPOS!$B$3:$G$18,6,0),""))</f>
        <v/>
      </c>
      <c r="G326" s="8"/>
      <c r="H326" s="5"/>
      <c r="I326" s="5"/>
      <c r="J326" s="9"/>
      <c r="K326" s="17" t="str">
        <f aca="false">IF(H326="","",IFERROR(SUMIFS(BD_PLAN!$I$3:$I$312,BD_PLAN!$B$3:$B$312,E326,BD_PLAN!$C$3:$C$312,INDEX(BD_CICLO!$F$3:$F$54,MATCH(E326&amp;"|"&amp;H326,BD_CICLO!$G$3:$G$54,0))),""))</f>
        <v/>
      </c>
      <c r="L326" s="9"/>
      <c r="M326" s="9"/>
      <c r="N326" s="1" t="str">
        <f aca="false">IF(C326="","",C326&amp;"|"&amp;COUNTIF(C$3:C326,C326))</f>
        <v/>
      </c>
      <c r="O326" s="1" t="str">
        <f aca="false">IF(OR(C326="",M326=""),"",C326&amp;"|"&amp;COUNTIFS(C$3:C326,C326,M$3:M326,"&lt;&gt;"))</f>
        <v/>
      </c>
    </row>
    <row r="327" customFormat="false" ht="15" hidden="false" customHeight="false" outlineLevel="0" collapsed="false">
      <c r="B327" s="7"/>
      <c r="C327" s="5"/>
      <c r="D327" s="9" t="str">
        <f aca="false">IF(C327="","",IFERROR(VLOOKUP(C327,EQUIPOS!$B$3:$C$18,2,0),"NO EXISTE"))</f>
        <v/>
      </c>
      <c r="E327" s="9" t="str">
        <f aca="false">IF(C327="","",IFERROR(VLOOKUP(C327,EQUIPOS!$B$3:$F$18,5,0),""))</f>
        <v/>
      </c>
      <c r="F327" s="5" t="str">
        <f aca="false">IF(C327="","",IFERROR(VLOOKUP(C327,EQUIPOS!$B$3:$G$18,6,0),""))</f>
        <v/>
      </c>
      <c r="G327" s="8"/>
      <c r="H327" s="5"/>
      <c r="I327" s="5"/>
      <c r="J327" s="9"/>
      <c r="K327" s="17" t="str">
        <f aca="false">IF(H327="","",IFERROR(SUMIFS(BD_PLAN!$I$3:$I$312,BD_PLAN!$B$3:$B$312,E327,BD_PLAN!$C$3:$C$312,INDEX(BD_CICLO!$F$3:$F$54,MATCH(E327&amp;"|"&amp;H327,BD_CICLO!$G$3:$G$54,0))),""))</f>
        <v/>
      </c>
      <c r="L327" s="9"/>
      <c r="M327" s="9"/>
      <c r="N327" s="1" t="str">
        <f aca="false">IF(C327="","",C327&amp;"|"&amp;COUNTIF(C$3:C327,C327))</f>
        <v/>
      </c>
      <c r="O327" s="1" t="str">
        <f aca="false">IF(OR(C327="",M327=""),"",C327&amp;"|"&amp;COUNTIFS(C$3:C327,C327,M$3:M327,"&lt;&gt;"))</f>
        <v/>
      </c>
    </row>
    <row r="328" customFormat="false" ht="15" hidden="false" customHeight="false" outlineLevel="0" collapsed="false">
      <c r="B328" s="7"/>
      <c r="C328" s="5"/>
      <c r="D328" s="9" t="str">
        <f aca="false">IF(C328="","",IFERROR(VLOOKUP(C328,EQUIPOS!$B$3:$C$18,2,0),"NO EXISTE"))</f>
        <v/>
      </c>
      <c r="E328" s="9" t="str">
        <f aca="false">IF(C328="","",IFERROR(VLOOKUP(C328,EQUIPOS!$B$3:$F$18,5,0),""))</f>
        <v/>
      </c>
      <c r="F328" s="5" t="str">
        <f aca="false">IF(C328="","",IFERROR(VLOOKUP(C328,EQUIPOS!$B$3:$G$18,6,0),""))</f>
        <v/>
      </c>
      <c r="G328" s="8"/>
      <c r="H328" s="5"/>
      <c r="I328" s="5"/>
      <c r="J328" s="9"/>
      <c r="K328" s="17" t="str">
        <f aca="false">IF(H328="","",IFERROR(SUMIFS(BD_PLAN!$I$3:$I$312,BD_PLAN!$B$3:$B$312,E328,BD_PLAN!$C$3:$C$312,INDEX(BD_CICLO!$F$3:$F$54,MATCH(E328&amp;"|"&amp;H328,BD_CICLO!$G$3:$G$54,0))),""))</f>
        <v/>
      </c>
      <c r="L328" s="9"/>
      <c r="M328" s="9"/>
      <c r="N328" s="1" t="str">
        <f aca="false">IF(C328="","",C328&amp;"|"&amp;COUNTIF(C$3:C328,C328))</f>
        <v/>
      </c>
      <c r="O328" s="1" t="str">
        <f aca="false">IF(OR(C328="",M328=""),"",C328&amp;"|"&amp;COUNTIFS(C$3:C328,C328,M$3:M328,"&lt;&gt;"))</f>
        <v/>
      </c>
    </row>
    <row r="329" customFormat="false" ht="15" hidden="false" customHeight="false" outlineLevel="0" collapsed="false">
      <c r="B329" s="7"/>
      <c r="C329" s="5"/>
      <c r="D329" s="9" t="str">
        <f aca="false">IF(C329="","",IFERROR(VLOOKUP(C329,EQUIPOS!$B$3:$C$18,2,0),"NO EXISTE"))</f>
        <v/>
      </c>
      <c r="E329" s="9" t="str">
        <f aca="false">IF(C329="","",IFERROR(VLOOKUP(C329,EQUIPOS!$B$3:$F$18,5,0),""))</f>
        <v/>
      </c>
      <c r="F329" s="5" t="str">
        <f aca="false">IF(C329="","",IFERROR(VLOOKUP(C329,EQUIPOS!$B$3:$G$18,6,0),""))</f>
        <v/>
      </c>
      <c r="G329" s="8"/>
      <c r="H329" s="5"/>
      <c r="I329" s="5"/>
      <c r="J329" s="9"/>
      <c r="K329" s="17" t="str">
        <f aca="false">IF(H329="","",IFERROR(SUMIFS(BD_PLAN!$I$3:$I$312,BD_PLAN!$B$3:$B$312,E329,BD_PLAN!$C$3:$C$312,INDEX(BD_CICLO!$F$3:$F$54,MATCH(E329&amp;"|"&amp;H329,BD_CICLO!$G$3:$G$54,0))),""))</f>
        <v/>
      </c>
      <c r="L329" s="9"/>
      <c r="M329" s="9"/>
      <c r="N329" s="1" t="str">
        <f aca="false">IF(C329="","",C329&amp;"|"&amp;COUNTIF(C$3:C329,C329))</f>
        <v/>
      </c>
      <c r="O329" s="1" t="str">
        <f aca="false">IF(OR(C329="",M329=""),"",C329&amp;"|"&amp;COUNTIFS(C$3:C329,C329,M$3:M329,"&lt;&gt;"))</f>
        <v/>
      </c>
    </row>
    <row r="330" customFormat="false" ht="15" hidden="false" customHeight="false" outlineLevel="0" collapsed="false">
      <c r="B330" s="7"/>
      <c r="C330" s="5"/>
      <c r="D330" s="9" t="str">
        <f aca="false">IF(C330="","",IFERROR(VLOOKUP(C330,EQUIPOS!$B$3:$C$18,2,0),"NO EXISTE"))</f>
        <v/>
      </c>
      <c r="E330" s="9" t="str">
        <f aca="false">IF(C330="","",IFERROR(VLOOKUP(C330,EQUIPOS!$B$3:$F$18,5,0),""))</f>
        <v/>
      </c>
      <c r="F330" s="5" t="str">
        <f aca="false">IF(C330="","",IFERROR(VLOOKUP(C330,EQUIPOS!$B$3:$G$18,6,0),""))</f>
        <v/>
      </c>
      <c r="G330" s="8"/>
      <c r="H330" s="5"/>
      <c r="I330" s="5"/>
      <c r="J330" s="9"/>
      <c r="K330" s="17" t="str">
        <f aca="false">IF(H330="","",IFERROR(SUMIFS(BD_PLAN!$I$3:$I$312,BD_PLAN!$B$3:$B$312,E330,BD_PLAN!$C$3:$C$312,INDEX(BD_CICLO!$F$3:$F$54,MATCH(E330&amp;"|"&amp;H330,BD_CICLO!$G$3:$G$54,0))),""))</f>
        <v/>
      </c>
      <c r="L330" s="9"/>
      <c r="M330" s="9"/>
      <c r="N330" s="1" t="str">
        <f aca="false">IF(C330="","",C330&amp;"|"&amp;COUNTIF(C$3:C330,C330))</f>
        <v/>
      </c>
      <c r="O330" s="1" t="str">
        <f aca="false">IF(OR(C330="",M330=""),"",C330&amp;"|"&amp;COUNTIFS(C$3:C330,C330,M$3:M330,"&lt;&gt;"))</f>
        <v/>
      </c>
    </row>
    <row r="331" customFormat="false" ht="15" hidden="false" customHeight="false" outlineLevel="0" collapsed="false">
      <c r="B331" s="7"/>
      <c r="C331" s="5"/>
      <c r="D331" s="9" t="str">
        <f aca="false">IF(C331="","",IFERROR(VLOOKUP(C331,EQUIPOS!$B$3:$C$18,2,0),"NO EXISTE"))</f>
        <v/>
      </c>
      <c r="E331" s="9" t="str">
        <f aca="false">IF(C331="","",IFERROR(VLOOKUP(C331,EQUIPOS!$B$3:$F$18,5,0),""))</f>
        <v/>
      </c>
      <c r="F331" s="5" t="str">
        <f aca="false">IF(C331="","",IFERROR(VLOOKUP(C331,EQUIPOS!$B$3:$G$18,6,0),""))</f>
        <v/>
      </c>
      <c r="G331" s="8"/>
      <c r="H331" s="5"/>
      <c r="I331" s="5"/>
      <c r="J331" s="9"/>
      <c r="K331" s="17" t="str">
        <f aca="false">IF(H331="","",IFERROR(SUMIFS(BD_PLAN!$I$3:$I$312,BD_PLAN!$B$3:$B$312,E331,BD_PLAN!$C$3:$C$312,INDEX(BD_CICLO!$F$3:$F$54,MATCH(E331&amp;"|"&amp;H331,BD_CICLO!$G$3:$G$54,0))),""))</f>
        <v/>
      </c>
      <c r="L331" s="9"/>
      <c r="M331" s="9"/>
      <c r="N331" s="1" t="str">
        <f aca="false">IF(C331="","",C331&amp;"|"&amp;COUNTIF(C$3:C331,C331))</f>
        <v/>
      </c>
      <c r="O331" s="1" t="str">
        <f aca="false">IF(OR(C331="",M331=""),"",C331&amp;"|"&amp;COUNTIFS(C$3:C331,C331,M$3:M331,"&lt;&gt;"))</f>
        <v/>
      </c>
    </row>
    <row r="332" customFormat="false" ht="15" hidden="false" customHeight="false" outlineLevel="0" collapsed="false">
      <c r="B332" s="7"/>
      <c r="C332" s="5"/>
      <c r="D332" s="9" t="str">
        <f aca="false">IF(C332="","",IFERROR(VLOOKUP(C332,EQUIPOS!$B$3:$C$18,2,0),"NO EXISTE"))</f>
        <v/>
      </c>
      <c r="E332" s="9" t="str">
        <f aca="false">IF(C332="","",IFERROR(VLOOKUP(C332,EQUIPOS!$B$3:$F$18,5,0),""))</f>
        <v/>
      </c>
      <c r="F332" s="5" t="str">
        <f aca="false">IF(C332="","",IFERROR(VLOOKUP(C332,EQUIPOS!$B$3:$G$18,6,0),""))</f>
        <v/>
      </c>
      <c r="G332" s="8"/>
      <c r="H332" s="5"/>
      <c r="I332" s="5"/>
      <c r="J332" s="9"/>
      <c r="K332" s="17" t="str">
        <f aca="false">IF(H332="","",IFERROR(SUMIFS(BD_PLAN!$I$3:$I$312,BD_PLAN!$B$3:$B$312,E332,BD_PLAN!$C$3:$C$312,INDEX(BD_CICLO!$F$3:$F$54,MATCH(E332&amp;"|"&amp;H332,BD_CICLO!$G$3:$G$54,0))),""))</f>
        <v/>
      </c>
      <c r="L332" s="9"/>
      <c r="M332" s="9"/>
      <c r="N332" s="1" t="str">
        <f aca="false">IF(C332="","",C332&amp;"|"&amp;COUNTIF(C$3:C332,C332))</f>
        <v/>
      </c>
      <c r="O332" s="1" t="str">
        <f aca="false">IF(OR(C332="",M332=""),"",C332&amp;"|"&amp;COUNTIFS(C$3:C332,C332,M$3:M332,"&lt;&gt;"))</f>
        <v/>
      </c>
    </row>
    <row r="333" customFormat="false" ht="15" hidden="false" customHeight="false" outlineLevel="0" collapsed="false">
      <c r="B333" s="7"/>
      <c r="C333" s="5"/>
      <c r="D333" s="9" t="str">
        <f aca="false">IF(C333="","",IFERROR(VLOOKUP(C333,EQUIPOS!$B$3:$C$18,2,0),"NO EXISTE"))</f>
        <v/>
      </c>
      <c r="E333" s="9" t="str">
        <f aca="false">IF(C333="","",IFERROR(VLOOKUP(C333,EQUIPOS!$B$3:$F$18,5,0),""))</f>
        <v/>
      </c>
      <c r="F333" s="5" t="str">
        <f aca="false">IF(C333="","",IFERROR(VLOOKUP(C333,EQUIPOS!$B$3:$G$18,6,0),""))</f>
        <v/>
      </c>
      <c r="G333" s="8"/>
      <c r="H333" s="5"/>
      <c r="I333" s="5"/>
      <c r="J333" s="9"/>
      <c r="K333" s="17" t="str">
        <f aca="false">IF(H333="","",IFERROR(SUMIFS(BD_PLAN!$I$3:$I$312,BD_PLAN!$B$3:$B$312,E333,BD_PLAN!$C$3:$C$312,INDEX(BD_CICLO!$F$3:$F$54,MATCH(E333&amp;"|"&amp;H333,BD_CICLO!$G$3:$G$54,0))),""))</f>
        <v/>
      </c>
      <c r="L333" s="9"/>
      <c r="M333" s="9"/>
      <c r="N333" s="1" t="str">
        <f aca="false">IF(C333="","",C333&amp;"|"&amp;COUNTIF(C$3:C333,C333))</f>
        <v/>
      </c>
      <c r="O333" s="1" t="str">
        <f aca="false">IF(OR(C333="",M333=""),"",C333&amp;"|"&amp;COUNTIFS(C$3:C333,C333,M$3:M333,"&lt;&gt;"))</f>
        <v/>
      </c>
    </row>
    <row r="334" customFormat="false" ht="15" hidden="false" customHeight="false" outlineLevel="0" collapsed="false">
      <c r="B334" s="7"/>
      <c r="C334" s="5"/>
      <c r="D334" s="9" t="str">
        <f aca="false">IF(C334="","",IFERROR(VLOOKUP(C334,EQUIPOS!$B$3:$C$18,2,0),"NO EXISTE"))</f>
        <v/>
      </c>
      <c r="E334" s="9" t="str">
        <f aca="false">IF(C334="","",IFERROR(VLOOKUP(C334,EQUIPOS!$B$3:$F$18,5,0),""))</f>
        <v/>
      </c>
      <c r="F334" s="5" t="str">
        <f aca="false">IF(C334="","",IFERROR(VLOOKUP(C334,EQUIPOS!$B$3:$G$18,6,0),""))</f>
        <v/>
      </c>
      <c r="G334" s="8"/>
      <c r="H334" s="5"/>
      <c r="I334" s="5"/>
      <c r="J334" s="9"/>
      <c r="K334" s="17" t="str">
        <f aca="false">IF(H334="","",IFERROR(SUMIFS(BD_PLAN!$I$3:$I$312,BD_PLAN!$B$3:$B$312,E334,BD_PLAN!$C$3:$C$312,INDEX(BD_CICLO!$F$3:$F$54,MATCH(E334&amp;"|"&amp;H334,BD_CICLO!$G$3:$G$54,0))),""))</f>
        <v/>
      </c>
      <c r="L334" s="9"/>
      <c r="M334" s="9"/>
      <c r="N334" s="1" t="str">
        <f aca="false">IF(C334="","",C334&amp;"|"&amp;COUNTIF(C$3:C334,C334))</f>
        <v/>
      </c>
      <c r="O334" s="1" t="str">
        <f aca="false">IF(OR(C334="",M334=""),"",C334&amp;"|"&amp;COUNTIFS(C$3:C334,C334,M$3:M334,"&lt;&gt;"))</f>
        <v/>
      </c>
    </row>
    <row r="335" customFormat="false" ht="15" hidden="false" customHeight="false" outlineLevel="0" collapsed="false">
      <c r="B335" s="7"/>
      <c r="C335" s="5"/>
      <c r="D335" s="9" t="str">
        <f aca="false">IF(C335="","",IFERROR(VLOOKUP(C335,EQUIPOS!$B$3:$C$18,2,0),"NO EXISTE"))</f>
        <v/>
      </c>
      <c r="E335" s="9" t="str">
        <f aca="false">IF(C335="","",IFERROR(VLOOKUP(C335,EQUIPOS!$B$3:$F$18,5,0),""))</f>
        <v/>
      </c>
      <c r="F335" s="5" t="str">
        <f aca="false">IF(C335="","",IFERROR(VLOOKUP(C335,EQUIPOS!$B$3:$G$18,6,0),""))</f>
        <v/>
      </c>
      <c r="G335" s="8"/>
      <c r="H335" s="5"/>
      <c r="I335" s="5"/>
      <c r="J335" s="9"/>
      <c r="K335" s="17" t="str">
        <f aca="false">IF(H335="","",IFERROR(SUMIFS(BD_PLAN!$I$3:$I$312,BD_PLAN!$B$3:$B$312,E335,BD_PLAN!$C$3:$C$312,INDEX(BD_CICLO!$F$3:$F$54,MATCH(E335&amp;"|"&amp;H335,BD_CICLO!$G$3:$G$54,0))),""))</f>
        <v/>
      </c>
      <c r="L335" s="9"/>
      <c r="M335" s="9"/>
      <c r="N335" s="1" t="str">
        <f aca="false">IF(C335="","",C335&amp;"|"&amp;COUNTIF(C$3:C335,C335))</f>
        <v/>
      </c>
      <c r="O335" s="1" t="str">
        <f aca="false">IF(OR(C335="",M335=""),"",C335&amp;"|"&amp;COUNTIFS(C$3:C335,C335,M$3:M335,"&lt;&gt;"))</f>
        <v/>
      </c>
    </row>
    <row r="336" customFormat="false" ht="15" hidden="false" customHeight="false" outlineLevel="0" collapsed="false">
      <c r="B336" s="7"/>
      <c r="C336" s="5"/>
      <c r="D336" s="9" t="str">
        <f aca="false">IF(C336="","",IFERROR(VLOOKUP(C336,EQUIPOS!$B$3:$C$18,2,0),"NO EXISTE"))</f>
        <v/>
      </c>
      <c r="E336" s="9" t="str">
        <f aca="false">IF(C336="","",IFERROR(VLOOKUP(C336,EQUIPOS!$B$3:$F$18,5,0),""))</f>
        <v/>
      </c>
      <c r="F336" s="5" t="str">
        <f aca="false">IF(C336="","",IFERROR(VLOOKUP(C336,EQUIPOS!$B$3:$G$18,6,0),""))</f>
        <v/>
      </c>
      <c r="G336" s="8"/>
      <c r="H336" s="5"/>
      <c r="I336" s="5"/>
      <c r="J336" s="9"/>
      <c r="K336" s="17" t="str">
        <f aca="false">IF(H336="","",IFERROR(SUMIFS(BD_PLAN!$I$3:$I$312,BD_PLAN!$B$3:$B$312,E336,BD_PLAN!$C$3:$C$312,INDEX(BD_CICLO!$F$3:$F$54,MATCH(E336&amp;"|"&amp;H336,BD_CICLO!$G$3:$G$54,0))),""))</f>
        <v/>
      </c>
      <c r="L336" s="9"/>
      <c r="M336" s="9"/>
      <c r="N336" s="1" t="str">
        <f aca="false">IF(C336="","",C336&amp;"|"&amp;COUNTIF(C$3:C336,C336))</f>
        <v/>
      </c>
      <c r="O336" s="1" t="str">
        <f aca="false">IF(OR(C336="",M336=""),"",C336&amp;"|"&amp;COUNTIFS(C$3:C336,C336,M$3:M336,"&lt;&gt;"))</f>
        <v/>
      </c>
    </row>
    <row r="337" customFormat="false" ht="15" hidden="false" customHeight="false" outlineLevel="0" collapsed="false">
      <c r="B337" s="7"/>
      <c r="C337" s="5"/>
      <c r="D337" s="9" t="str">
        <f aca="false">IF(C337="","",IFERROR(VLOOKUP(C337,EQUIPOS!$B$3:$C$18,2,0),"NO EXISTE"))</f>
        <v/>
      </c>
      <c r="E337" s="9" t="str">
        <f aca="false">IF(C337="","",IFERROR(VLOOKUP(C337,EQUIPOS!$B$3:$F$18,5,0),""))</f>
        <v/>
      </c>
      <c r="F337" s="5" t="str">
        <f aca="false">IF(C337="","",IFERROR(VLOOKUP(C337,EQUIPOS!$B$3:$G$18,6,0),""))</f>
        <v/>
      </c>
      <c r="G337" s="8"/>
      <c r="H337" s="5"/>
      <c r="I337" s="5"/>
      <c r="J337" s="9"/>
      <c r="K337" s="17" t="str">
        <f aca="false">IF(H337="","",IFERROR(SUMIFS(BD_PLAN!$I$3:$I$312,BD_PLAN!$B$3:$B$312,E337,BD_PLAN!$C$3:$C$312,INDEX(BD_CICLO!$F$3:$F$54,MATCH(E337&amp;"|"&amp;H337,BD_CICLO!$G$3:$G$54,0))),""))</f>
        <v/>
      </c>
      <c r="L337" s="9"/>
      <c r="M337" s="9"/>
      <c r="N337" s="1" t="str">
        <f aca="false">IF(C337="","",C337&amp;"|"&amp;COUNTIF(C$3:C337,C337))</f>
        <v/>
      </c>
      <c r="O337" s="1" t="str">
        <f aca="false">IF(OR(C337="",M337=""),"",C337&amp;"|"&amp;COUNTIFS(C$3:C337,C337,M$3:M337,"&lt;&gt;"))</f>
        <v/>
      </c>
    </row>
    <row r="338" customFormat="false" ht="15" hidden="false" customHeight="false" outlineLevel="0" collapsed="false">
      <c r="B338" s="7"/>
      <c r="C338" s="5"/>
      <c r="D338" s="9" t="str">
        <f aca="false">IF(C338="","",IFERROR(VLOOKUP(C338,EQUIPOS!$B$3:$C$18,2,0),"NO EXISTE"))</f>
        <v/>
      </c>
      <c r="E338" s="9" t="str">
        <f aca="false">IF(C338="","",IFERROR(VLOOKUP(C338,EQUIPOS!$B$3:$F$18,5,0),""))</f>
        <v/>
      </c>
      <c r="F338" s="5" t="str">
        <f aca="false">IF(C338="","",IFERROR(VLOOKUP(C338,EQUIPOS!$B$3:$G$18,6,0),""))</f>
        <v/>
      </c>
      <c r="G338" s="8"/>
      <c r="H338" s="5"/>
      <c r="I338" s="5"/>
      <c r="J338" s="9"/>
      <c r="K338" s="17" t="str">
        <f aca="false">IF(H338="","",IFERROR(SUMIFS(BD_PLAN!$I$3:$I$312,BD_PLAN!$B$3:$B$312,E338,BD_PLAN!$C$3:$C$312,INDEX(BD_CICLO!$F$3:$F$54,MATCH(E338&amp;"|"&amp;H338,BD_CICLO!$G$3:$G$54,0))),""))</f>
        <v/>
      </c>
      <c r="L338" s="9"/>
      <c r="M338" s="9"/>
      <c r="N338" s="1" t="str">
        <f aca="false">IF(C338="","",C338&amp;"|"&amp;COUNTIF(C$3:C338,C338))</f>
        <v/>
      </c>
      <c r="O338" s="1" t="str">
        <f aca="false">IF(OR(C338="",M338=""),"",C338&amp;"|"&amp;COUNTIFS(C$3:C338,C338,M$3:M338,"&lt;&gt;"))</f>
        <v/>
      </c>
    </row>
    <row r="339" customFormat="false" ht="15" hidden="false" customHeight="false" outlineLevel="0" collapsed="false">
      <c r="B339" s="7"/>
      <c r="C339" s="5"/>
      <c r="D339" s="9" t="str">
        <f aca="false">IF(C339="","",IFERROR(VLOOKUP(C339,EQUIPOS!$B$3:$C$18,2,0),"NO EXISTE"))</f>
        <v/>
      </c>
      <c r="E339" s="9" t="str">
        <f aca="false">IF(C339="","",IFERROR(VLOOKUP(C339,EQUIPOS!$B$3:$F$18,5,0),""))</f>
        <v/>
      </c>
      <c r="F339" s="5" t="str">
        <f aca="false">IF(C339="","",IFERROR(VLOOKUP(C339,EQUIPOS!$B$3:$G$18,6,0),""))</f>
        <v/>
      </c>
      <c r="G339" s="8"/>
      <c r="H339" s="5"/>
      <c r="I339" s="5"/>
      <c r="J339" s="9"/>
      <c r="K339" s="17" t="str">
        <f aca="false">IF(H339="","",IFERROR(SUMIFS(BD_PLAN!$I$3:$I$312,BD_PLAN!$B$3:$B$312,E339,BD_PLAN!$C$3:$C$312,INDEX(BD_CICLO!$F$3:$F$54,MATCH(E339&amp;"|"&amp;H339,BD_CICLO!$G$3:$G$54,0))),""))</f>
        <v/>
      </c>
      <c r="L339" s="9"/>
      <c r="M339" s="9"/>
      <c r="N339" s="1" t="str">
        <f aca="false">IF(C339="","",C339&amp;"|"&amp;COUNTIF(C$3:C339,C339))</f>
        <v/>
      </c>
      <c r="O339" s="1" t="str">
        <f aca="false">IF(OR(C339="",M339=""),"",C339&amp;"|"&amp;COUNTIFS(C$3:C339,C339,M$3:M339,"&lt;&gt;"))</f>
        <v/>
      </c>
    </row>
    <row r="340" customFormat="false" ht="15" hidden="false" customHeight="false" outlineLevel="0" collapsed="false">
      <c r="B340" s="7"/>
      <c r="C340" s="5"/>
      <c r="D340" s="9" t="str">
        <f aca="false">IF(C340="","",IFERROR(VLOOKUP(C340,EQUIPOS!$B$3:$C$18,2,0),"NO EXISTE"))</f>
        <v/>
      </c>
      <c r="E340" s="9" t="str">
        <f aca="false">IF(C340="","",IFERROR(VLOOKUP(C340,EQUIPOS!$B$3:$F$18,5,0),""))</f>
        <v/>
      </c>
      <c r="F340" s="5" t="str">
        <f aca="false">IF(C340="","",IFERROR(VLOOKUP(C340,EQUIPOS!$B$3:$G$18,6,0),""))</f>
        <v/>
      </c>
      <c r="G340" s="8"/>
      <c r="H340" s="5"/>
      <c r="I340" s="5"/>
      <c r="J340" s="9"/>
      <c r="K340" s="17" t="str">
        <f aca="false">IF(H340="","",IFERROR(SUMIFS(BD_PLAN!$I$3:$I$312,BD_PLAN!$B$3:$B$312,E340,BD_PLAN!$C$3:$C$312,INDEX(BD_CICLO!$F$3:$F$54,MATCH(E340&amp;"|"&amp;H340,BD_CICLO!$G$3:$G$54,0))),""))</f>
        <v/>
      </c>
      <c r="L340" s="9"/>
      <c r="M340" s="9"/>
      <c r="N340" s="1" t="str">
        <f aca="false">IF(C340="","",C340&amp;"|"&amp;COUNTIF(C$3:C340,C340))</f>
        <v/>
      </c>
      <c r="O340" s="1" t="str">
        <f aca="false">IF(OR(C340="",M340=""),"",C340&amp;"|"&amp;COUNTIFS(C$3:C340,C340,M$3:M340,"&lt;&gt;"))</f>
        <v/>
      </c>
    </row>
    <row r="341" customFormat="false" ht="15" hidden="false" customHeight="false" outlineLevel="0" collapsed="false">
      <c r="B341" s="7"/>
      <c r="C341" s="5"/>
      <c r="D341" s="9" t="str">
        <f aca="false">IF(C341="","",IFERROR(VLOOKUP(C341,EQUIPOS!$B$3:$C$18,2,0),"NO EXISTE"))</f>
        <v/>
      </c>
      <c r="E341" s="9" t="str">
        <f aca="false">IF(C341="","",IFERROR(VLOOKUP(C341,EQUIPOS!$B$3:$F$18,5,0),""))</f>
        <v/>
      </c>
      <c r="F341" s="5" t="str">
        <f aca="false">IF(C341="","",IFERROR(VLOOKUP(C341,EQUIPOS!$B$3:$G$18,6,0),""))</f>
        <v/>
      </c>
      <c r="G341" s="8"/>
      <c r="H341" s="5"/>
      <c r="I341" s="5"/>
      <c r="J341" s="9"/>
      <c r="K341" s="17" t="str">
        <f aca="false">IF(H341="","",IFERROR(SUMIFS(BD_PLAN!$I$3:$I$312,BD_PLAN!$B$3:$B$312,E341,BD_PLAN!$C$3:$C$312,INDEX(BD_CICLO!$F$3:$F$54,MATCH(E341&amp;"|"&amp;H341,BD_CICLO!$G$3:$G$54,0))),""))</f>
        <v/>
      </c>
      <c r="L341" s="9"/>
      <c r="M341" s="9"/>
      <c r="N341" s="1" t="str">
        <f aca="false">IF(C341="","",C341&amp;"|"&amp;COUNTIF(C$3:C341,C341))</f>
        <v/>
      </c>
      <c r="O341" s="1" t="str">
        <f aca="false">IF(OR(C341="",M341=""),"",C341&amp;"|"&amp;COUNTIFS(C$3:C341,C341,M$3:M341,"&lt;&gt;"))</f>
        <v/>
      </c>
    </row>
    <row r="342" customFormat="false" ht="15" hidden="false" customHeight="false" outlineLevel="0" collapsed="false">
      <c r="B342" s="7"/>
      <c r="C342" s="5"/>
      <c r="D342" s="9" t="str">
        <f aca="false">IF(C342="","",IFERROR(VLOOKUP(C342,EQUIPOS!$B$3:$C$18,2,0),"NO EXISTE"))</f>
        <v/>
      </c>
      <c r="E342" s="9" t="str">
        <f aca="false">IF(C342="","",IFERROR(VLOOKUP(C342,EQUIPOS!$B$3:$F$18,5,0),""))</f>
        <v/>
      </c>
      <c r="F342" s="5" t="str">
        <f aca="false">IF(C342="","",IFERROR(VLOOKUP(C342,EQUIPOS!$B$3:$G$18,6,0),""))</f>
        <v/>
      </c>
      <c r="G342" s="8"/>
      <c r="H342" s="5"/>
      <c r="I342" s="5"/>
      <c r="J342" s="9"/>
      <c r="K342" s="17" t="str">
        <f aca="false">IF(H342="","",IFERROR(SUMIFS(BD_PLAN!$I$3:$I$312,BD_PLAN!$B$3:$B$312,E342,BD_PLAN!$C$3:$C$312,INDEX(BD_CICLO!$F$3:$F$54,MATCH(E342&amp;"|"&amp;H342,BD_CICLO!$G$3:$G$54,0))),""))</f>
        <v/>
      </c>
      <c r="L342" s="9"/>
      <c r="M342" s="9"/>
      <c r="N342" s="1" t="str">
        <f aca="false">IF(C342="","",C342&amp;"|"&amp;COUNTIF(C$3:C342,C342))</f>
        <v/>
      </c>
      <c r="O342" s="1" t="str">
        <f aca="false">IF(OR(C342="",M342=""),"",C342&amp;"|"&amp;COUNTIFS(C$3:C342,C342,M$3:M342,"&lt;&gt;"))</f>
        <v/>
      </c>
    </row>
    <row r="343" customFormat="false" ht="15" hidden="false" customHeight="false" outlineLevel="0" collapsed="false">
      <c r="B343" s="7"/>
      <c r="C343" s="5"/>
      <c r="D343" s="9" t="str">
        <f aca="false">IF(C343="","",IFERROR(VLOOKUP(C343,EQUIPOS!$B$3:$C$18,2,0),"NO EXISTE"))</f>
        <v/>
      </c>
      <c r="E343" s="9" t="str">
        <f aca="false">IF(C343="","",IFERROR(VLOOKUP(C343,EQUIPOS!$B$3:$F$18,5,0),""))</f>
        <v/>
      </c>
      <c r="F343" s="5" t="str">
        <f aca="false">IF(C343="","",IFERROR(VLOOKUP(C343,EQUIPOS!$B$3:$G$18,6,0),""))</f>
        <v/>
      </c>
      <c r="G343" s="8"/>
      <c r="H343" s="5"/>
      <c r="I343" s="5"/>
      <c r="J343" s="9"/>
      <c r="K343" s="17" t="str">
        <f aca="false">IF(H343="","",IFERROR(SUMIFS(BD_PLAN!$I$3:$I$312,BD_PLAN!$B$3:$B$312,E343,BD_PLAN!$C$3:$C$312,INDEX(BD_CICLO!$F$3:$F$54,MATCH(E343&amp;"|"&amp;H343,BD_CICLO!$G$3:$G$54,0))),""))</f>
        <v/>
      </c>
      <c r="L343" s="9"/>
      <c r="M343" s="9"/>
      <c r="N343" s="1" t="str">
        <f aca="false">IF(C343="","",C343&amp;"|"&amp;COUNTIF(C$3:C343,C343))</f>
        <v/>
      </c>
      <c r="O343" s="1" t="str">
        <f aca="false">IF(OR(C343="",M343=""),"",C343&amp;"|"&amp;COUNTIFS(C$3:C343,C343,M$3:M343,"&lt;&gt;"))</f>
        <v/>
      </c>
    </row>
    <row r="344" customFormat="false" ht="15" hidden="false" customHeight="false" outlineLevel="0" collapsed="false">
      <c r="B344" s="7"/>
      <c r="C344" s="5"/>
      <c r="D344" s="9" t="str">
        <f aca="false">IF(C344="","",IFERROR(VLOOKUP(C344,EQUIPOS!$B$3:$C$18,2,0),"NO EXISTE"))</f>
        <v/>
      </c>
      <c r="E344" s="9" t="str">
        <f aca="false">IF(C344="","",IFERROR(VLOOKUP(C344,EQUIPOS!$B$3:$F$18,5,0),""))</f>
        <v/>
      </c>
      <c r="F344" s="5" t="str">
        <f aca="false">IF(C344="","",IFERROR(VLOOKUP(C344,EQUIPOS!$B$3:$G$18,6,0),""))</f>
        <v/>
      </c>
      <c r="G344" s="8"/>
      <c r="H344" s="5"/>
      <c r="I344" s="5"/>
      <c r="J344" s="9"/>
      <c r="K344" s="17" t="str">
        <f aca="false">IF(H344="","",IFERROR(SUMIFS(BD_PLAN!$I$3:$I$312,BD_PLAN!$B$3:$B$312,E344,BD_PLAN!$C$3:$C$312,INDEX(BD_CICLO!$F$3:$F$54,MATCH(E344&amp;"|"&amp;H344,BD_CICLO!$G$3:$G$54,0))),""))</f>
        <v/>
      </c>
      <c r="L344" s="9"/>
      <c r="M344" s="9"/>
      <c r="N344" s="1" t="str">
        <f aca="false">IF(C344="","",C344&amp;"|"&amp;COUNTIF(C$3:C344,C344))</f>
        <v/>
      </c>
      <c r="O344" s="1" t="str">
        <f aca="false">IF(OR(C344="",M344=""),"",C344&amp;"|"&amp;COUNTIFS(C$3:C344,C344,M$3:M344,"&lt;&gt;"))</f>
        <v/>
      </c>
    </row>
    <row r="345" customFormat="false" ht="15" hidden="false" customHeight="false" outlineLevel="0" collapsed="false">
      <c r="B345" s="7"/>
      <c r="C345" s="5"/>
      <c r="D345" s="9" t="str">
        <f aca="false">IF(C345="","",IFERROR(VLOOKUP(C345,EQUIPOS!$B$3:$C$18,2,0),"NO EXISTE"))</f>
        <v/>
      </c>
      <c r="E345" s="9" t="str">
        <f aca="false">IF(C345="","",IFERROR(VLOOKUP(C345,EQUIPOS!$B$3:$F$18,5,0),""))</f>
        <v/>
      </c>
      <c r="F345" s="5" t="str">
        <f aca="false">IF(C345="","",IFERROR(VLOOKUP(C345,EQUIPOS!$B$3:$G$18,6,0),""))</f>
        <v/>
      </c>
      <c r="G345" s="8"/>
      <c r="H345" s="5"/>
      <c r="I345" s="5"/>
      <c r="J345" s="9"/>
      <c r="K345" s="17" t="str">
        <f aca="false">IF(H345="","",IFERROR(SUMIFS(BD_PLAN!$I$3:$I$312,BD_PLAN!$B$3:$B$312,E345,BD_PLAN!$C$3:$C$312,INDEX(BD_CICLO!$F$3:$F$54,MATCH(E345&amp;"|"&amp;H345,BD_CICLO!$G$3:$G$54,0))),""))</f>
        <v/>
      </c>
      <c r="L345" s="9"/>
      <c r="M345" s="9"/>
      <c r="N345" s="1" t="str">
        <f aca="false">IF(C345="","",C345&amp;"|"&amp;COUNTIF(C$3:C345,C345))</f>
        <v/>
      </c>
      <c r="O345" s="1" t="str">
        <f aca="false">IF(OR(C345="",M345=""),"",C345&amp;"|"&amp;COUNTIFS(C$3:C345,C345,M$3:M345,"&lt;&gt;"))</f>
        <v/>
      </c>
    </row>
    <row r="346" customFormat="false" ht="15" hidden="false" customHeight="false" outlineLevel="0" collapsed="false">
      <c r="B346" s="7"/>
      <c r="C346" s="5"/>
      <c r="D346" s="9" t="str">
        <f aca="false">IF(C346="","",IFERROR(VLOOKUP(C346,EQUIPOS!$B$3:$C$18,2,0),"NO EXISTE"))</f>
        <v/>
      </c>
      <c r="E346" s="9" t="str">
        <f aca="false">IF(C346="","",IFERROR(VLOOKUP(C346,EQUIPOS!$B$3:$F$18,5,0),""))</f>
        <v/>
      </c>
      <c r="F346" s="5" t="str">
        <f aca="false">IF(C346="","",IFERROR(VLOOKUP(C346,EQUIPOS!$B$3:$G$18,6,0),""))</f>
        <v/>
      </c>
      <c r="G346" s="8"/>
      <c r="H346" s="5"/>
      <c r="I346" s="5"/>
      <c r="J346" s="9"/>
      <c r="K346" s="17" t="str">
        <f aca="false">IF(H346="","",IFERROR(SUMIFS(BD_PLAN!$I$3:$I$312,BD_PLAN!$B$3:$B$312,E346,BD_PLAN!$C$3:$C$312,INDEX(BD_CICLO!$F$3:$F$54,MATCH(E346&amp;"|"&amp;H346,BD_CICLO!$G$3:$G$54,0))),""))</f>
        <v/>
      </c>
      <c r="L346" s="9"/>
      <c r="M346" s="9"/>
      <c r="N346" s="1" t="str">
        <f aca="false">IF(C346="","",C346&amp;"|"&amp;COUNTIF(C$3:C346,C346))</f>
        <v/>
      </c>
      <c r="O346" s="1" t="str">
        <f aca="false">IF(OR(C346="",M346=""),"",C346&amp;"|"&amp;COUNTIFS(C$3:C346,C346,M$3:M346,"&lt;&gt;"))</f>
        <v/>
      </c>
    </row>
    <row r="347" customFormat="false" ht="15" hidden="false" customHeight="false" outlineLevel="0" collapsed="false">
      <c r="B347" s="7"/>
      <c r="C347" s="5"/>
      <c r="D347" s="9" t="str">
        <f aca="false">IF(C347="","",IFERROR(VLOOKUP(C347,EQUIPOS!$B$3:$C$18,2,0),"NO EXISTE"))</f>
        <v/>
      </c>
      <c r="E347" s="9" t="str">
        <f aca="false">IF(C347="","",IFERROR(VLOOKUP(C347,EQUIPOS!$B$3:$F$18,5,0),""))</f>
        <v/>
      </c>
      <c r="F347" s="5" t="str">
        <f aca="false">IF(C347="","",IFERROR(VLOOKUP(C347,EQUIPOS!$B$3:$G$18,6,0),""))</f>
        <v/>
      </c>
      <c r="G347" s="8"/>
      <c r="H347" s="5"/>
      <c r="I347" s="5"/>
      <c r="J347" s="9"/>
      <c r="K347" s="17" t="str">
        <f aca="false">IF(H347="","",IFERROR(SUMIFS(BD_PLAN!$I$3:$I$312,BD_PLAN!$B$3:$B$312,E347,BD_PLAN!$C$3:$C$312,INDEX(BD_CICLO!$F$3:$F$54,MATCH(E347&amp;"|"&amp;H347,BD_CICLO!$G$3:$G$54,0))),""))</f>
        <v/>
      </c>
      <c r="L347" s="9"/>
      <c r="M347" s="9"/>
      <c r="N347" s="1" t="str">
        <f aca="false">IF(C347="","",C347&amp;"|"&amp;COUNTIF(C$3:C347,C347))</f>
        <v/>
      </c>
      <c r="O347" s="1" t="str">
        <f aca="false">IF(OR(C347="",M347=""),"",C347&amp;"|"&amp;COUNTIFS(C$3:C347,C347,M$3:M347,"&lt;&gt;"))</f>
        <v/>
      </c>
    </row>
    <row r="348" customFormat="false" ht="15" hidden="false" customHeight="false" outlineLevel="0" collapsed="false">
      <c r="B348" s="7"/>
      <c r="C348" s="5"/>
      <c r="D348" s="9" t="str">
        <f aca="false">IF(C348="","",IFERROR(VLOOKUP(C348,EQUIPOS!$B$3:$C$18,2,0),"NO EXISTE"))</f>
        <v/>
      </c>
      <c r="E348" s="9" t="str">
        <f aca="false">IF(C348="","",IFERROR(VLOOKUP(C348,EQUIPOS!$B$3:$F$18,5,0),""))</f>
        <v/>
      </c>
      <c r="F348" s="5" t="str">
        <f aca="false">IF(C348="","",IFERROR(VLOOKUP(C348,EQUIPOS!$B$3:$G$18,6,0),""))</f>
        <v/>
      </c>
      <c r="G348" s="8"/>
      <c r="H348" s="5"/>
      <c r="I348" s="5"/>
      <c r="J348" s="9"/>
      <c r="K348" s="17" t="str">
        <f aca="false">IF(H348="","",IFERROR(SUMIFS(BD_PLAN!$I$3:$I$312,BD_PLAN!$B$3:$B$312,E348,BD_PLAN!$C$3:$C$312,INDEX(BD_CICLO!$F$3:$F$54,MATCH(E348&amp;"|"&amp;H348,BD_CICLO!$G$3:$G$54,0))),""))</f>
        <v/>
      </c>
      <c r="L348" s="9"/>
      <c r="M348" s="9"/>
      <c r="N348" s="1" t="str">
        <f aca="false">IF(C348="","",C348&amp;"|"&amp;COUNTIF(C$3:C348,C348))</f>
        <v/>
      </c>
      <c r="O348" s="1" t="str">
        <f aca="false">IF(OR(C348="",M348=""),"",C348&amp;"|"&amp;COUNTIFS(C$3:C348,C348,M$3:M348,"&lt;&gt;"))</f>
        <v/>
      </c>
    </row>
    <row r="349" customFormat="false" ht="15" hidden="false" customHeight="false" outlineLevel="0" collapsed="false">
      <c r="B349" s="7"/>
      <c r="C349" s="5"/>
      <c r="D349" s="9" t="str">
        <f aca="false">IF(C349="","",IFERROR(VLOOKUP(C349,EQUIPOS!$B$3:$C$18,2,0),"NO EXISTE"))</f>
        <v/>
      </c>
      <c r="E349" s="9" t="str">
        <f aca="false">IF(C349="","",IFERROR(VLOOKUP(C349,EQUIPOS!$B$3:$F$18,5,0),""))</f>
        <v/>
      </c>
      <c r="F349" s="5" t="str">
        <f aca="false">IF(C349="","",IFERROR(VLOOKUP(C349,EQUIPOS!$B$3:$G$18,6,0),""))</f>
        <v/>
      </c>
      <c r="G349" s="8"/>
      <c r="H349" s="5"/>
      <c r="I349" s="5"/>
      <c r="J349" s="9"/>
      <c r="K349" s="17" t="str">
        <f aca="false">IF(H349="","",IFERROR(SUMIFS(BD_PLAN!$I$3:$I$312,BD_PLAN!$B$3:$B$312,E349,BD_PLAN!$C$3:$C$312,INDEX(BD_CICLO!$F$3:$F$54,MATCH(E349&amp;"|"&amp;H349,BD_CICLO!$G$3:$G$54,0))),""))</f>
        <v/>
      </c>
      <c r="L349" s="9"/>
      <c r="M349" s="9"/>
      <c r="N349" s="1" t="str">
        <f aca="false">IF(C349="","",C349&amp;"|"&amp;COUNTIF(C$3:C349,C349))</f>
        <v/>
      </c>
      <c r="O349" s="1" t="str">
        <f aca="false">IF(OR(C349="",M349=""),"",C349&amp;"|"&amp;COUNTIFS(C$3:C349,C349,M$3:M349,"&lt;&gt;"))</f>
        <v/>
      </c>
    </row>
    <row r="350" customFormat="false" ht="15" hidden="false" customHeight="false" outlineLevel="0" collapsed="false">
      <c r="B350" s="7"/>
      <c r="C350" s="5"/>
      <c r="D350" s="9" t="str">
        <f aca="false">IF(C350="","",IFERROR(VLOOKUP(C350,EQUIPOS!$B$3:$C$18,2,0),"NO EXISTE"))</f>
        <v/>
      </c>
      <c r="E350" s="9" t="str">
        <f aca="false">IF(C350="","",IFERROR(VLOOKUP(C350,EQUIPOS!$B$3:$F$18,5,0),""))</f>
        <v/>
      </c>
      <c r="F350" s="5" t="str">
        <f aca="false">IF(C350="","",IFERROR(VLOOKUP(C350,EQUIPOS!$B$3:$G$18,6,0),""))</f>
        <v/>
      </c>
      <c r="G350" s="8"/>
      <c r="H350" s="5"/>
      <c r="I350" s="5"/>
      <c r="J350" s="9"/>
      <c r="K350" s="17" t="str">
        <f aca="false">IF(H350="","",IFERROR(SUMIFS(BD_PLAN!$I$3:$I$312,BD_PLAN!$B$3:$B$312,E350,BD_PLAN!$C$3:$C$312,INDEX(BD_CICLO!$F$3:$F$54,MATCH(E350&amp;"|"&amp;H350,BD_CICLO!$G$3:$G$54,0))),""))</f>
        <v/>
      </c>
      <c r="L350" s="9"/>
      <c r="M350" s="9"/>
      <c r="N350" s="1" t="str">
        <f aca="false">IF(C350="","",C350&amp;"|"&amp;COUNTIF(C$3:C350,C350))</f>
        <v/>
      </c>
      <c r="O350" s="1" t="str">
        <f aca="false">IF(OR(C350="",M350=""),"",C350&amp;"|"&amp;COUNTIFS(C$3:C350,C350,M$3:M350,"&lt;&gt;"))</f>
        <v/>
      </c>
    </row>
    <row r="351" customFormat="false" ht="15" hidden="false" customHeight="false" outlineLevel="0" collapsed="false">
      <c r="B351" s="7"/>
      <c r="C351" s="5"/>
      <c r="D351" s="9" t="str">
        <f aca="false">IF(C351="","",IFERROR(VLOOKUP(C351,EQUIPOS!$B$3:$C$18,2,0),"NO EXISTE"))</f>
        <v/>
      </c>
      <c r="E351" s="9" t="str">
        <f aca="false">IF(C351="","",IFERROR(VLOOKUP(C351,EQUIPOS!$B$3:$F$18,5,0),""))</f>
        <v/>
      </c>
      <c r="F351" s="5" t="str">
        <f aca="false">IF(C351="","",IFERROR(VLOOKUP(C351,EQUIPOS!$B$3:$G$18,6,0),""))</f>
        <v/>
      </c>
      <c r="G351" s="8"/>
      <c r="H351" s="5"/>
      <c r="I351" s="5"/>
      <c r="J351" s="9"/>
      <c r="K351" s="17" t="str">
        <f aca="false">IF(H351="","",IFERROR(SUMIFS(BD_PLAN!$I$3:$I$312,BD_PLAN!$B$3:$B$312,E351,BD_PLAN!$C$3:$C$312,INDEX(BD_CICLO!$F$3:$F$54,MATCH(E351&amp;"|"&amp;H351,BD_CICLO!$G$3:$G$54,0))),""))</f>
        <v/>
      </c>
      <c r="L351" s="9"/>
      <c r="M351" s="9"/>
      <c r="N351" s="1" t="str">
        <f aca="false">IF(C351="","",C351&amp;"|"&amp;COUNTIF(C$3:C351,C351))</f>
        <v/>
      </c>
      <c r="O351" s="1" t="str">
        <f aca="false">IF(OR(C351="",M351=""),"",C351&amp;"|"&amp;COUNTIFS(C$3:C351,C351,M$3:M351,"&lt;&gt;"))</f>
        <v/>
      </c>
    </row>
    <row r="352" customFormat="false" ht="15" hidden="false" customHeight="false" outlineLevel="0" collapsed="false">
      <c r="B352" s="7"/>
      <c r="C352" s="5"/>
      <c r="D352" s="9" t="str">
        <f aca="false">IF(C352="","",IFERROR(VLOOKUP(C352,EQUIPOS!$B$3:$C$18,2,0),"NO EXISTE"))</f>
        <v/>
      </c>
      <c r="E352" s="9" t="str">
        <f aca="false">IF(C352="","",IFERROR(VLOOKUP(C352,EQUIPOS!$B$3:$F$18,5,0),""))</f>
        <v/>
      </c>
      <c r="F352" s="5" t="str">
        <f aca="false">IF(C352="","",IFERROR(VLOOKUP(C352,EQUIPOS!$B$3:$G$18,6,0),""))</f>
        <v/>
      </c>
      <c r="G352" s="8"/>
      <c r="H352" s="5"/>
      <c r="I352" s="5"/>
      <c r="J352" s="9"/>
      <c r="K352" s="17" t="str">
        <f aca="false">IF(H352="","",IFERROR(SUMIFS(BD_PLAN!$I$3:$I$312,BD_PLAN!$B$3:$B$312,E352,BD_PLAN!$C$3:$C$312,INDEX(BD_CICLO!$F$3:$F$54,MATCH(E352&amp;"|"&amp;H352,BD_CICLO!$G$3:$G$54,0))),""))</f>
        <v/>
      </c>
      <c r="L352" s="9"/>
      <c r="M352" s="9"/>
      <c r="N352" s="1" t="str">
        <f aca="false">IF(C352="","",C352&amp;"|"&amp;COUNTIF(C$3:C352,C352))</f>
        <v/>
      </c>
      <c r="O352" s="1" t="str">
        <f aca="false">IF(OR(C352="",M352=""),"",C352&amp;"|"&amp;COUNTIFS(C$3:C352,C352,M$3:M352,"&lt;&gt;"))</f>
        <v/>
      </c>
    </row>
    <row r="353" customFormat="false" ht="15" hidden="false" customHeight="false" outlineLevel="0" collapsed="false">
      <c r="B353" s="7"/>
      <c r="C353" s="5"/>
      <c r="D353" s="9" t="str">
        <f aca="false">IF(C353="","",IFERROR(VLOOKUP(C353,EQUIPOS!$B$3:$C$18,2,0),"NO EXISTE"))</f>
        <v/>
      </c>
      <c r="E353" s="9" t="str">
        <f aca="false">IF(C353="","",IFERROR(VLOOKUP(C353,EQUIPOS!$B$3:$F$18,5,0),""))</f>
        <v/>
      </c>
      <c r="F353" s="5" t="str">
        <f aca="false">IF(C353="","",IFERROR(VLOOKUP(C353,EQUIPOS!$B$3:$G$18,6,0),""))</f>
        <v/>
      </c>
      <c r="G353" s="8"/>
      <c r="H353" s="5"/>
      <c r="I353" s="5"/>
      <c r="J353" s="9"/>
      <c r="K353" s="17" t="str">
        <f aca="false">IF(H353="","",IFERROR(SUMIFS(BD_PLAN!$I$3:$I$312,BD_PLAN!$B$3:$B$312,E353,BD_PLAN!$C$3:$C$312,INDEX(BD_CICLO!$F$3:$F$54,MATCH(E353&amp;"|"&amp;H353,BD_CICLO!$G$3:$G$54,0))),""))</f>
        <v/>
      </c>
      <c r="L353" s="9"/>
      <c r="M353" s="9"/>
      <c r="N353" s="1" t="str">
        <f aca="false">IF(C353="","",C353&amp;"|"&amp;COUNTIF(C$3:C353,C353))</f>
        <v/>
      </c>
      <c r="O353" s="1" t="str">
        <f aca="false">IF(OR(C353="",M353=""),"",C353&amp;"|"&amp;COUNTIFS(C$3:C353,C353,M$3:M353,"&lt;&gt;"))</f>
        <v/>
      </c>
    </row>
    <row r="354" customFormat="false" ht="15" hidden="false" customHeight="false" outlineLevel="0" collapsed="false">
      <c r="B354" s="7"/>
      <c r="C354" s="5"/>
      <c r="D354" s="9" t="str">
        <f aca="false">IF(C354="","",IFERROR(VLOOKUP(C354,EQUIPOS!$B$3:$C$18,2,0),"NO EXISTE"))</f>
        <v/>
      </c>
      <c r="E354" s="9" t="str">
        <f aca="false">IF(C354="","",IFERROR(VLOOKUP(C354,EQUIPOS!$B$3:$F$18,5,0),""))</f>
        <v/>
      </c>
      <c r="F354" s="5" t="str">
        <f aca="false">IF(C354="","",IFERROR(VLOOKUP(C354,EQUIPOS!$B$3:$G$18,6,0),""))</f>
        <v/>
      </c>
      <c r="G354" s="8"/>
      <c r="H354" s="5"/>
      <c r="I354" s="5"/>
      <c r="J354" s="9"/>
      <c r="K354" s="17" t="str">
        <f aca="false">IF(H354="","",IFERROR(SUMIFS(BD_PLAN!$I$3:$I$312,BD_PLAN!$B$3:$B$312,E354,BD_PLAN!$C$3:$C$312,INDEX(BD_CICLO!$F$3:$F$54,MATCH(E354&amp;"|"&amp;H354,BD_CICLO!$G$3:$G$54,0))),""))</f>
        <v/>
      </c>
      <c r="L354" s="9"/>
      <c r="M354" s="9"/>
      <c r="N354" s="1" t="str">
        <f aca="false">IF(C354="","",C354&amp;"|"&amp;COUNTIF(C$3:C354,C354))</f>
        <v/>
      </c>
      <c r="O354" s="1" t="str">
        <f aca="false">IF(OR(C354="",M354=""),"",C354&amp;"|"&amp;COUNTIFS(C$3:C354,C354,M$3:M354,"&lt;&gt;"))</f>
        <v/>
      </c>
    </row>
    <row r="355" customFormat="false" ht="15" hidden="false" customHeight="false" outlineLevel="0" collapsed="false">
      <c r="B355" s="7"/>
      <c r="C355" s="5"/>
      <c r="D355" s="9" t="str">
        <f aca="false">IF(C355="","",IFERROR(VLOOKUP(C355,EQUIPOS!$B$3:$C$18,2,0),"NO EXISTE"))</f>
        <v/>
      </c>
      <c r="E355" s="9" t="str">
        <f aca="false">IF(C355="","",IFERROR(VLOOKUP(C355,EQUIPOS!$B$3:$F$18,5,0),""))</f>
        <v/>
      </c>
      <c r="F355" s="5" t="str">
        <f aca="false">IF(C355="","",IFERROR(VLOOKUP(C355,EQUIPOS!$B$3:$G$18,6,0),""))</f>
        <v/>
      </c>
      <c r="G355" s="8"/>
      <c r="H355" s="5"/>
      <c r="I355" s="5"/>
      <c r="J355" s="9"/>
      <c r="K355" s="17" t="str">
        <f aca="false">IF(H355="","",IFERROR(SUMIFS(BD_PLAN!$I$3:$I$312,BD_PLAN!$B$3:$B$312,E355,BD_PLAN!$C$3:$C$312,INDEX(BD_CICLO!$F$3:$F$54,MATCH(E355&amp;"|"&amp;H355,BD_CICLO!$G$3:$G$54,0))),""))</f>
        <v/>
      </c>
      <c r="L355" s="9"/>
      <c r="M355" s="9"/>
      <c r="N355" s="1" t="str">
        <f aca="false">IF(C355="","",C355&amp;"|"&amp;COUNTIF(C$3:C355,C355))</f>
        <v/>
      </c>
      <c r="O355" s="1" t="str">
        <f aca="false">IF(OR(C355="",M355=""),"",C355&amp;"|"&amp;COUNTIFS(C$3:C355,C355,M$3:M355,"&lt;&gt;"))</f>
        <v/>
      </c>
    </row>
    <row r="356" customFormat="false" ht="15" hidden="false" customHeight="false" outlineLevel="0" collapsed="false">
      <c r="B356" s="7"/>
      <c r="C356" s="5"/>
      <c r="D356" s="9" t="str">
        <f aca="false">IF(C356="","",IFERROR(VLOOKUP(C356,EQUIPOS!$B$3:$C$18,2,0),"NO EXISTE"))</f>
        <v/>
      </c>
      <c r="E356" s="9" t="str">
        <f aca="false">IF(C356="","",IFERROR(VLOOKUP(C356,EQUIPOS!$B$3:$F$18,5,0),""))</f>
        <v/>
      </c>
      <c r="F356" s="5" t="str">
        <f aca="false">IF(C356="","",IFERROR(VLOOKUP(C356,EQUIPOS!$B$3:$G$18,6,0),""))</f>
        <v/>
      </c>
      <c r="G356" s="8"/>
      <c r="H356" s="5"/>
      <c r="I356" s="5"/>
      <c r="J356" s="9"/>
      <c r="K356" s="17" t="str">
        <f aca="false">IF(H356="","",IFERROR(SUMIFS(BD_PLAN!$I$3:$I$312,BD_PLAN!$B$3:$B$312,E356,BD_PLAN!$C$3:$C$312,INDEX(BD_CICLO!$F$3:$F$54,MATCH(E356&amp;"|"&amp;H356,BD_CICLO!$G$3:$G$54,0))),""))</f>
        <v/>
      </c>
      <c r="L356" s="9"/>
      <c r="M356" s="9"/>
      <c r="N356" s="1" t="str">
        <f aca="false">IF(C356="","",C356&amp;"|"&amp;COUNTIF(C$3:C356,C356))</f>
        <v/>
      </c>
      <c r="O356" s="1" t="str">
        <f aca="false">IF(OR(C356="",M356=""),"",C356&amp;"|"&amp;COUNTIFS(C$3:C356,C356,M$3:M356,"&lt;&gt;"))</f>
        <v/>
      </c>
    </row>
    <row r="357" customFormat="false" ht="15" hidden="false" customHeight="false" outlineLevel="0" collapsed="false">
      <c r="B357" s="7"/>
      <c r="C357" s="5"/>
      <c r="D357" s="9" t="str">
        <f aca="false">IF(C357="","",IFERROR(VLOOKUP(C357,EQUIPOS!$B$3:$C$18,2,0),"NO EXISTE"))</f>
        <v/>
      </c>
      <c r="E357" s="9" t="str">
        <f aca="false">IF(C357="","",IFERROR(VLOOKUP(C357,EQUIPOS!$B$3:$F$18,5,0),""))</f>
        <v/>
      </c>
      <c r="F357" s="5" t="str">
        <f aca="false">IF(C357="","",IFERROR(VLOOKUP(C357,EQUIPOS!$B$3:$G$18,6,0),""))</f>
        <v/>
      </c>
      <c r="G357" s="8"/>
      <c r="H357" s="5"/>
      <c r="I357" s="5"/>
      <c r="J357" s="9"/>
      <c r="K357" s="17" t="str">
        <f aca="false">IF(H357="","",IFERROR(SUMIFS(BD_PLAN!$I$3:$I$312,BD_PLAN!$B$3:$B$312,E357,BD_PLAN!$C$3:$C$312,INDEX(BD_CICLO!$F$3:$F$54,MATCH(E357&amp;"|"&amp;H357,BD_CICLO!$G$3:$G$54,0))),""))</f>
        <v/>
      </c>
      <c r="L357" s="9"/>
      <c r="M357" s="9"/>
      <c r="N357" s="1" t="str">
        <f aca="false">IF(C357="","",C357&amp;"|"&amp;COUNTIF(C$3:C357,C357))</f>
        <v/>
      </c>
      <c r="O357" s="1" t="str">
        <f aca="false">IF(OR(C357="",M357=""),"",C357&amp;"|"&amp;COUNTIFS(C$3:C357,C357,M$3:M357,"&lt;&gt;"))</f>
        <v/>
      </c>
    </row>
    <row r="358" customFormat="false" ht="15" hidden="false" customHeight="false" outlineLevel="0" collapsed="false">
      <c r="B358" s="7"/>
      <c r="C358" s="5"/>
      <c r="D358" s="9" t="str">
        <f aca="false">IF(C358="","",IFERROR(VLOOKUP(C358,EQUIPOS!$B$3:$C$18,2,0),"NO EXISTE"))</f>
        <v/>
      </c>
      <c r="E358" s="9" t="str">
        <f aca="false">IF(C358="","",IFERROR(VLOOKUP(C358,EQUIPOS!$B$3:$F$18,5,0),""))</f>
        <v/>
      </c>
      <c r="F358" s="5" t="str">
        <f aca="false">IF(C358="","",IFERROR(VLOOKUP(C358,EQUIPOS!$B$3:$G$18,6,0),""))</f>
        <v/>
      </c>
      <c r="G358" s="8"/>
      <c r="H358" s="5"/>
      <c r="I358" s="5"/>
      <c r="J358" s="9"/>
      <c r="K358" s="17" t="str">
        <f aca="false">IF(H358="","",IFERROR(SUMIFS(BD_PLAN!$I$3:$I$312,BD_PLAN!$B$3:$B$312,E358,BD_PLAN!$C$3:$C$312,INDEX(BD_CICLO!$F$3:$F$54,MATCH(E358&amp;"|"&amp;H358,BD_CICLO!$G$3:$G$54,0))),""))</f>
        <v/>
      </c>
      <c r="L358" s="9"/>
      <c r="M358" s="9"/>
      <c r="N358" s="1" t="str">
        <f aca="false">IF(C358="","",C358&amp;"|"&amp;COUNTIF(C$3:C358,C358))</f>
        <v/>
      </c>
      <c r="O358" s="1" t="str">
        <f aca="false">IF(OR(C358="",M358=""),"",C358&amp;"|"&amp;COUNTIFS(C$3:C358,C358,M$3:M358,"&lt;&gt;"))</f>
        <v/>
      </c>
    </row>
    <row r="359" customFormat="false" ht="15" hidden="false" customHeight="false" outlineLevel="0" collapsed="false">
      <c r="B359" s="7"/>
      <c r="C359" s="5"/>
      <c r="D359" s="9" t="str">
        <f aca="false">IF(C359="","",IFERROR(VLOOKUP(C359,EQUIPOS!$B$3:$C$18,2,0),"NO EXISTE"))</f>
        <v/>
      </c>
      <c r="E359" s="9" t="str">
        <f aca="false">IF(C359="","",IFERROR(VLOOKUP(C359,EQUIPOS!$B$3:$F$18,5,0),""))</f>
        <v/>
      </c>
      <c r="F359" s="5" t="str">
        <f aca="false">IF(C359="","",IFERROR(VLOOKUP(C359,EQUIPOS!$B$3:$G$18,6,0),""))</f>
        <v/>
      </c>
      <c r="G359" s="8"/>
      <c r="H359" s="5"/>
      <c r="I359" s="5"/>
      <c r="J359" s="9"/>
      <c r="K359" s="17" t="str">
        <f aca="false">IF(H359="","",IFERROR(SUMIFS(BD_PLAN!$I$3:$I$312,BD_PLAN!$B$3:$B$312,E359,BD_PLAN!$C$3:$C$312,INDEX(BD_CICLO!$F$3:$F$54,MATCH(E359&amp;"|"&amp;H359,BD_CICLO!$G$3:$G$54,0))),""))</f>
        <v/>
      </c>
      <c r="L359" s="9"/>
      <c r="M359" s="9"/>
      <c r="N359" s="1" t="str">
        <f aca="false">IF(C359="","",C359&amp;"|"&amp;COUNTIF(C$3:C359,C359))</f>
        <v/>
      </c>
      <c r="O359" s="1" t="str">
        <f aca="false">IF(OR(C359="",M359=""),"",C359&amp;"|"&amp;COUNTIFS(C$3:C359,C359,M$3:M359,"&lt;&gt;"))</f>
        <v/>
      </c>
    </row>
    <row r="360" customFormat="false" ht="15" hidden="false" customHeight="false" outlineLevel="0" collapsed="false">
      <c r="B360" s="7"/>
      <c r="C360" s="5"/>
      <c r="D360" s="9" t="str">
        <f aca="false">IF(C360="","",IFERROR(VLOOKUP(C360,EQUIPOS!$B$3:$C$18,2,0),"NO EXISTE"))</f>
        <v/>
      </c>
      <c r="E360" s="9" t="str">
        <f aca="false">IF(C360="","",IFERROR(VLOOKUP(C360,EQUIPOS!$B$3:$F$18,5,0),""))</f>
        <v/>
      </c>
      <c r="F360" s="5" t="str">
        <f aca="false">IF(C360="","",IFERROR(VLOOKUP(C360,EQUIPOS!$B$3:$G$18,6,0),""))</f>
        <v/>
      </c>
      <c r="G360" s="8"/>
      <c r="H360" s="5"/>
      <c r="I360" s="5"/>
      <c r="J360" s="9"/>
      <c r="K360" s="17" t="str">
        <f aca="false">IF(H360="","",IFERROR(SUMIFS(BD_PLAN!$I$3:$I$312,BD_PLAN!$B$3:$B$312,E360,BD_PLAN!$C$3:$C$312,INDEX(BD_CICLO!$F$3:$F$54,MATCH(E360&amp;"|"&amp;H360,BD_CICLO!$G$3:$G$54,0))),""))</f>
        <v/>
      </c>
      <c r="L360" s="9"/>
      <c r="M360" s="9"/>
      <c r="N360" s="1" t="str">
        <f aca="false">IF(C360="","",C360&amp;"|"&amp;COUNTIF(C$3:C360,C360))</f>
        <v/>
      </c>
      <c r="O360" s="1" t="str">
        <f aca="false">IF(OR(C360="",M360=""),"",C360&amp;"|"&amp;COUNTIFS(C$3:C360,C360,M$3:M360,"&lt;&gt;"))</f>
        <v/>
      </c>
    </row>
    <row r="361" customFormat="false" ht="15" hidden="false" customHeight="false" outlineLevel="0" collapsed="false">
      <c r="B361" s="7"/>
      <c r="C361" s="5"/>
      <c r="D361" s="9" t="str">
        <f aca="false">IF(C361="","",IFERROR(VLOOKUP(C361,EQUIPOS!$B$3:$C$18,2,0),"NO EXISTE"))</f>
        <v/>
      </c>
      <c r="E361" s="9" t="str">
        <f aca="false">IF(C361="","",IFERROR(VLOOKUP(C361,EQUIPOS!$B$3:$F$18,5,0),""))</f>
        <v/>
      </c>
      <c r="F361" s="5" t="str">
        <f aca="false">IF(C361="","",IFERROR(VLOOKUP(C361,EQUIPOS!$B$3:$G$18,6,0),""))</f>
        <v/>
      </c>
      <c r="G361" s="8"/>
      <c r="H361" s="5"/>
      <c r="I361" s="5"/>
      <c r="J361" s="9"/>
      <c r="K361" s="17" t="str">
        <f aca="false">IF(H361="","",IFERROR(SUMIFS(BD_PLAN!$I$3:$I$312,BD_PLAN!$B$3:$B$312,E361,BD_PLAN!$C$3:$C$312,INDEX(BD_CICLO!$F$3:$F$54,MATCH(E361&amp;"|"&amp;H361,BD_CICLO!$G$3:$G$54,0))),""))</f>
        <v/>
      </c>
      <c r="L361" s="9"/>
      <c r="M361" s="9"/>
      <c r="N361" s="1" t="str">
        <f aca="false">IF(C361="","",C361&amp;"|"&amp;COUNTIF(C$3:C361,C361))</f>
        <v/>
      </c>
      <c r="O361" s="1" t="str">
        <f aca="false">IF(OR(C361="",M361=""),"",C361&amp;"|"&amp;COUNTIFS(C$3:C361,C361,M$3:M361,"&lt;&gt;"))</f>
        <v/>
      </c>
    </row>
    <row r="362" customFormat="false" ht="15" hidden="false" customHeight="false" outlineLevel="0" collapsed="false">
      <c r="B362" s="7"/>
      <c r="C362" s="5"/>
      <c r="D362" s="9" t="str">
        <f aca="false">IF(C362="","",IFERROR(VLOOKUP(C362,EQUIPOS!$B$3:$C$18,2,0),"NO EXISTE"))</f>
        <v/>
      </c>
      <c r="E362" s="9" t="str">
        <f aca="false">IF(C362="","",IFERROR(VLOOKUP(C362,EQUIPOS!$B$3:$F$18,5,0),""))</f>
        <v/>
      </c>
      <c r="F362" s="5" t="str">
        <f aca="false">IF(C362="","",IFERROR(VLOOKUP(C362,EQUIPOS!$B$3:$G$18,6,0),""))</f>
        <v/>
      </c>
      <c r="G362" s="8"/>
      <c r="H362" s="5"/>
      <c r="I362" s="5"/>
      <c r="J362" s="9"/>
      <c r="K362" s="17" t="str">
        <f aca="false">IF(H362="","",IFERROR(SUMIFS(BD_PLAN!$I$3:$I$312,BD_PLAN!$B$3:$B$312,E362,BD_PLAN!$C$3:$C$312,INDEX(BD_CICLO!$F$3:$F$54,MATCH(E362&amp;"|"&amp;H362,BD_CICLO!$G$3:$G$54,0))),""))</f>
        <v/>
      </c>
      <c r="L362" s="9"/>
      <c r="M362" s="9"/>
      <c r="N362" s="1" t="str">
        <f aca="false">IF(C362="","",C362&amp;"|"&amp;COUNTIF(C$3:C362,C362))</f>
        <v/>
      </c>
      <c r="O362" s="1" t="str">
        <f aca="false">IF(OR(C362="",M362=""),"",C362&amp;"|"&amp;COUNTIFS(C$3:C362,C362,M$3:M362,"&lt;&gt;"))</f>
        <v/>
      </c>
    </row>
    <row r="363" customFormat="false" ht="15" hidden="false" customHeight="false" outlineLevel="0" collapsed="false">
      <c r="B363" s="7"/>
      <c r="C363" s="5"/>
      <c r="D363" s="9" t="str">
        <f aca="false">IF(C363="","",IFERROR(VLOOKUP(C363,EQUIPOS!$B$3:$C$18,2,0),"NO EXISTE"))</f>
        <v/>
      </c>
      <c r="E363" s="9" t="str">
        <f aca="false">IF(C363="","",IFERROR(VLOOKUP(C363,EQUIPOS!$B$3:$F$18,5,0),""))</f>
        <v/>
      </c>
      <c r="F363" s="5" t="str">
        <f aca="false">IF(C363="","",IFERROR(VLOOKUP(C363,EQUIPOS!$B$3:$G$18,6,0),""))</f>
        <v/>
      </c>
      <c r="G363" s="8"/>
      <c r="H363" s="5"/>
      <c r="I363" s="5"/>
      <c r="J363" s="9"/>
      <c r="K363" s="17" t="str">
        <f aca="false">IF(H363="","",IFERROR(SUMIFS(BD_PLAN!$I$3:$I$312,BD_PLAN!$B$3:$B$312,E363,BD_PLAN!$C$3:$C$312,INDEX(BD_CICLO!$F$3:$F$54,MATCH(E363&amp;"|"&amp;H363,BD_CICLO!$G$3:$G$54,0))),""))</f>
        <v/>
      </c>
      <c r="L363" s="9"/>
      <c r="M363" s="9"/>
      <c r="N363" s="1" t="str">
        <f aca="false">IF(C363="","",C363&amp;"|"&amp;COUNTIF(C$3:C363,C363))</f>
        <v/>
      </c>
      <c r="O363" s="1" t="str">
        <f aca="false">IF(OR(C363="",M363=""),"",C363&amp;"|"&amp;COUNTIFS(C$3:C363,C363,M$3:M363,"&lt;&gt;"))</f>
        <v/>
      </c>
    </row>
    <row r="364" customFormat="false" ht="15" hidden="false" customHeight="false" outlineLevel="0" collapsed="false">
      <c r="B364" s="7"/>
      <c r="C364" s="5"/>
      <c r="D364" s="9" t="str">
        <f aca="false">IF(C364="","",IFERROR(VLOOKUP(C364,EQUIPOS!$B$3:$C$18,2,0),"NO EXISTE"))</f>
        <v/>
      </c>
      <c r="E364" s="9" t="str">
        <f aca="false">IF(C364="","",IFERROR(VLOOKUP(C364,EQUIPOS!$B$3:$F$18,5,0),""))</f>
        <v/>
      </c>
      <c r="F364" s="5" t="str">
        <f aca="false">IF(C364="","",IFERROR(VLOOKUP(C364,EQUIPOS!$B$3:$G$18,6,0),""))</f>
        <v/>
      </c>
      <c r="G364" s="8"/>
      <c r="H364" s="5"/>
      <c r="I364" s="5"/>
      <c r="J364" s="9"/>
      <c r="K364" s="17" t="str">
        <f aca="false">IF(H364="","",IFERROR(SUMIFS(BD_PLAN!$I$3:$I$312,BD_PLAN!$B$3:$B$312,E364,BD_PLAN!$C$3:$C$312,INDEX(BD_CICLO!$F$3:$F$54,MATCH(E364&amp;"|"&amp;H364,BD_CICLO!$G$3:$G$54,0))),""))</f>
        <v/>
      </c>
      <c r="L364" s="9"/>
      <c r="M364" s="9"/>
      <c r="N364" s="1" t="str">
        <f aca="false">IF(C364="","",C364&amp;"|"&amp;COUNTIF(C$3:C364,C364))</f>
        <v/>
      </c>
      <c r="O364" s="1" t="str">
        <f aca="false">IF(OR(C364="",M364=""),"",C364&amp;"|"&amp;COUNTIFS(C$3:C364,C364,M$3:M364,"&lt;&gt;"))</f>
        <v/>
      </c>
    </row>
    <row r="365" customFormat="false" ht="15" hidden="false" customHeight="false" outlineLevel="0" collapsed="false">
      <c r="B365" s="7"/>
      <c r="C365" s="5"/>
      <c r="D365" s="9" t="str">
        <f aca="false">IF(C365="","",IFERROR(VLOOKUP(C365,EQUIPOS!$B$3:$C$18,2,0),"NO EXISTE"))</f>
        <v/>
      </c>
      <c r="E365" s="9" t="str">
        <f aca="false">IF(C365="","",IFERROR(VLOOKUP(C365,EQUIPOS!$B$3:$F$18,5,0),""))</f>
        <v/>
      </c>
      <c r="F365" s="5" t="str">
        <f aca="false">IF(C365="","",IFERROR(VLOOKUP(C365,EQUIPOS!$B$3:$G$18,6,0),""))</f>
        <v/>
      </c>
      <c r="G365" s="8"/>
      <c r="H365" s="5"/>
      <c r="I365" s="5"/>
      <c r="J365" s="9"/>
      <c r="K365" s="17" t="str">
        <f aca="false">IF(H365="","",IFERROR(SUMIFS(BD_PLAN!$I$3:$I$312,BD_PLAN!$B$3:$B$312,E365,BD_PLAN!$C$3:$C$312,INDEX(BD_CICLO!$F$3:$F$54,MATCH(E365&amp;"|"&amp;H365,BD_CICLO!$G$3:$G$54,0))),""))</f>
        <v/>
      </c>
      <c r="L365" s="9"/>
      <c r="M365" s="9"/>
      <c r="N365" s="1" t="str">
        <f aca="false">IF(C365="","",C365&amp;"|"&amp;COUNTIF(C$3:C365,C365))</f>
        <v/>
      </c>
      <c r="O365" s="1" t="str">
        <f aca="false">IF(OR(C365="",M365=""),"",C365&amp;"|"&amp;COUNTIFS(C$3:C365,C365,M$3:M365,"&lt;&gt;"))</f>
        <v/>
      </c>
    </row>
    <row r="366" customFormat="false" ht="15" hidden="false" customHeight="false" outlineLevel="0" collapsed="false">
      <c r="B366" s="7"/>
      <c r="C366" s="5"/>
      <c r="D366" s="9" t="str">
        <f aca="false">IF(C366="","",IFERROR(VLOOKUP(C366,EQUIPOS!$B$3:$C$18,2,0),"NO EXISTE"))</f>
        <v/>
      </c>
      <c r="E366" s="9" t="str">
        <f aca="false">IF(C366="","",IFERROR(VLOOKUP(C366,EQUIPOS!$B$3:$F$18,5,0),""))</f>
        <v/>
      </c>
      <c r="F366" s="5" t="str">
        <f aca="false">IF(C366="","",IFERROR(VLOOKUP(C366,EQUIPOS!$B$3:$G$18,6,0),""))</f>
        <v/>
      </c>
      <c r="G366" s="8"/>
      <c r="H366" s="5"/>
      <c r="I366" s="5"/>
      <c r="J366" s="9"/>
      <c r="K366" s="17" t="str">
        <f aca="false">IF(H366="","",IFERROR(SUMIFS(BD_PLAN!$I$3:$I$312,BD_PLAN!$B$3:$B$312,E366,BD_PLAN!$C$3:$C$312,INDEX(BD_CICLO!$F$3:$F$54,MATCH(E366&amp;"|"&amp;H366,BD_CICLO!$G$3:$G$54,0))),""))</f>
        <v/>
      </c>
      <c r="L366" s="9"/>
      <c r="M366" s="9"/>
      <c r="N366" s="1" t="str">
        <f aca="false">IF(C366="","",C366&amp;"|"&amp;COUNTIF(C$3:C366,C366))</f>
        <v/>
      </c>
      <c r="O366" s="1" t="str">
        <f aca="false">IF(OR(C366="",M366=""),"",C366&amp;"|"&amp;COUNTIFS(C$3:C366,C366,M$3:M366,"&lt;&gt;"))</f>
        <v/>
      </c>
    </row>
    <row r="367" customFormat="false" ht="15" hidden="false" customHeight="false" outlineLevel="0" collapsed="false">
      <c r="B367" s="7"/>
      <c r="C367" s="5"/>
      <c r="D367" s="9" t="str">
        <f aca="false">IF(C367="","",IFERROR(VLOOKUP(C367,EQUIPOS!$B$3:$C$18,2,0),"NO EXISTE"))</f>
        <v/>
      </c>
      <c r="E367" s="9" t="str">
        <f aca="false">IF(C367="","",IFERROR(VLOOKUP(C367,EQUIPOS!$B$3:$F$18,5,0),""))</f>
        <v/>
      </c>
      <c r="F367" s="5" t="str">
        <f aca="false">IF(C367="","",IFERROR(VLOOKUP(C367,EQUIPOS!$B$3:$G$18,6,0),""))</f>
        <v/>
      </c>
      <c r="G367" s="8"/>
      <c r="H367" s="5"/>
      <c r="I367" s="5"/>
      <c r="J367" s="9"/>
      <c r="K367" s="17" t="str">
        <f aca="false">IF(H367="","",IFERROR(SUMIFS(BD_PLAN!$I$3:$I$312,BD_PLAN!$B$3:$B$312,E367,BD_PLAN!$C$3:$C$312,INDEX(BD_CICLO!$F$3:$F$54,MATCH(E367&amp;"|"&amp;H367,BD_CICLO!$G$3:$G$54,0))),""))</f>
        <v/>
      </c>
      <c r="L367" s="9"/>
      <c r="M367" s="9"/>
      <c r="N367" s="1" t="str">
        <f aca="false">IF(C367="","",C367&amp;"|"&amp;COUNTIF(C$3:C367,C367))</f>
        <v/>
      </c>
      <c r="O367" s="1" t="str">
        <f aca="false">IF(OR(C367="",M367=""),"",C367&amp;"|"&amp;COUNTIFS(C$3:C367,C367,M$3:M367,"&lt;&gt;"))</f>
        <v/>
      </c>
    </row>
    <row r="368" customFormat="false" ht="15" hidden="false" customHeight="false" outlineLevel="0" collapsed="false">
      <c r="B368" s="7"/>
      <c r="C368" s="5"/>
      <c r="D368" s="9" t="str">
        <f aca="false">IF(C368="","",IFERROR(VLOOKUP(C368,EQUIPOS!$B$3:$C$18,2,0),"NO EXISTE"))</f>
        <v/>
      </c>
      <c r="E368" s="9" t="str">
        <f aca="false">IF(C368="","",IFERROR(VLOOKUP(C368,EQUIPOS!$B$3:$F$18,5,0),""))</f>
        <v/>
      </c>
      <c r="F368" s="5" t="str">
        <f aca="false">IF(C368="","",IFERROR(VLOOKUP(C368,EQUIPOS!$B$3:$G$18,6,0),""))</f>
        <v/>
      </c>
      <c r="G368" s="8"/>
      <c r="H368" s="5"/>
      <c r="I368" s="5"/>
      <c r="J368" s="9"/>
      <c r="K368" s="17" t="str">
        <f aca="false">IF(H368="","",IFERROR(SUMIFS(BD_PLAN!$I$3:$I$312,BD_PLAN!$B$3:$B$312,E368,BD_PLAN!$C$3:$C$312,INDEX(BD_CICLO!$F$3:$F$54,MATCH(E368&amp;"|"&amp;H368,BD_CICLO!$G$3:$G$54,0))),""))</f>
        <v/>
      </c>
      <c r="L368" s="9"/>
      <c r="M368" s="9"/>
      <c r="N368" s="1" t="str">
        <f aca="false">IF(C368="","",C368&amp;"|"&amp;COUNTIF(C$3:C368,C368))</f>
        <v/>
      </c>
      <c r="O368" s="1" t="str">
        <f aca="false">IF(OR(C368="",M368=""),"",C368&amp;"|"&amp;COUNTIFS(C$3:C368,C368,M$3:M368,"&lt;&gt;"))</f>
        <v/>
      </c>
    </row>
    <row r="369" customFormat="false" ht="15" hidden="false" customHeight="false" outlineLevel="0" collapsed="false">
      <c r="B369" s="7"/>
      <c r="C369" s="5"/>
      <c r="D369" s="9" t="str">
        <f aca="false">IF(C369="","",IFERROR(VLOOKUP(C369,EQUIPOS!$B$3:$C$18,2,0),"NO EXISTE"))</f>
        <v/>
      </c>
      <c r="E369" s="9" t="str">
        <f aca="false">IF(C369="","",IFERROR(VLOOKUP(C369,EQUIPOS!$B$3:$F$18,5,0),""))</f>
        <v/>
      </c>
      <c r="F369" s="5" t="str">
        <f aca="false">IF(C369="","",IFERROR(VLOOKUP(C369,EQUIPOS!$B$3:$G$18,6,0),""))</f>
        <v/>
      </c>
      <c r="G369" s="8"/>
      <c r="H369" s="5"/>
      <c r="I369" s="5"/>
      <c r="J369" s="9"/>
      <c r="K369" s="17" t="str">
        <f aca="false">IF(H369="","",IFERROR(SUMIFS(BD_PLAN!$I$3:$I$312,BD_PLAN!$B$3:$B$312,E369,BD_PLAN!$C$3:$C$312,INDEX(BD_CICLO!$F$3:$F$54,MATCH(E369&amp;"|"&amp;H369,BD_CICLO!$G$3:$G$54,0))),""))</f>
        <v/>
      </c>
      <c r="L369" s="9"/>
      <c r="M369" s="9"/>
      <c r="N369" s="1" t="str">
        <f aca="false">IF(C369="","",C369&amp;"|"&amp;COUNTIF(C$3:C369,C369))</f>
        <v/>
      </c>
      <c r="O369" s="1" t="str">
        <f aca="false">IF(OR(C369="",M369=""),"",C369&amp;"|"&amp;COUNTIFS(C$3:C369,C369,M$3:M369,"&lt;&gt;"))</f>
        <v/>
      </c>
    </row>
    <row r="370" customFormat="false" ht="15" hidden="false" customHeight="false" outlineLevel="0" collapsed="false">
      <c r="B370" s="7"/>
      <c r="C370" s="5"/>
      <c r="D370" s="9" t="str">
        <f aca="false">IF(C370="","",IFERROR(VLOOKUP(C370,EQUIPOS!$B$3:$C$18,2,0),"NO EXISTE"))</f>
        <v/>
      </c>
      <c r="E370" s="9" t="str">
        <f aca="false">IF(C370="","",IFERROR(VLOOKUP(C370,EQUIPOS!$B$3:$F$18,5,0),""))</f>
        <v/>
      </c>
      <c r="F370" s="5" t="str">
        <f aca="false">IF(C370="","",IFERROR(VLOOKUP(C370,EQUIPOS!$B$3:$G$18,6,0),""))</f>
        <v/>
      </c>
      <c r="G370" s="8"/>
      <c r="H370" s="5"/>
      <c r="I370" s="5"/>
      <c r="J370" s="9"/>
      <c r="K370" s="17" t="str">
        <f aca="false">IF(H370="","",IFERROR(SUMIFS(BD_PLAN!$I$3:$I$312,BD_PLAN!$B$3:$B$312,E370,BD_PLAN!$C$3:$C$312,INDEX(BD_CICLO!$F$3:$F$54,MATCH(E370&amp;"|"&amp;H370,BD_CICLO!$G$3:$G$54,0))),""))</f>
        <v/>
      </c>
      <c r="L370" s="9"/>
      <c r="M370" s="9"/>
      <c r="N370" s="1" t="str">
        <f aca="false">IF(C370="","",C370&amp;"|"&amp;COUNTIF(C$3:C370,C370))</f>
        <v/>
      </c>
      <c r="O370" s="1" t="str">
        <f aca="false">IF(OR(C370="",M370=""),"",C370&amp;"|"&amp;COUNTIFS(C$3:C370,C370,M$3:M370,"&lt;&gt;"))</f>
        <v/>
      </c>
    </row>
    <row r="371" customFormat="false" ht="15" hidden="false" customHeight="false" outlineLevel="0" collapsed="false">
      <c r="B371" s="7"/>
      <c r="C371" s="5"/>
      <c r="D371" s="9" t="str">
        <f aca="false">IF(C371="","",IFERROR(VLOOKUP(C371,EQUIPOS!$B$3:$C$18,2,0),"NO EXISTE"))</f>
        <v/>
      </c>
      <c r="E371" s="9" t="str">
        <f aca="false">IF(C371="","",IFERROR(VLOOKUP(C371,EQUIPOS!$B$3:$F$18,5,0),""))</f>
        <v/>
      </c>
      <c r="F371" s="5" t="str">
        <f aca="false">IF(C371="","",IFERROR(VLOOKUP(C371,EQUIPOS!$B$3:$G$18,6,0),""))</f>
        <v/>
      </c>
      <c r="G371" s="8"/>
      <c r="H371" s="5"/>
      <c r="I371" s="5"/>
      <c r="J371" s="9"/>
      <c r="K371" s="17" t="str">
        <f aca="false">IF(H371="","",IFERROR(SUMIFS(BD_PLAN!$I$3:$I$312,BD_PLAN!$B$3:$B$312,E371,BD_PLAN!$C$3:$C$312,INDEX(BD_CICLO!$F$3:$F$54,MATCH(E371&amp;"|"&amp;H371,BD_CICLO!$G$3:$G$54,0))),""))</f>
        <v/>
      </c>
      <c r="L371" s="9"/>
      <c r="M371" s="9"/>
      <c r="N371" s="1" t="str">
        <f aca="false">IF(C371="","",C371&amp;"|"&amp;COUNTIF(C$3:C371,C371))</f>
        <v/>
      </c>
      <c r="O371" s="1" t="str">
        <f aca="false">IF(OR(C371="",M371=""),"",C371&amp;"|"&amp;COUNTIFS(C$3:C371,C371,M$3:M371,"&lt;&gt;"))</f>
        <v/>
      </c>
    </row>
    <row r="372" customFormat="false" ht="15" hidden="false" customHeight="false" outlineLevel="0" collapsed="false">
      <c r="B372" s="7"/>
      <c r="C372" s="5"/>
      <c r="D372" s="9" t="str">
        <f aca="false">IF(C372="","",IFERROR(VLOOKUP(C372,EQUIPOS!$B$3:$C$18,2,0),"NO EXISTE"))</f>
        <v/>
      </c>
      <c r="E372" s="9" t="str">
        <f aca="false">IF(C372="","",IFERROR(VLOOKUP(C372,EQUIPOS!$B$3:$F$18,5,0),""))</f>
        <v/>
      </c>
      <c r="F372" s="5" t="str">
        <f aca="false">IF(C372="","",IFERROR(VLOOKUP(C372,EQUIPOS!$B$3:$G$18,6,0),""))</f>
        <v/>
      </c>
      <c r="G372" s="8"/>
      <c r="H372" s="5"/>
      <c r="I372" s="5"/>
      <c r="J372" s="9"/>
      <c r="K372" s="17" t="str">
        <f aca="false">IF(H372="","",IFERROR(SUMIFS(BD_PLAN!$I$3:$I$312,BD_PLAN!$B$3:$B$312,E372,BD_PLAN!$C$3:$C$312,INDEX(BD_CICLO!$F$3:$F$54,MATCH(E372&amp;"|"&amp;H372,BD_CICLO!$G$3:$G$54,0))),""))</f>
        <v/>
      </c>
      <c r="L372" s="9"/>
      <c r="M372" s="9"/>
      <c r="N372" s="1" t="str">
        <f aca="false">IF(C372="","",C372&amp;"|"&amp;COUNTIF(C$3:C372,C372))</f>
        <v/>
      </c>
      <c r="O372" s="1" t="str">
        <f aca="false">IF(OR(C372="",M372=""),"",C372&amp;"|"&amp;COUNTIFS(C$3:C372,C372,M$3:M372,"&lt;&gt;"))</f>
        <v/>
      </c>
    </row>
    <row r="373" customFormat="false" ht="15" hidden="false" customHeight="false" outlineLevel="0" collapsed="false">
      <c r="B373" s="7"/>
      <c r="C373" s="5"/>
      <c r="D373" s="9" t="str">
        <f aca="false">IF(C373="","",IFERROR(VLOOKUP(C373,EQUIPOS!$B$3:$C$18,2,0),"NO EXISTE"))</f>
        <v/>
      </c>
      <c r="E373" s="9" t="str">
        <f aca="false">IF(C373="","",IFERROR(VLOOKUP(C373,EQUIPOS!$B$3:$F$18,5,0),""))</f>
        <v/>
      </c>
      <c r="F373" s="5" t="str">
        <f aca="false">IF(C373="","",IFERROR(VLOOKUP(C373,EQUIPOS!$B$3:$G$18,6,0),""))</f>
        <v/>
      </c>
      <c r="G373" s="8"/>
      <c r="H373" s="5"/>
      <c r="I373" s="5"/>
      <c r="J373" s="9"/>
      <c r="K373" s="17" t="str">
        <f aca="false">IF(H373="","",IFERROR(SUMIFS(BD_PLAN!$I$3:$I$312,BD_PLAN!$B$3:$B$312,E373,BD_PLAN!$C$3:$C$312,INDEX(BD_CICLO!$F$3:$F$54,MATCH(E373&amp;"|"&amp;H373,BD_CICLO!$G$3:$G$54,0))),""))</f>
        <v/>
      </c>
      <c r="L373" s="9"/>
      <c r="M373" s="9"/>
      <c r="N373" s="1" t="str">
        <f aca="false">IF(C373="","",C373&amp;"|"&amp;COUNTIF(C$3:C373,C373))</f>
        <v/>
      </c>
      <c r="O373" s="1" t="str">
        <f aca="false">IF(OR(C373="",M373=""),"",C373&amp;"|"&amp;COUNTIFS(C$3:C373,C373,M$3:M373,"&lt;&gt;"))</f>
        <v/>
      </c>
    </row>
    <row r="374" customFormat="false" ht="15" hidden="false" customHeight="false" outlineLevel="0" collapsed="false">
      <c r="B374" s="7"/>
      <c r="C374" s="5"/>
      <c r="D374" s="9" t="str">
        <f aca="false">IF(C374="","",IFERROR(VLOOKUP(C374,EQUIPOS!$B$3:$C$18,2,0),"NO EXISTE"))</f>
        <v/>
      </c>
      <c r="E374" s="9" t="str">
        <f aca="false">IF(C374="","",IFERROR(VLOOKUP(C374,EQUIPOS!$B$3:$F$18,5,0),""))</f>
        <v/>
      </c>
      <c r="F374" s="5" t="str">
        <f aca="false">IF(C374="","",IFERROR(VLOOKUP(C374,EQUIPOS!$B$3:$G$18,6,0),""))</f>
        <v/>
      </c>
      <c r="G374" s="8"/>
      <c r="H374" s="5"/>
      <c r="I374" s="5"/>
      <c r="J374" s="9"/>
      <c r="K374" s="17" t="str">
        <f aca="false">IF(H374="","",IFERROR(SUMIFS(BD_PLAN!$I$3:$I$312,BD_PLAN!$B$3:$B$312,E374,BD_PLAN!$C$3:$C$312,INDEX(BD_CICLO!$F$3:$F$54,MATCH(E374&amp;"|"&amp;H374,BD_CICLO!$G$3:$G$54,0))),""))</f>
        <v/>
      </c>
      <c r="L374" s="9"/>
      <c r="M374" s="9"/>
      <c r="N374" s="1" t="str">
        <f aca="false">IF(C374="","",C374&amp;"|"&amp;COUNTIF(C$3:C374,C374))</f>
        <v/>
      </c>
      <c r="O374" s="1" t="str">
        <f aca="false">IF(OR(C374="",M374=""),"",C374&amp;"|"&amp;COUNTIFS(C$3:C374,C374,M$3:M374,"&lt;&gt;"))</f>
        <v/>
      </c>
    </row>
    <row r="375" customFormat="false" ht="15" hidden="false" customHeight="false" outlineLevel="0" collapsed="false">
      <c r="B375" s="7"/>
      <c r="C375" s="5"/>
      <c r="D375" s="9" t="str">
        <f aca="false">IF(C375="","",IFERROR(VLOOKUP(C375,EQUIPOS!$B$3:$C$18,2,0),"NO EXISTE"))</f>
        <v/>
      </c>
      <c r="E375" s="9" t="str">
        <f aca="false">IF(C375="","",IFERROR(VLOOKUP(C375,EQUIPOS!$B$3:$F$18,5,0),""))</f>
        <v/>
      </c>
      <c r="F375" s="5" t="str">
        <f aca="false">IF(C375="","",IFERROR(VLOOKUP(C375,EQUIPOS!$B$3:$G$18,6,0),""))</f>
        <v/>
      </c>
      <c r="G375" s="8"/>
      <c r="H375" s="5"/>
      <c r="I375" s="5"/>
      <c r="J375" s="9"/>
      <c r="K375" s="17" t="str">
        <f aca="false">IF(H375="","",IFERROR(SUMIFS(BD_PLAN!$I$3:$I$312,BD_PLAN!$B$3:$B$312,E375,BD_PLAN!$C$3:$C$312,INDEX(BD_CICLO!$F$3:$F$54,MATCH(E375&amp;"|"&amp;H375,BD_CICLO!$G$3:$G$54,0))),""))</f>
        <v/>
      </c>
      <c r="L375" s="9"/>
      <c r="M375" s="9"/>
      <c r="N375" s="1" t="str">
        <f aca="false">IF(C375="","",C375&amp;"|"&amp;COUNTIF(C$3:C375,C375))</f>
        <v/>
      </c>
      <c r="O375" s="1" t="str">
        <f aca="false">IF(OR(C375="",M375=""),"",C375&amp;"|"&amp;COUNTIFS(C$3:C375,C375,M$3:M375,"&lt;&gt;"))</f>
        <v/>
      </c>
    </row>
    <row r="376" customFormat="false" ht="15" hidden="false" customHeight="false" outlineLevel="0" collapsed="false">
      <c r="B376" s="7"/>
      <c r="C376" s="5"/>
      <c r="D376" s="9" t="str">
        <f aca="false">IF(C376="","",IFERROR(VLOOKUP(C376,EQUIPOS!$B$3:$C$18,2,0),"NO EXISTE"))</f>
        <v/>
      </c>
      <c r="E376" s="9" t="str">
        <f aca="false">IF(C376="","",IFERROR(VLOOKUP(C376,EQUIPOS!$B$3:$F$18,5,0),""))</f>
        <v/>
      </c>
      <c r="F376" s="5" t="str">
        <f aca="false">IF(C376="","",IFERROR(VLOOKUP(C376,EQUIPOS!$B$3:$G$18,6,0),""))</f>
        <v/>
      </c>
      <c r="G376" s="8"/>
      <c r="H376" s="5"/>
      <c r="I376" s="5"/>
      <c r="J376" s="9"/>
      <c r="K376" s="17" t="str">
        <f aca="false">IF(H376="","",IFERROR(SUMIFS(BD_PLAN!$I$3:$I$312,BD_PLAN!$B$3:$B$312,E376,BD_PLAN!$C$3:$C$312,INDEX(BD_CICLO!$F$3:$F$54,MATCH(E376&amp;"|"&amp;H376,BD_CICLO!$G$3:$G$54,0))),""))</f>
        <v/>
      </c>
      <c r="L376" s="9"/>
      <c r="M376" s="9"/>
      <c r="N376" s="1" t="str">
        <f aca="false">IF(C376="","",C376&amp;"|"&amp;COUNTIF(C$3:C376,C376))</f>
        <v/>
      </c>
      <c r="O376" s="1" t="str">
        <f aca="false">IF(OR(C376="",M376=""),"",C376&amp;"|"&amp;COUNTIFS(C$3:C376,C376,M$3:M376,"&lt;&gt;"))</f>
        <v/>
      </c>
    </row>
    <row r="377" customFormat="false" ht="15" hidden="false" customHeight="false" outlineLevel="0" collapsed="false">
      <c r="B377" s="7"/>
      <c r="C377" s="5"/>
      <c r="D377" s="9" t="str">
        <f aca="false">IF(C377="","",IFERROR(VLOOKUP(C377,EQUIPOS!$B$3:$C$18,2,0),"NO EXISTE"))</f>
        <v/>
      </c>
      <c r="E377" s="9" t="str">
        <f aca="false">IF(C377="","",IFERROR(VLOOKUP(C377,EQUIPOS!$B$3:$F$18,5,0),""))</f>
        <v/>
      </c>
      <c r="F377" s="5" t="str">
        <f aca="false">IF(C377="","",IFERROR(VLOOKUP(C377,EQUIPOS!$B$3:$G$18,6,0),""))</f>
        <v/>
      </c>
      <c r="G377" s="8"/>
      <c r="H377" s="5"/>
      <c r="I377" s="5"/>
      <c r="J377" s="9"/>
      <c r="K377" s="17" t="str">
        <f aca="false">IF(H377="","",IFERROR(SUMIFS(BD_PLAN!$I$3:$I$312,BD_PLAN!$B$3:$B$312,E377,BD_PLAN!$C$3:$C$312,INDEX(BD_CICLO!$F$3:$F$54,MATCH(E377&amp;"|"&amp;H377,BD_CICLO!$G$3:$G$54,0))),""))</f>
        <v/>
      </c>
      <c r="L377" s="9"/>
      <c r="M377" s="9"/>
      <c r="N377" s="1" t="str">
        <f aca="false">IF(C377="","",C377&amp;"|"&amp;COUNTIF(C$3:C377,C377))</f>
        <v/>
      </c>
      <c r="O377" s="1" t="str">
        <f aca="false">IF(OR(C377="",M377=""),"",C377&amp;"|"&amp;COUNTIFS(C$3:C377,C377,M$3:M377,"&lt;&gt;"))</f>
        <v/>
      </c>
    </row>
    <row r="378" customFormat="false" ht="15" hidden="false" customHeight="false" outlineLevel="0" collapsed="false">
      <c r="B378" s="7"/>
      <c r="C378" s="5"/>
      <c r="D378" s="9" t="str">
        <f aca="false">IF(C378="","",IFERROR(VLOOKUP(C378,EQUIPOS!$B$3:$C$18,2,0),"NO EXISTE"))</f>
        <v/>
      </c>
      <c r="E378" s="9" t="str">
        <f aca="false">IF(C378="","",IFERROR(VLOOKUP(C378,EQUIPOS!$B$3:$F$18,5,0),""))</f>
        <v/>
      </c>
      <c r="F378" s="5" t="str">
        <f aca="false">IF(C378="","",IFERROR(VLOOKUP(C378,EQUIPOS!$B$3:$G$18,6,0),""))</f>
        <v/>
      </c>
      <c r="G378" s="8"/>
      <c r="H378" s="5"/>
      <c r="I378" s="5"/>
      <c r="J378" s="9"/>
      <c r="K378" s="17" t="str">
        <f aca="false">IF(H378="","",IFERROR(SUMIFS(BD_PLAN!$I$3:$I$312,BD_PLAN!$B$3:$B$312,E378,BD_PLAN!$C$3:$C$312,INDEX(BD_CICLO!$F$3:$F$54,MATCH(E378&amp;"|"&amp;H378,BD_CICLO!$G$3:$G$54,0))),""))</f>
        <v/>
      </c>
      <c r="L378" s="9"/>
      <c r="M378" s="9"/>
      <c r="N378" s="1" t="str">
        <f aca="false">IF(C378="","",C378&amp;"|"&amp;COUNTIF(C$3:C378,C378))</f>
        <v/>
      </c>
      <c r="O378" s="1" t="str">
        <f aca="false">IF(OR(C378="",M378=""),"",C378&amp;"|"&amp;COUNTIFS(C$3:C378,C378,M$3:M378,"&lt;&gt;"))</f>
        <v/>
      </c>
    </row>
    <row r="379" customFormat="false" ht="15" hidden="false" customHeight="false" outlineLevel="0" collapsed="false">
      <c r="B379" s="7"/>
      <c r="C379" s="5"/>
      <c r="D379" s="9" t="str">
        <f aca="false">IF(C379="","",IFERROR(VLOOKUP(C379,EQUIPOS!$B$3:$C$18,2,0),"NO EXISTE"))</f>
        <v/>
      </c>
      <c r="E379" s="9" t="str">
        <f aca="false">IF(C379="","",IFERROR(VLOOKUP(C379,EQUIPOS!$B$3:$F$18,5,0),""))</f>
        <v/>
      </c>
      <c r="F379" s="5" t="str">
        <f aca="false">IF(C379="","",IFERROR(VLOOKUP(C379,EQUIPOS!$B$3:$G$18,6,0),""))</f>
        <v/>
      </c>
      <c r="G379" s="8"/>
      <c r="H379" s="5"/>
      <c r="I379" s="5"/>
      <c r="J379" s="9"/>
      <c r="K379" s="17" t="str">
        <f aca="false">IF(H379="","",IFERROR(SUMIFS(BD_PLAN!$I$3:$I$312,BD_PLAN!$B$3:$B$312,E379,BD_PLAN!$C$3:$C$312,INDEX(BD_CICLO!$F$3:$F$54,MATCH(E379&amp;"|"&amp;H379,BD_CICLO!$G$3:$G$54,0))),""))</f>
        <v/>
      </c>
      <c r="L379" s="9"/>
      <c r="M379" s="9"/>
      <c r="N379" s="1" t="str">
        <f aca="false">IF(C379="","",C379&amp;"|"&amp;COUNTIF(C$3:C379,C379))</f>
        <v/>
      </c>
      <c r="O379" s="1" t="str">
        <f aca="false">IF(OR(C379="",M379=""),"",C379&amp;"|"&amp;COUNTIFS(C$3:C379,C379,M$3:M379,"&lt;&gt;"))</f>
        <v/>
      </c>
    </row>
    <row r="380" customFormat="false" ht="15" hidden="false" customHeight="false" outlineLevel="0" collapsed="false">
      <c r="B380" s="7"/>
      <c r="C380" s="5"/>
      <c r="D380" s="9" t="str">
        <f aca="false">IF(C380="","",IFERROR(VLOOKUP(C380,EQUIPOS!$B$3:$C$18,2,0),"NO EXISTE"))</f>
        <v/>
      </c>
      <c r="E380" s="9" t="str">
        <f aca="false">IF(C380="","",IFERROR(VLOOKUP(C380,EQUIPOS!$B$3:$F$18,5,0),""))</f>
        <v/>
      </c>
      <c r="F380" s="5" t="str">
        <f aca="false">IF(C380="","",IFERROR(VLOOKUP(C380,EQUIPOS!$B$3:$G$18,6,0),""))</f>
        <v/>
      </c>
      <c r="G380" s="8"/>
      <c r="H380" s="5"/>
      <c r="I380" s="5"/>
      <c r="J380" s="9"/>
      <c r="K380" s="17" t="str">
        <f aca="false">IF(H380="","",IFERROR(SUMIFS(BD_PLAN!$I$3:$I$312,BD_PLAN!$B$3:$B$312,E380,BD_PLAN!$C$3:$C$312,INDEX(BD_CICLO!$F$3:$F$54,MATCH(E380&amp;"|"&amp;H380,BD_CICLO!$G$3:$G$54,0))),""))</f>
        <v/>
      </c>
      <c r="L380" s="9"/>
      <c r="M380" s="9"/>
      <c r="N380" s="1" t="str">
        <f aca="false">IF(C380="","",C380&amp;"|"&amp;COUNTIF(C$3:C380,C380))</f>
        <v/>
      </c>
      <c r="O380" s="1" t="str">
        <f aca="false">IF(OR(C380="",M380=""),"",C380&amp;"|"&amp;COUNTIFS(C$3:C380,C380,M$3:M380,"&lt;&gt;"))</f>
        <v/>
      </c>
    </row>
    <row r="381" customFormat="false" ht="15" hidden="false" customHeight="false" outlineLevel="0" collapsed="false">
      <c r="B381" s="7"/>
      <c r="C381" s="5"/>
      <c r="D381" s="9" t="str">
        <f aca="false">IF(C381="","",IFERROR(VLOOKUP(C381,EQUIPOS!$B$3:$C$18,2,0),"NO EXISTE"))</f>
        <v/>
      </c>
      <c r="E381" s="9" t="str">
        <f aca="false">IF(C381="","",IFERROR(VLOOKUP(C381,EQUIPOS!$B$3:$F$18,5,0),""))</f>
        <v/>
      </c>
      <c r="F381" s="5" t="str">
        <f aca="false">IF(C381="","",IFERROR(VLOOKUP(C381,EQUIPOS!$B$3:$G$18,6,0),""))</f>
        <v/>
      </c>
      <c r="G381" s="8"/>
      <c r="H381" s="5"/>
      <c r="I381" s="5"/>
      <c r="J381" s="9"/>
      <c r="K381" s="17" t="str">
        <f aca="false">IF(H381="","",IFERROR(SUMIFS(BD_PLAN!$I$3:$I$312,BD_PLAN!$B$3:$B$312,E381,BD_PLAN!$C$3:$C$312,INDEX(BD_CICLO!$F$3:$F$54,MATCH(E381&amp;"|"&amp;H381,BD_CICLO!$G$3:$G$54,0))),""))</f>
        <v/>
      </c>
      <c r="L381" s="9"/>
      <c r="M381" s="9"/>
      <c r="N381" s="1" t="str">
        <f aca="false">IF(C381="","",C381&amp;"|"&amp;COUNTIF(C$3:C381,C381))</f>
        <v/>
      </c>
      <c r="O381" s="1" t="str">
        <f aca="false">IF(OR(C381="",M381=""),"",C381&amp;"|"&amp;COUNTIFS(C$3:C381,C381,M$3:M381,"&lt;&gt;"))</f>
        <v/>
      </c>
    </row>
    <row r="382" customFormat="false" ht="15" hidden="false" customHeight="false" outlineLevel="0" collapsed="false">
      <c r="B382" s="7"/>
      <c r="C382" s="5"/>
      <c r="D382" s="9" t="str">
        <f aca="false">IF(C382="","",IFERROR(VLOOKUP(C382,EQUIPOS!$B$3:$C$18,2,0),"NO EXISTE"))</f>
        <v/>
      </c>
      <c r="E382" s="9" t="str">
        <f aca="false">IF(C382="","",IFERROR(VLOOKUP(C382,EQUIPOS!$B$3:$F$18,5,0),""))</f>
        <v/>
      </c>
      <c r="F382" s="5" t="str">
        <f aca="false">IF(C382="","",IFERROR(VLOOKUP(C382,EQUIPOS!$B$3:$G$18,6,0),""))</f>
        <v/>
      </c>
      <c r="G382" s="8"/>
      <c r="H382" s="5"/>
      <c r="I382" s="5"/>
      <c r="J382" s="9"/>
      <c r="K382" s="17" t="str">
        <f aca="false">IF(H382="","",IFERROR(SUMIFS(BD_PLAN!$I$3:$I$312,BD_PLAN!$B$3:$B$312,E382,BD_PLAN!$C$3:$C$312,INDEX(BD_CICLO!$F$3:$F$54,MATCH(E382&amp;"|"&amp;H382,BD_CICLO!$G$3:$G$54,0))),""))</f>
        <v/>
      </c>
      <c r="L382" s="9"/>
      <c r="M382" s="9"/>
      <c r="N382" s="1" t="str">
        <f aca="false">IF(C382="","",C382&amp;"|"&amp;COUNTIF(C$3:C382,C382))</f>
        <v/>
      </c>
      <c r="O382" s="1" t="str">
        <f aca="false">IF(OR(C382="",M382=""),"",C382&amp;"|"&amp;COUNTIFS(C$3:C382,C382,M$3:M382,"&lt;&gt;"))</f>
        <v/>
      </c>
    </row>
    <row r="383" customFormat="false" ht="15" hidden="false" customHeight="false" outlineLevel="0" collapsed="false">
      <c r="B383" s="7"/>
      <c r="C383" s="5"/>
      <c r="D383" s="9" t="str">
        <f aca="false">IF(C383="","",IFERROR(VLOOKUP(C383,EQUIPOS!$B$3:$C$18,2,0),"NO EXISTE"))</f>
        <v/>
      </c>
      <c r="E383" s="9" t="str">
        <f aca="false">IF(C383="","",IFERROR(VLOOKUP(C383,EQUIPOS!$B$3:$F$18,5,0),""))</f>
        <v/>
      </c>
      <c r="F383" s="5" t="str">
        <f aca="false">IF(C383="","",IFERROR(VLOOKUP(C383,EQUIPOS!$B$3:$G$18,6,0),""))</f>
        <v/>
      </c>
      <c r="G383" s="8"/>
      <c r="H383" s="5"/>
      <c r="I383" s="5"/>
      <c r="J383" s="9"/>
      <c r="K383" s="17" t="str">
        <f aca="false">IF(H383="","",IFERROR(SUMIFS(BD_PLAN!$I$3:$I$312,BD_PLAN!$B$3:$B$312,E383,BD_PLAN!$C$3:$C$312,INDEX(BD_CICLO!$F$3:$F$54,MATCH(E383&amp;"|"&amp;H383,BD_CICLO!$G$3:$G$54,0))),""))</f>
        <v/>
      </c>
      <c r="L383" s="9"/>
      <c r="M383" s="9"/>
      <c r="N383" s="1" t="str">
        <f aca="false">IF(C383="","",C383&amp;"|"&amp;COUNTIF(C$3:C383,C383))</f>
        <v/>
      </c>
      <c r="O383" s="1" t="str">
        <f aca="false">IF(OR(C383="",M383=""),"",C383&amp;"|"&amp;COUNTIFS(C$3:C383,C383,M$3:M383,"&lt;&gt;"))</f>
        <v/>
      </c>
    </row>
    <row r="384" customFormat="false" ht="15" hidden="false" customHeight="false" outlineLevel="0" collapsed="false">
      <c r="B384" s="7"/>
      <c r="C384" s="5"/>
      <c r="D384" s="9" t="str">
        <f aca="false">IF(C384="","",IFERROR(VLOOKUP(C384,EQUIPOS!$B$3:$C$18,2,0),"NO EXISTE"))</f>
        <v/>
      </c>
      <c r="E384" s="9" t="str">
        <f aca="false">IF(C384="","",IFERROR(VLOOKUP(C384,EQUIPOS!$B$3:$F$18,5,0),""))</f>
        <v/>
      </c>
      <c r="F384" s="5" t="str">
        <f aca="false">IF(C384="","",IFERROR(VLOOKUP(C384,EQUIPOS!$B$3:$G$18,6,0),""))</f>
        <v/>
      </c>
      <c r="G384" s="8"/>
      <c r="H384" s="5"/>
      <c r="I384" s="5"/>
      <c r="J384" s="9"/>
      <c r="K384" s="17" t="str">
        <f aca="false">IF(H384="","",IFERROR(SUMIFS(BD_PLAN!$I$3:$I$312,BD_PLAN!$B$3:$B$312,E384,BD_PLAN!$C$3:$C$312,INDEX(BD_CICLO!$F$3:$F$54,MATCH(E384&amp;"|"&amp;H384,BD_CICLO!$G$3:$G$54,0))),""))</f>
        <v/>
      </c>
      <c r="L384" s="9"/>
      <c r="M384" s="9"/>
      <c r="N384" s="1" t="str">
        <f aca="false">IF(C384="","",C384&amp;"|"&amp;COUNTIF(C$3:C384,C384))</f>
        <v/>
      </c>
      <c r="O384" s="1" t="str">
        <f aca="false">IF(OR(C384="",M384=""),"",C384&amp;"|"&amp;COUNTIFS(C$3:C384,C384,M$3:M384,"&lt;&gt;"))</f>
        <v/>
      </c>
    </row>
    <row r="385" customFormat="false" ht="15" hidden="false" customHeight="false" outlineLevel="0" collapsed="false">
      <c r="B385" s="7"/>
      <c r="C385" s="5"/>
      <c r="D385" s="9" t="str">
        <f aca="false">IF(C385="","",IFERROR(VLOOKUP(C385,EQUIPOS!$B$3:$C$18,2,0),"NO EXISTE"))</f>
        <v/>
      </c>
      <c r="E385" s="9" t="str">
        <f aca="false">IF(C385="","",IFERROR(VLOOKUP(C385,EQUIPOS!$B$3:$F$18,5,0),""))</f>
        <v/>
      </c>
      <c r="F385" s="5" t="str">
        <f aca="false">IF(C385="","",IFERROR(VLOOKUP(C385,EQUIPOS!$B$3:$G$18,6,0),""))</f>
        <v/>
      </c>
      <c r="G385" s="8"/>
      <c r="H385" s="5"/>
      <c r="I385" s="5"/>
      <c r="J385" s="9"/>
      <c r="K385" s="17" t="str">
        <f aca="false">IF(H385="","",IFERROR(SUMIFS(BD_PLAN!$I$3:$I$312,BD_PLAN!$B$3:$B$312,E385,BD_PLAN!$C$3:$C$312,INDEX(BD_CICLO!$F$3:$F$54,MATCH(E385&amp;"|"&amp;H385,BD_CICLO!$G$3:$G$54,0))),""))</f>
        <v/>
      </c>
      <c r="L385" s="9"/>
      <c r="M385" s="9"/>
      <c r="N385" s="1" t="str">
        <f aca="false">IF(C385="","",C385&amp;"|"&amp;COUNTIF(C$3:C385,C385))</f>
        <v/>
      </c>
      <c r="O385" s="1" t="str">
        <f aca="false">IF(OR(C385="",M385=""),"",C385&amp;"|"&amp;COUNTIFS(C$3:C385,C385,M$3:M385,"&lt;&gt;"))</f>
        <v/>
      </c>
    </row>
    <row r="386" customFormat="false" ht="15" hidden="false" customHeight="false" outlineLevel="0" collapsed="false">
      <c r="B386" s="7"/>
      <c r="C386" s="5"/>
      <c r="D386" s="9" t="str">
        <f aca="false">IF(C386="","",IFERROR(VLOOKUP(C386,EQUIPOS!$B$3:$C$18,2,0),"NO EXISTE"))</f>
        <v/>
      </c>
      <c r="E386" s="9" t="str">
        <f aca="false">IF(C386="","",IFERROR(VLOOKUP(C386,EQUIPOS!$B$3:$F$18,5,0),""))</f>
        <v/>
      </c>
      <c r="F386" s="5" t="str">
        <f aca="false">IF(C386="","",IFERROR(VLOOKUP(C386,EQUIPOS!$B$3:$G$18,6,0),""))</f>
        <v/>
      </c>
      <c r="G386" s="8"/>
      <c r="H386" s="5"/>
      <c r="I386" s="5"/>
      <c r="J386" s="9"/>
      <c r="K386" s="17" t="str">
        <f aca="false">IF(H386="","",IFERROR(SUMIFS(BD_PLAN!$I$3:$I$312,BD_PLAN!$B$3:$B$312,E386,BD_PLAN!$C$3:$C$312,INDEX(BD_CICLO!$F$3:$F$54,MATCH(E386&amp;"|"&amp;H386,BD_CICLO!$G$3:$G$54,0))),""))</f>
        <v/>
      </c>
      <c r="L386" s="9"/>
      <c r="M386" s="9"/>
      <c r="N386" s="1" t="str">
        <f aca="false">IF(C386="","",C386&amp;"|"&amp;COUNTIF(C$3:C386,C386))</f>
        <v/>
      </c>
      <c r="O386" s="1" t="str">
        <f aca="false">IF(OR(C386="",M386=""),"",C386&amp;"|"&amp;COUNTIFS(C$3:C386,C386,M$3:M386,"&lt;&gt;"))</f>
        <v/>
      </c>
    </row>
    <row r="387" customFormat="false" ht="15" hidden="false" customHeight="false" outlineLevel="0" collapsed="false">
      <c r="B387" s="7"/>
      <c r="C387" s="5"/>
      <c r="D387" s="9" t="str">
        <f aca="false">IF(C387="","",IFERROR(VLOOKUP(C387,EQUIPOS!$B$3:$C$18,2,0),"NO EXISTE"))</f>
        <v/>
      </c>
      <c r="E387" s="9" t="str">
        <f aca="false">IF(C387="","",IFERROR(VLOOKUP(C387,EQUIPOS!$B$3:$F$18,5,0),""))</f>
        <v/>
      </c>
      <c r="F387" s="5" t="str">
        <f aca="false">IF(C387="","",IFERROR(VLOOKUP(C387,EQUIPOS!$B$3:$G$18,6,0),""))</f>
        <v/>
      </c>
      <c r="G387" s="8"/>
      <c r="H387" s="5"/>
      <c r="I387" s="5"/>
      <c r="J387" s="9"/>
      <c r="K387" s="17" t="str">
        <f aca="false">IF(H387="","",IFERROR(SUMIFS(BD_PLAN!$I$3:$I$312,BD_PLAN!$B$3:$B$312,E387,BD_PLAN!$C$3:$C$312,INDEX(BD_CICLO!$F$3:$F$54,MATCH(E387&amp;"|"&amp;H387,BD_CICLO!$G$3:$G$54,0))),""))</f>
        <v/>
      </c>
      <c r="L387" s="9"/>
      <c r="M387" s="9"/>
      <c r="N387" s="1" t="str">
        <f aca="false">IF(C387="","",C387&amp;"|"&amp;COUNTIF(C$3:C387,C387))</f>
        <v/>
      </c>
      <c r="O387" s="1" t="str">
        <f aca="false">IF(OR(C387="",M387=""),"",C387&amp;"|"&amp;COUNTIFS(C$3:C387,C387,M$3:M387,"&lt;&gt;"))</f>
        <v/>
      </c>
    </row>
    <row r="388" customFormat="false" ht="15" hidden="false" customHeight="false" outlineLevel="0" collapsed="false">
      <c r="B388" s="7"/>
      <c r="C388" s="5"/>
      <c r="D388" s="9" t="str">
        <f aca="false">IF(C388="","",IFERROR(VLOOKUP(C388,EQUIPOS!$B$3:$C$18,2,0),"NO EXISTE"))</f>
        <v/>
      </c>
      <c r="E388" s="9" t="str">
        <f aca="false">IF(C388="","",IFERROR(VLOOKUP(C388,EQUIPOS!$B$3:$F$18,5,0),""))</f>
        <v/>
      </c>
      <c r="F388" s="5" t="str">
        <f aca="false">IF(C388="","",IFERROR(VLOOKUP(C388,EQUIPOS!$B$3:$G$18,6,0),""))</f>
        <v/>
      </c>
      <c r="G388" s="8"/>
      <c r="H388" s="5"/>
      <c r="I388" s="5"/>
      <c r="J388" s="9"/>
      <c r="K388" s="17" t="str">
        <f aca="false">IF(H388="","",IFERROR(SUMIFS(BD_PLAN!$I$3:$I$312,BD_PLAN!$B$3:$B$312,E388,BD_PLAN!$C$3:$C$312,INDEX(BD_CICLO!$F$3:$F$54,MATCH(E388&amp;"|"&amp;H388,BD_CICLO!$G$3:$G$54,0))),""))</f>
        <v/>
      </c>
      <c r="L388" s="9"/>
      <c r="M388" s="9"/>
      <c r="N388" s="1" t="str">
        <f aca="false">IF(C388="","",C388&amp;"|"&amp;COUNTIF(C$3:C388,C388))</f>
        <v/>
      </c>
      <c r="O388" s="1" t="str">
        <f aca="false">IF(OR(C388="",M388=""),"",C388&amp;"|"&amp;COUNTIFS(C$3:C388,C388,M$3:M388,"&lt;&gt;"))</f>
        <v/>
      </c>
    </row>
    <row r="389" customFormat="false" ht="15" hidden="false" customHeight="false" outlineLevel="0" collapsed="false">
      <c r="B389" s="7"/>
      <c r="C389" s="5"/>
      <c r="D389" s="9" t="str">
        <f aca="false">IF(C389="","",IFERROR(VLOOKUP(C389,EQUIPOS!$B$3:$C$18,2,0),"NO EXISTE"))</f>
        <v/>
      </c>
      <c r="E389" s="9" t="str">
        <f aca="false">IF(C389="","",IFERROR(VLOOKUP(C389,EQUIPOS!$B$3:$F$18,5,0),""))</f>
        <v/>
      </c>
      <c r="F389" s="5" t="str">
        <f aca="false">IF(C389="","",IFERROR(VLOOKUP(C389,EQUIPOS!$B$3:$G$18,6,0),""))</f>
        <v/>
      </c>
      <c r="G389" s="8"/>
      <c r="H389" s="5"/>
      <c r="I389" s="5"/>
      <c r="J389" s="9"/>
      <c r="K389" s="17" t="str">
        <f aca="false">IF(H389="","",IFERROR(SUMIFS(BD_PLAN!$I$3:$I$312,BD_PLAN!$B$3:$B$312,E389,BD_PLAN!$C$3:$C$312,INDEX(BD_CICLO!$F$3:$F$54,MATCH(E389&amp;"|"&amp;H389,BD_CICLO!$G$3:$G$54,0))),""))</f>
        <v/>
      </c>
      <c r="L389" s="9"/>
      <c r="M389" s="9"/>
      <c r="N389" s="1" t="str">
        <f aca="false">IF(C389="","",C389&amp;"|"&amp;COUNTIF(C$3:C389,C389))</f>
        <v/>
      </c>
      <c r="O389" s="1" t="str">
        <f aca="false">IF(OR(C389="",M389=""),"",C389&amp;"|"&amp;COUNTIFS(C$3:C389,C389,M$3:M389,"&lt;&gt;"))</f>
        <v/>
      </c>
    </row>
    <row r="390" customFormat="false" ht="15" hidden="false" customHeight="false" outlineLevel="0" collapsed="false">
      <c r="B390" s="7"/>
      <c r="C390" s="5"/>
      <c r="D390" s="9" t="str">
        <f aca="false">IF(C390="","",IFERROR(VLOOKUP(C390,EQUIPOS!$B$3:$C$18,2,0),"NO EXISTE"))</f>
        <v/>
      </c>
      <c r="E390" s="9" t="str">
        <f aca="false">IF(C390="","",IFERROR(VLOOKUP(C390,EQUIPOS!$B$3:$F$18,5,0),""))</f>
        <v/>
      </c>
      <c r="F390" s="5" t="str">
        <f aca="false">IF(C390="","",IFERROR(VLOOKUP(C390,EQUIPOS!$B$3:$G$18,6,0),""))</f>
        <v/>
      </c>
      <c r="G390" s="8"/>
      <c r="H390" s="5"/>
      <c r="I390" s="5"/>
      <c r="J390" s="9"/>
      <c r="K390" s="17" t="str">
        <f aca="false">IF(H390="","",IFERROR(SUMIFS(BD_PLAN!$I$3:$I$312,BD_PLAN!$B$3:$B$312,E390,BD_PLAN!$C$3:$C$312,INDEX(BD_CICLO!$F$3:$F$54,MATCH(E390&amp;"|"&amp;H390,BD_CICLO!$G$3:$G$54,0))),""))</f>
        <v/>
      </c>
      <c r="L390" s="9"/>
      <c r="M390" s="9"/>
      <c r="N390" s="1" t="str">
        <f aca="false">IF(C390="","",C390&amp;"|"&amp;COUNTIF(C$3:C390,C390))</f>
        <v/>
      </c>
      <c r="O390" s="1" t="str">
        <f aca="false">IF(OR(C390="",M390=""),"",C390&amp;"|"&amp;COUNTIFS(C$3:C390,C390,M$3:M390,"&lt;&gt;"))</f>
        <v/>
      </c>
    </row>
    <row r="391" customFormat="false" ht="15" hidden="false" customHeight="false" outlineLevel="0" collapsed="false">
      <c r="B391" s="7"/>
      <c r="C391" s="5"/>
      <c r="D391" s="9" t="str">
        <f aca="false">IF(C391="","",IFERROR(VLOOKUP(C391,EQUIPOS!$B$3:$C$18,2,0),"NO EXISTE"))</f>
        <v/>
      </c>
      <c r="E391" s="9" t="str">
        <f aca="false">IF(C391="","",IFERROR(VLOOKUP(C391,EQUIPOS!$B$3:$F$18,5,0),""))</f>
        <v/>
      </c>
      <c r="F391" s="5" t="str">
        <f aca="false">IF(C391="","",IFERROR(VLOOKUP(C391,EQUIPOS!$B$3:$G$18,6,0),""))</f>
        <v/>
      </c>
      <c r="G391" s="8"/>
      <c r="H391" s="5"/>
      <c r="I391" s="5"/>
      <c r="J391" s="9"/>
      <c r="K391" s="17" t="str">
        <f aca="false">IF(H391="","",IFERROR(SUMIFS(BD_PLAN!$I$3:$I$312,BD_PLAN!$B$3:$B$312,E391,BD_PLAN!$C$3:$C$312,INDEX(BD_CICLO!$F$3:$F$54,MATCH(E391&amp;"|"&amp;H391,BD_CICLO!$G$3:$G$54,0))),""))</f>
        <v/>
      </c>
      <c r="L391" s="9"/>
      <c r="M391" s="9"/>
      <c r="N391" s="1" t="str">
        <f aca="false">IF(C391="","",C391&amp;"|"&amp;COUNTIF(C$3:C391,C391))</f>
        <v/>
      </c>
      <c r="O391" s="1" t="str">
        <f aca="false">IF(OR(C391="",M391=""),"",C391&amp;"|"&amp;COUNTIFS(C$3:C391,C391,M$3:M391,"&lt;&gt;"))</f>
        <v/>
      </c>
    </row>
    <row r="392" customFormat="false" ht="15" hidden="false" customHeight="false" outlineLevel="0" collapsed="false">
      <c r="B392" s="7"/>
      <c r="C392" s="5"/>
      <c r="D392" s="9" t="str">
        <f aca="false">IF(C392="","",IFERROR(VLOOKUP(C392,EQUIPOS!$B$3:$C$18,2,0),"NO EXISTE"))</f>
        <v/>
      </c>
      <c r="E392" s="9" t="str">
        <f aca="false">IF(C392="","",IFERROR(VLOOKUP(C392,EQUIPOS!$B$3:$F$18,5,0),""))</f>
        <v/>
      </c>
      <c r="F392" s="5" t="str">
        <f aca="false">IF(C392="","",IFERROR(VLOOKUP(C392,EQUIPOS!$B$3:$G$18,6,0),""))</f>
        <v/>
      </c>
      <c r="G392" s="8"/>
      <c r="H392" s="5"/>
      <c r="I392" s="5"/>
      <c r="J392" s="9"/>
      <c r="K392" s="17" t="str">
        <f aca="false">IF(H392="","",IFERROR(SUMIFS(BD_PLAN!$I$3:$I$312,BD_PLAN!$B$3:$B$312,E392,BD_PLAN!$C$3:$C$312,INDEX(BD_CICLO!$F$3:$F$54,MATCH(E392&amp;"|"&amp;H392,BD_CICLO!$G$3:$G$54,0))),""))</f>
        <v/>
      </c>
      <c r="L392" s="9"/>
      <c r="M392" s="9"/>
      <c r="N392" s="1" t="str">
        <f aca="false">IF(C392="","",C392&amp;"|"&amp;COUNTIF(C$3:C392,C392))</f>
        <v/>
      </c>
      <c r="O392" s="1" t="str">
        <f aca="false">IF(OR(C392="",M392=""),"",C392&amp;"|"&amp;COUNTIFS(C$3:C392,C392,M$3:M392,"&lt;&gt;"))</f>
        <v/>
      </c>
    </row>
    <row r="393" customFormat="false" ht="15" hidden="false" customHeight="false" outlineLevel="0" collapsed="false">
      <c r="B393" s="7"/>
      <c r="C393" s="5"/>
      <c r="D393" s="9" t="str">
        <f aca="false">IF(C393="","",IFERROR(VLOOKUP(C393,EQUIPOS!$B$3:$C$18,2,0),"NO EXISTE"))</f>
        <v/>
      </c>
      <c r="E393" s="9" t="str">
        <f aca="false">IF(C393="","",IFERROR(VLOOKUP(C393,EQUIPOS!$B$3:$F$18,5,0),""))</f>
        <v/>
      </c>
      <c r="F393" s="5" t="str">
        <f aca="false">IF(C393="","",IFERROR(VLOOKUP(C393,EQUIPOS!$B$3:$G$18,6,0),""))</f>
        <v/>
      </c>
      <c r="G393" s="8"/>
      <c r="H393" s="5"/>
      <c r="I393" s="5"/>
      <c r="J393" s="9"/>
      <c r="K393" s="17" t="str">
        <f aca="false">IF(H393="","",IFERROR(SUMIFS(BD_PLAN!$I$3:$I$312,BD_PLAN!$B$3:$B$312,E393,BD_PLAN!$C$3:$C$312,INDEX(BD_CICLO!$F$3:$F$54,MATCH(E393&amp;"|"&amp;H393,BD_CICLO!$G$3:$G$54,0))),""))</f>
        <v/>
      </c>
      <c r="L393" s="9"/>
      <c r="M393" s="9"/>
      <c r="N393" s="1" t="str">
        <f aca="false">IF(C393="","",C393&amp;"|"&amp;COUNTIF(C$3:C393,C393))</f>
        <v/>
      </c>
      <c r="O393" s="1" t="str">
        <f aca="false">IF(OR(C393="",M393=""),"",C393&amp;"|"&amp;COUNTIFS(C$3:C393,C393,M$3:M393,"&lt;&gt;"))</f>
        <v/>
      </c>
    </row>
    <row r="394" customFormat="false" ht="15" hidden="false" customHeight="false" outlineLevel="0" collapsed="false">
      <c r="B394" s="7"/>
      <c r="C394" s="5"/>
      <c r="D394" s="9" t="str">
        <f aca="false">IF(C394="","",IFERROR(VLOOKUP(C394,EQUIPOS!$B$3:$C$18,2,0),"NO EXISTE"))</f>
        <v/>
      </c>
      <c r="E394" s="9" t="str">
        <f aca="false">IF(C394="","",IFERROR(VLOOKUP(C394,EQUIPOS!$B$3:$F$18,5,0),""))</f>
        <v/>
      </c>
      <c r="F394" s="5" t="str">
        <f aca="false">IF(C394="","",IFERROR(VLOOKUP(C394,EQUIPOS!$B$3:$G$18,6,0),""))</f>
        <v/>
      </c>
      <c r="G394" s="8"/>
      <c r="H394" s="5"/>
      <c r="I394" s="5"/>
      <c r="J394" s="9"/>
      <c r="K394" s="17" t="str">
        <f aca="false">IF(H394="","",IFERROR(SUMIFS(BD_PLAN!$I$3:$I$312,BD_PLAN!$B$3:$B$312,E394,BD_PLAN!$C$3:$C$312,INDEX(BD_CICLO!$F$3:$F$54,MATCH(E394&amp;"|"&amp;H394,BD_CICLO!$G$3:$G$54,0))),""))</f>
        <v/>
      </c>
      <c r="L394" s="9"/>
      <c r="M394" s="9"/>
      <c r="N394" s="1" t="str">
        <f aca="false">IF(C394="","",C394&amp;"|"&amp;COUNTIF(C$3:C394,C394))</f>
        <v/>
      </c>
      <c r="O394" s="1" t="str">
        <f aca="false">IF(OR(C394="",M394=""),"",C394&amp;"|"&amp;COUNTIFS(C$3:C394,C394,M$3:M394,"&lt;&gt;"))</f>
        <v/>
      </c>
    </row>
    <row r="395" customFormat="false" ht="15" hidden="false" customHeight="false" outlineLevel="0" collapsed="false">
      <c r="B395" s="7"/>
      <c r="C395" s="5"/>
      <c r="D395" s="9" t="str">
        <f aca="false">IF(C395="","",IFERROR(VLOOKUP(C395,EQUIPOS!$B$3:$C$18,2,0),"NO EXISTE"))</f>
        <v/>
      </c>
      <c r="E395" s="9" t="str">
        <f aca="false">IF(C395="","",IFERROR(VLOOKUP(C395,EQUIPOS!$B$3:$F$18,5,0),""))</f>
        <v/>
      </c>
      <c r="F395" s="5" t="str">
        <f aca="false">IF(C395="","",IFERROR(VLOOKUP(C395,EQUIPOS!$B$3:$G$18,6,0),""))</f>
        <v/>
      </c>
      <c r="G395" s="8"/>
      <c r="H395" s="5"/>
      <c r="I395" s="5"/>
      <c r="J395" s="9"/>
      <c r="K395" s="17" t="str">
        <f aca="false">IF(H395="","",IFERROR(SUMIFS(BD_PLAN!$I$3:$I$312,BD_PLAN!$B$3:$B$312,E395,BD_PLAN!$C$3:$C$312,INDEX(BD_CICLO!$F$3:$F$54,MATCH(E395&amp;"|"&amp;H395,BD_CICLO!$G$3:$G$54,0))),""))</f>
        <v/>
      </c>
      <c r="L395" s="9"/>
      <c r="M395" s="9"/>
      <c r="N395" s="1" t="str">
        <f aca="false">IF(C395="","",C395&amp;"|"&amp;COUNTIF(C$3:C395,C395))</f>
        <v/>
      </c>
      <c r="O395" s="1" t="str">
        <f aca="false">IF(OR(C395="",M395=""),"",C395&amp;"|"&amp;COUNTIFS(C$3:C395,C395,M$3:M395,"&lt;&gt;"))</f>
        <v/>
      </c>
    </row>
    <row r="396" customFormat="false" ht="15" hidden="false" customHeight="false" outlineLevel="0" collapsed="false">
      <c r="B396" s="7"/>
      <c r="C396" s="5"/>
      <c r="D396" s="9" t="str">
        <f aca="false">IF(C396="","",IFERROR(VLOOKUP(C396,EQUIPOS!$B$3:$C$18,2,0),"NO EXISTE"))</f>
        <v/>
      </c>
      <c r="E396" s="9" t="str">
        <f aca="false">IF(C396="","",IFERROR(VLOOKUP(C396,EQUIPOS!$B$3:$F$18,5,0),""))</f>
        <v/>
      </c>
      <c r="F396" s="5" t="str">
        <f aca="false">IF(C396="","",IFERROR(VLOOKUP(C396,EQUIPOS!$B$3:$G$18,6,0),""))</f>
        <v/>
      </c>
      <c r="G396" s="8"/>
      <c r="H396" s="5"/>
      <c r="I396" s="5"/>
      <c r="J396" s="9"/>
      <c r="K396" s="17" t="str">
        <f aca="false">IF(H396="","",IFERROR(SUMIFS(BD_PLAN!$I$3:$I$312,BD_PLAN!$B$3:$B$312,E396,BD_PLAN!$C$3:$C$312,INDEX(BD_CICLO!$F$3:$F$54,MATCH(E396&amp;"|"&amp;H396,BD_CICLO!$G$3:$G$54,0))),""))</f>
        <v/>
      </c>
      <c r="L396" s="9"/>
      <c r="M396" s="9"/>
      <c r="N396" s="1" t="str">
        <f aca="false">IF(C396="","",C396&amp;"|"&amp;COUNTIF(C$3:C396,C396))</f>
        <v/>
      </c>
      <c r="O396" s="1" t="str">
        <f aca="false">IF(OR(C396="",M396=""),"",C396&amp;"|"&amp;COUNTIFS(C$3:C396,C396,M$3:M396,"&lt;&gt;"))</f>
        <v/>
      </c>
    </row>
    <row r="397" customFormat="false" ht="15" hidden="false" customHeight="false" outlineLevel="0" collapsed="false">
      <c r="B397" s="7"/>
      <c r="C397" s="5"/>
      <c r="D397" s="9" t="str">
        <f aca="false">IF(C397="","",IFERROR(VLOOKUP(C397,EQUIPOS!$B$3:$C$18,2,0),"NO EXISTE"))</f>
        <v/>
      </c>
      <c r="E397" s="9" t="str">
        <f aca="false">IF(C397="","",IFERROR(VLOOKUP(C397,EQUIPOS!$B$3:$F$18,5,0),""))</f>
        <v/>
      </c>
      <c r="F397" s="5" t="str">
        <f aca="false">IF(C397="","",IFERROR(VLOOKUP(C397,EQUIPOS!$B$3:$G$18,6,0),""))</f>
        <v/>
      </c>
      <c r="G397" s="8"/>
      <c r="H397" s="5"/>
      <c r="I397" s="5"/>
      <c r="J397" s="9"/>
      <c r="K397" s="17" t="str">
        <f aca="false">IF(H397="","",IFERROR(SUMIFS(BD_PLAN!$I$3:$I$312,BD_PLAN!$B$3:$B$312,E397,BD_PLAN!$C$3:$C$312,INDEX(BD_CICLO!$F$3:$F$54,MATCH(E397&amp;"|"&amp;H397,BD_CICLO!$G$3:$G$54,0))),""))</f>
        <v/>
      </c>
      <c r="L397" s="9"/>
      <c r="M397" s="9"/>
      <c r="N397" s="1" t="str">
        <f aca="false">IF(C397="","",C397&amp;"|"&amp;COUNTIF(C$3:C397,C397))</f>
        <v/>
      </c>
      <c r="O397" s="1" t="str">
        <f aca="false">IF(OR(C397="",M397=""),"",C397&amp;"|"&amp;COUNTIFS(C$3:C397,C397,M$3:M397,"&lt;&gt;"))</f>
        <v/>
      </c>
    </row>
    <row r="398" customFormat="false" ht="15" hidden="false" customHeight="false" outlineLevel="0" collapsed="false">
      <c r="B398" s="7"/>
      <c r="C398" s="5"/>
      <c r="D398" s="9" t="str">
        <f aca="false">IF(C398="","",IFERROR(VLOOKUP(C398,EQUIPOS!$B$3:$C$18,2,0),"NO EXISTE"))</f>
        <v/>
      </c>
      <c r="E398" s="9" t="str">
        <f aca="false">IF(C398="","",IFERROR(VLOOKUP(C398,EQUIPOS!$B$3:$F$18,5,0),""))</f>
        <v/>
      </c>
      <c r="F398" s="5" t="str">
        <f aca="false">IF(C398="","",IFERROR(VLOOKUP(C398,EQUIPOS!$B$3:$G$18,6,0),""))</f>
        <v/>
      </c>
      <c r="G398" s="8"/>
      <c r="H398" s="5"/>
      <c r="I398" s="5"/>
      <c r="J398" s="9"/>
      <c r="K398" s="17" t="str">
        <f aca="false">IF(H398="","",IFERROR(SUMIFS(BD_PLAN!$I$3:$I$312,BD_PLAN!$B$3:$B$312,E398,BD_PLAN!$C$3:$C$312,INDEX(BD_CICLO!$F$3:$F$54,MATCH(E398&amp;"|"&amp;H398,BD_CICLO!$G$3:$G$54,0))),""))</f>
        <v/>
      </c>
      <c r="L398" s="9"/>
      <c r="M398" s="9"/>
      <c r="N398" s="1" t="str">
        <f aca="false">IF(C398="","",C398&amp;"|"&amp;COUNTIF(C$3:C398,C398))</f>
        <v/>
      </c>
      <c r="O398" s="1" t="str">
        <f aca="false">IF(OR(C398="",M398=""),"",C398&amp;"|"&amp;COUNTIFS(C$3:C398,C398,M$3:M398,"&lt;&gt;"))</f>
        <v/>
      </c>
    </row>
    <row r="399" customFormat="false" ht="15" hidden="false" customHeight="false" outlineLevel="0" collapsed="false">
      <c r="B399" s="7"/>
      <c r="C399" s="5"/>
      <c r="D399" s="9" t="str">
        <f aca="false">IF(C399="","",IFERROR(VLOOKUP(C399,EQUIPOS!$B$3:$C$18,2,0),"NO EXISTE"))</f>
        <v/>
      </c>
      <c r="E399" s="9" t="str">
        <f aca="false">IF(C399="","",IFERROR(VLOOKUP(C399,EQUIPOS!$B$3:$F$18,5,0),""))</f>
        <v/>
      </c>
      <c r="F399" s="5" t="str">
        <f aca="false">IF(C399="","",IFERROR(VLOOKUP(C399,EQUIPOS!$B$3:$G$18,6,0),""))</f>
        <v/>
      </c>
      <c r="G399" s="8"/>
      <c r="H399" s="5"/>
      <c r="I399" s="5"/>
      <c r="J399" s="9"/>
      <c r="K399" s="17" t="str">
        <f aca="false">IF(H399="","",IFERROR(SUMIFS(BD_PLAN!$I$3:$I$312,BD_PLAN!$B$3:$B$312,E399,BD_PLAN!$C$3:$C$312,INDEX(BD_CICLO!$F$3:$F$54,MATCH(E399&amp;"|"&amp;H399,BD_CICLO!$G$3:$G$54,0))),""))</f>
        <v/>
      </c>
      <c r="L399" s="9"/>
      <c r="M399" s="9"/>
      <c r="N399" s="1" t="str">
        <f aca="false">IF(C399="","",C399&amp;"|"&amp;COUNTIF(C$3:C399,C399))</f>
        <v/>
      </c>
      <c r="O399" s="1" t="str">
        <f aca="false">IF(OR(C399="",M399=""),"",C399&amp;"|"&amp;COUNTIFS(C$3:C399,C399,M$3:M399,"&lt;&gt;"))</f>
        <v/>
      </c>
    </row>
    <row r="400" customFormat="false" ht="15" hidden="false" customHeight="false" outlineLevel="0" collapsed="false">
      <c r="B400" s="7"/>
      <c r="C400" s="5"/>
      <c r="D400" s="9" t="str">
        <f aca="false">IF(C400="","",IFERROR(VLOOKUP(C400,EQUIPOS!$B$3:$C$18,2,0),"NO EXISTE"))</f>
        <v/>
      </c>
      <c r="E400" s="9" t="str">
        <f aca="false">IF(C400="","",IFERROR(VLOOKUP(C400,EQUIPOS!$B$3:$F$18,5,0),""))</f>
        <v/>
      </c>
      <c r="F400" s="5" t="str">
        <f aca="false">IF(C400="","",IFERROR(VLOOKUP(C400,EQUIPOS!$B$3:$G$18,6,0),""))</f>
        <v/>
      </c>
      <c r="G400" s="8"/>
      <c r="H400" s="5"/>
      <c r="I400" s="5"/>
      <c r="J400" s="9"/>
      <c r="K400" s="17" t="str">
        <f aca="false">IF(H400="","",IFERROR(SUMIFS(BD_PLAN!$I$3:$I$312,BD_PLAN!$B$3:$B$312,E400,BD_PLAN!$C$3:$C$312,INDEX(BD_CICLO!$F$3:$F$54,MATCH(E400&amp;"|"&amp;H400,BD_CICLO!$G$3:$G$54,0))),""))</f>
        <v/>
      </c>
      <c r="L400" s="9"/>
      <c r="M400" s="9"/>
      <c r="N400" s="1" t="str">
        <f aca="false">IF(C400="","",C400&amp;"|"&amp;COUNTIF(C$3:C400,C400))</f>
        <v/>
      </c>
      <c r="O400" s="1" t="str">
        <f aca="false">IF(OR(C400="",M400=""),"",C400&amp;"|"&amp;COUNTIFS(C$3:C400,C400,M$3:M400,"&lt;&gt;"))</f>
        <v/>
      </c>
    </row>
    <row r="401" customFormat="false" ht="15" hidden="false" customHeight="false" outlineLevel="0" collapsed="false">
      <c r="B401" s="7"/>
      <c r="C401" s="5"/>
      <c r="D401" s="9" t="str">
        <f aca="false">IF(C401="","",IFERROR(VLOOKUP(C401,EQUIPOS!$B$3:$C$18,2,0),"NO EXISTE"))</f>
        <v/>
      </c>
      <c r="E401" s="9" t="str">
        <f aca="false">IF(C401="","",IFERROR(VLOOKUP(C401,EQUIPOS!$B$3:$F$18,5,0),""))</f>
        <v/>
      </c>
      <c r="F401" s="5" t="str">
        <f aca="false">IF(C401="","",IFERROR(VLOOKUP(C401,EQUIPOS!$B$3:$G$18,6,0),""))</f>
        <v/>
      </c>
      <c r="G401" s="8"/>
      <c r="H401" s="5"/>
      <c r="I401" s="5"/>
      <c r="J401" s="9"/>
      <c r="K401" s="17" t="str">
        <f aca="false">IF(H401="","",IFERROR(SUMIFS(BD_PLAN!$I$3:$I$312,BD_PLAN!$B$3:$B$312,E401,BD_PLAN!$C$3:$C$312,INDEX(BD_CICLO!$F$3:$F$54,MATCH(E401&amp;"|"&amp;H401,BD_CICLO!$G$3:$G$54,0))),""))</f>
        <v/>
      </c>
      <c r="L401" s="9"/>
      <c r="M401" s="9"/>
      <c r="N401" s="1" t="str">
        <f aca="false">IF(C401="","",C401&amp;"|"&amp;COUNTIF(C$3:C401,C401))</f>
        <v/>
      </c>
      <c r="O401" s="1" t="str">
        <f aca="false">IF(OR(C401="",M401=""),"",C401&amp;"|"&amp;COUNTIFS(C$3:C401,C401,M$3:M401,"&lt;&gt;"))</f>
        <v/>
      </c>
    </row>
    <row r="402" customFormat="false" ht="15" hidden="false" customHeight="false" outlineLevel="0" collapsed="false">
      <c r="B402" s="7"/>
      <c r="C402" s="5"/>
      <c r="D402" s="9" t="str">
        <f aca="false">IF(C402="","",IFERROR(VLOOKUP(C402,EQUIPOS!$B$3:$C$18,2,0),"NO EXISTE"))</f>
        <v/>
      </c>
      <c r="E402" s="9" t="str">
        <f aca="false">IF(C402="","",IFERROR(VLOOKUP(C402,EQUIPOS!$B$3:$F$18,5,0),""))</f>
        <v/>
      </c>
      <c r="F402" s="5" t="str">
        <f aca="false">IF(C402="","",IFERROR(VLOOKUP(C402,EQUIPOS!$B$3:$G$18,6,0),""))</f>
        <v/>
      </c>
      <c r="G402" s="8"/>
      <c r="H402" s="5"/>
      <c r="I402" s="5"/>
      <c r="J402" s="9"/>
      <c r="K402" s="17" t="str">
        <f aca="false">IF(H402="","",IFERROR(SUMIFS(BD_PLAN!$I$3:$I$312,BD_PLAN!$B$3:$B$312,E402,BD_PLAN!$C$3:$C$312,INDEX(BD_CICLO!$F$3:$F$54,MATCH(E402&amp;"|"&amp;H402,BD_CICLO!$G$3:$G$54,0))),""))</f>
        <v/>
      </c>
      <c r="L402" s="9"/>
      <c r="M402" s="9"/>
      <c r="N402" s="1" t="str">
        <f aca="false">IF(C402="","",C402&amp;"|"&amp;COUNTIF(C$3:C402,C402))</f>
        <v/>
      </c>
      <c r="O402" s="1" t="str">
        <f aca="false">IF(OR(C402="",M402=""),"",C402&amp;"|"&amp;COUNTIFS(C$3:C402,C402,M$3:M402,"&lt;&gt;"))</f>
        <v/>
      </c>
    </row>
    <row r="403" customFormat="false" ht="15" hidden="false" customHeight="false" outlineLevel="0" collapsed="false">
      <c r="B403" s="7"/>
      <c r="C403" s="5"/>
      <c r="D403" s="9" t="str">
        <f aca="false">IF(C403="","",IFERROR(VLOOKUP(C403,EQUIPOS!$B$3:$C$18,2,0),"NO EXISTE"))</f>
        <v/>
      </c>
      <c r="E403" s="9" t="str">
        <f aca="false">IF(C403="","",IFERROR(VLOOKUP(C403,EQUIPOS!$B$3:$F$18,5,0),""))</f>
        <v/>
      </c>
      <c r="F403" s="5" t="str">
        <f aca="false">IF(C403="","",IFERROR(VLOOKUP(C403,EQUIPOS!$B$3:$G$18,6,0),""))</f>
        <v/>
      </c>
      <c r="G403" s="8"/>
      <c r="H403" s="5"/>
      <c r="I403" s="5"/>
      <c r="J403" s="9"/>
      <c r="K403" s="17" t="str">
        <f aca="false">IF(H403="","",IFERROR(SUMIFS(BD_PLAN!$I$3:$I$312,BD_PLAN!$B$3:$B$312,E403,BD_PLAN!$C$3:$C$312,INDEX(BD_CICLO!$F$3:$F$54,MATCH(E403&amp;"|"&amp;H403,BD_CICLO!$G$3:$G$54,0))),""))</f>
        <v/>
      </c>
      <c r="L403" s="9"/>
      <c r="M403" s="9"/>
      <c r="N403" s="1" t="str">
        <f aca="false">IF(C403="","",C403&amp;"|"&amp;COUNTIF(C$3:C403,C403))</f>
        <v/>
      </c>
      <c r="O403" s="1" t="str">
        <f aca="false">IF(OR(C403="",M403=""),"",C403&amp;"|"&amp;COUNTIFS(C$3:C403,C403,M$3:M403,"&lt;&gt;"))</f>
        <v/>
      </c>
    </row>
    <row r="404" customFormat="false" ht="15" hidden="false" customHeight="false" outlineLevel="0" collapsed="false">
      <c r="B404" s="7"/>
      <c r="C404" s="5"/>
      <c r="D404" s="9" t="str">
        <f aca="false">IF(C404="","",IFERROR(VLOOKUP(C404,EQUIPOS!$B$3:$C$18,2,0),"NO EXISTE"))</f>
        <v/>
      </c>
      <c r="E404" s="9" t="str">
        <f aca="false">IF(C404="","",IFERROR(VLOOKUP(C404,EQUIPOS!$B$3:$F$18,5,0),""))</f>
        <v/>
      </c>
      <c r="F404" s="5" t="str">
        <f aca="false">IF(C404="","",IFERROR(VLOOKUP(C404,EQUIPOS!$B$3:$G$18,6,0),""))</f>
        <v/>
      </c>
      <c r="G404" s="8"/>
      <c r="H404" s="5"/>
      <c r="I404" s="5"/>
      <c r="J404" s="9"/>
      <c r="K404" s="17" t="str">
        <f aca="false">IF(H404="","",IFERROR(SUMIFS(BD_PLAN!$I$3:$I$312,BD_PLAN!$B$3:$B$312,E404,BD_PLAN!$C$3:$C$312,INDEX(BD_CICLO!$F$3:$F$54,MATCH(E404&amp;"|"&amp;H404,BD_CICLO!$G$3:$G$54,0))),""))</f>
        <v/>
      </c>
      <c r="L404" s="9"/>
      <c r="M404" s="9"/>
      <c r="N404" s="1" t="str">
        <f aca="false">IF(C404="","",C404&amp;"|"&amp;COUNTIF(C$3:C404,C404))</f>
        <v/>
      </c>
      <c r="O404" s="1" t="str">
        <f aca="false">IF(OR(C404="",M404=""),"",C404&amp;"|"&amp;COUNTIFS(C$3:C404,C404,M$3:M404,"&lt;&gt;"))</f>
        <v/>
      </c>
    </row>
    <row r="405" customFormat="false" ht="15" hidden="false" customHeight="false" outlineLevel="0" collapsed="false">
      <c r="B405" s="7"/>
      <c r="C405" s="5"/>
      <c r="D405" s="9" t="str">
        <f aca="false">IF(C405="","",IFERROR(VLOOKUP(C405,EQUIPOS!$B$3:$C$18,2,0),"NO EXISTE"))</f>
        <v/>
      </c>
      <c r="E405" s="9" t="str">
        <f aca="false">IF(C405="","",IFERROR(VLOOKUP(C405,EQUIPOS!$B$3:$F$18,5,0),""))</f>
        <v/>
      </c>
      <c r="F405" s="5" t="str">
        <f aca="false">IF(C405="","",IFERROR(VLOOKUP(C405,EQUIPOS!$B$3:$G$18,6,0),""))</f>
        <v/>
      </c>
      <c r="G405" s="8"/>
      <c r="H405" s="5"/>
      <c r="I405" s="5"/>
      <c r="J405" s="9"/>
      <c r="K405" s="17" t="str">
        <f aca="false">IF(H405="","",IFERROR(SUMIFS(BD_PLAN!$I$3:$I$312,BD_PLAN!$B$3:$B$312,E405,BD_PLAN!$C$3:$C$312,INDEX(BD_CICLO!$F$3:$F$54,MATCH(E405&amp;"|"&amp;H405,BD_CICLO!$G$3:$G$54,0))),""))</f>
        <v/>
      </c>
      <c r="L405" s="9"/>
      <c r="M405" s="9"/>
      <c r="N405" s="1" t="str">
        <f aca="false">IF(C405="","",C405&amp;"|"&amp;COUNTIF(C$3:C405,C405))</f>
        <v/>
      </c>
      <c r="O405" s="1" t="str">
        <f aca="false">IF(OR(C405="",M405=""),"",C405&amp;"|"&amp;COUNTIFS(C$3:C405,C405,M$3:M405,"&lt;&gt;"))</f>
        <v/>
      </c>
    </row>
    <row r="406" customFormat="false" ht="15" hidden="false" customHeight="false" outlineLevel="0" collapsed="false">
      <c r="B406" s="7"/>
      <c r="C406" s="5"/>
      <c r="D406" s="9" t="str">
        <f aca="false">IF(C406="","",IFERROR(VLOOKUP(C406,EQUIPOS!$B$3:$C$18,2,0),"NO EXISTE"))</f>
        <v/>
      </c>
      <c r="E406" s="9" t="str">
        <f aca="false">IF(C406="","",IFERROR(VLOOKUP(C406,EQUIPOS!$B$3:$F$18,5,0),""))</f>
        <v/>
      </c>
      <c r="F406" s="5" t="str">
        <f aca="false">IF(C406="","",IFERROR(VLOOKUP(C406,EQUIPOS!$B$3:$G$18,6,0),""))</f>
        <v/>
      </c>
      <c r="G406" s="8"/>
      <c r="H406" s="5"/>
      <c r="I406" s="5"/>
      <c r="J406" s="9"/>
      <c r="K406" s="17" t="str">
        <f aca="false">IF(H406="","",IFERROR(SUMIFS(BD_PLAN!$I$3:$I$312,BD_PLAN!$B$3:$B$312,E406,BD_PLAN!$C$3:$C$312,INDEX(BD_CICLO!$F$3:$F$54,MATCH(E406&amp;"|"&amp;H406,BD_CICLO!$G$3:$G$54,0))),""))</f>
        <v/>
      </c>
      <c r="L406" s="9"/>
      <c r="M406" s="9"/>
      <c r="N406" s="1" t="str">
        <f aca="false">IF(C406="","",C406&amp;"|"&amp;COUNTIF(C$3:C406,C406))</f>
        <v/>
      </c>
      <c r="O406" s="1" t="str">
        <f aca="false">IF(OR(C406="",M406=""),"",C406&amp;"|"&amp;COUNTIFS(C$3:C406,C406,M$3:M406,"&lt;&gt;"))</f>
        <v/>
      </c>
    </row>
    <row r="407" customFormat="false" ht="15" hidden="false" customHeight="false" outlineLevel="0" collapsed="false">
      <c r="B407" s="7"/>
      <c r="C407" s="5"/>
      <c r="D407" s="9" t="str">
        <f aca="false">IF(C407="","",IFERROR(VLOOKUP(C407,EQUIPOS!$B$3:$C$18,2,0),"NO EXISTE"))</f>
        <v/>
      </c>
      <c r="E407" s="9" t="str">
        <f aca="false">IF(C407="","",IFERROR(VLOOKUP(C407,EQUIPOS!$B$3:$F$18,5,0),""))</f>
        <v/>
      </c>
      <c r="F407" s="5" t="str">
        <f aca="false">IF(C407="","",IFERROR(VLOOKUP(C407,EQUIPOS!$B$3:$G$18,6,0),""))</f>
        <v/>
      </c>
      <c r="G407" s="8"/>
      <c r="H407" s="5"/>
      <c r="I407" s="5"/>
      <c r="J407" s="9"/>
      <c r="K407" s="17" t="str">
        <f aca="false">IF(H407="","",IFERROR(SUMIFS(BD_PLAN!$I$3:$I$312,BD_PLAN!$B$3:$B$312,E407,BD_PLAN!$C$3:$C$312,INDEX(BD_CICLO!$F$3:$F$54,MATCH(E407&amp;"|"&amp;H407,BD_CICLO!$G$3:$G$54,0))),""))</f>
        <v/>
      </c>
      <c r="L407" s="9"/>
      <c r="M407" s="9"/>
      <c r="N407" s="1" t="str">
        <f aca="false">IF(C407="","",C407&amp;"|"&amp;COUNTIF(C$3:C407,C407))</f>
        <v/>
      </c>
      <c r="O407" s="1" t="str">
        <f aca="false">IF(OR(C407="",M407=""),"",C407&amp;"|"&amp;COUNTIFS(C$3:C407,C407,M$3:M407,"&lt;&gt;"))</f>
        <v/>
      </c>
    </row>
    <row r="408" customFormat="false" ht="15" hidden="false" customHeight="false" outlineLevel="0" collapsed="false">
      <c r="B408" s="7"/>
      <c r="C408" s="5"/>
      <c r="D408" s="9" t="str">
        <f aca="false">IF(C408="","",IFERROR(VLOOKUP(C408,EQUIPOS!$B$3:$C$18,2,0),"NO EXISTE"))</f>
        <v/>
      </c>
      <c r="E408" s="9" t="str">
        <f aca="false">IF(C408="","",IFERROR(VLOOKUP(C408,EQUIPOS!$B$3:$F$18,5,0),""))</f>
        <v/>
      </c>
      <c r="F408" s="5" t="str">
        <f aca="false">IF(C408="","",IFERROR(VLOOKUP(C408,EQUIPOS!$B$3:$G$18,6,0),""))</f>
        <v/>
      </c>
      <c r="G408" s="8"/>
      <c r="H408" s="5"/>
      <c r="I408" s="5"/>
      <c r="J408" s="9"/>
      <c r="K408" s="17" t="str">
        <f aca="false">IF(H408="","",IFERROR(SUMIFS(BD_PLAN!$I$3:$I$312,BD_PLAN!$B$3:$B$312,E408,BD_PLAN!$C$3:$C$312,INDEX(BD_CICLO!$F$3:$F$54,MATCH(E408&amp;"|"&amp;H408,BD_CICLO!$G$3:$G$54,0))),""))</f>
        <v/>
      </c>
      <c r="L408" s="9"/>
      <c r="M408" s="9"/>
      <c r="N408" s="1" t="str">
        <f aca="false">IF(C408="","",C408&amp;"|"&amp;COUNTIF(C$3:C408,C408))</f>
        <v/>
      </c>
      <c r="O408" s="1" t="str">
        <f aca="false">IF(OR(C408="",M408=""),"",C408&amp;"|"&amp;COUNTIFS(C$3:C408,C408,M$3:M408,"&lt;&gt;"))</f>
        <v/>
      </c>
    </row>
    <row r="409" customFormat="false" ht="15" hidden="false" customHeight="false" outlineLevel="0" collapsed="false">
      <c r="B409" s="7"/>
      <c r="C409" s="5"/>
      <c r="D409" s="9" t="str">
        <f aca="false">IF(C409="","",IFERROR(VLOOKUP(C409,EQUIPOS!$B$3:$C$18,2,0),"NO EXISTE"))</f>
        <v/>
      </c>
      <c r="E409" s="9" t="str">
        <f aca="false">IF(C409="","",IFERROR(VLOOKUP(C409,EQUIPOS!$B$3:$F$18,5,0),""))</f>
        <v/>
      </c>
      <c r="F409" s="5" t="str">
        <f aca="false">IF(C409="","",IFERROR(VLOOKUP(C409,EQUIPOS!$B$3:$G$18,6,0),""))</f>
        <v/>
      </c>
      <c r="G409" s="8"/>
      <c r="H409" s="5"/>
      <c r="I409" s="5"/>
      <c r="J409" s="9"/>
      <c r="K409" s="17" t="str">
        <f aca="false">IF(H409="","",IFERROR(SUMIFS(BD_PLAN!$I$3:$I$312,BD_PLAN!$B$3:$B$312,E409,BD_PLAN!$C$3:$C$312,INDEX(BD_CICLO!$F$3:$F$54,MATCH(E409&amp;"|"&amp;H409,BD_CICLO!$G$3:$G$54,0))),""))</f>
        <v/>
      </c>
      <c r="L409" s="9"/>
      <c r="M409" s="9"/>
      <c r="N409" s="1" t="str">
        <f aca="false">IF(C409="","",C409&amp;"|"&amp;COUNTIF(C$3:C409,C409))</f>
        <v/>
      </c>
      <c r="O409" s="1" t="str">
        <f aca="false">IF(OR(C409="",M409=""),"",C409&amp;"|"&amp;COUNTIFS(C$3:C409,C409,M$3:M409,"&lt;&gt;"))</f>
        <v/>
      </c>
    </row>
    <row r="410" customFormat="false" ht="15" hidden="false" customHeight="false" outlineLevel="0" collapsed="false">
      <c r="B410" s="7"/>
      <c r="C410" s="5"/>
      <c r="D410" s="9" t="str">
        <f aca="false">IF(C410="","",IFERROR(VLOOKUP(C410,EQUIPOS!$B$3:$C$18,2,0),"NO EXISTE"))</f>
        <v/>
      </c>
      <c r="E410" s="9" t="str">
        <f aca="false">IF(C410="","",IFERROR(VLOOKUP(C410,EQUIPOS!$B$3:$F$18,5,0),""))</f>
        <v/>
      </c>
      <c r="F410" s="5" t="str">
        <f aca="false">IF(C410="","",IFERROR(VLOOKUP(C410,EQUIPOS!$B$3:$G$18,6,0),""))</f>
        <v/>
      </c>
      <c r="G410" s="8"/>
      <c r="H410" s="5"/>
      <c r="I410" s="5"/>
      <c r="J410" s="9"/>
      <c r="K410" s="17" t="str">
        <f aca="false">IF(H410="","",IFERROR(SUMIFS(BD_PLAN!$I$3:$I$312,BD_PLAN!$B$3:$B$312,E410,BD_PLAN!$C$3:$C$312,INDEX(BD_CICLO!$F$3:$F$54,MATCH(E410&amp;"|"&amp;H410,BD_CICLO!$G$3:$G$54,0))),""))</f>
        <v/>
      </c>
      <c r="L410" s="9"/>
      <c r="M410" s="9"/>
      <c r="N410" s="1" t="str">
        <f aca="false">IF(C410="","",C410&amp;"|"&amp;COUNTIF(C$3:C410,C410))</f>
        <v/>
      </c>
      <c r="O410" s="1" t="str">
        <f aca="false">IF(OR(C410="",M410=""),"",C410&amp;"|"&amp;COUNTIFS(C$3:C410,C410,M$3:M410,"&lt;&gt;"))</f>
        <v/>
      </c>
    </row>
    <row r="411" customFormat="false" ht="15" hidden="false" customHeight="false" outlineLevel="0" collapsed="false">
      <c r="B411" s="7"/>
      <c r="C411" s="5"/>
      <c r="D411" s="9" t="str">
        <f aca="false">IF(C411="","",IFERROR(VLOOKUP(C411,EQUIPOS!$B$3:$C$18,2,0),"NO EXISTE"))</f>
        <v/>
      </c>
      <c r="E411" s="9" t="str">
        <f aca="false">IF(C411="","",IFERROR(VLOOKUP(C411,EQUIPOS!$B$3:$F$18,5,0),""))</f>
        <v/>
      </c>
      <c r="F411" s="5" t="str">
        <f aca="false">IF(C411="","",IFERROR(VLOOKUP(C411,EQUIPOS!$B$3:$G$18,6,0),""))</f>
        <v/>
      </c>
      <c r="G411" s="8"/>
      <c r="H411" s="5"/>
      <c r="I411" s="5"/>
      <c r="J411" s="9"/>
      <c r="K411" s="17" t="str">
        <f aca="false">IF(H411="","",IFERROR(SUMIFS(BD_PLAN!$I$3:$I$312,BD_PLAN!$B$3:$B$312,E411,BD_PLAN!$C$3:$C$312,INDEX(BD_CICLO!$F$3:$F$54,MATCH(E411&amp;"|"&amp;H411,BD_CICLO!$G$3:$G$54,0))),""))</f>
        <v/>
      </c>
      <c r="L411" s="9"/>
      <c r="M411" s="9"/>
      <c r="N411" s="1" t="str">
        <f aca="false">IF(C411="","",C411&amp;"|"&amp;COUNTIF(C$3:C411,C411))</f>
        <v/>
      </c>
      <c r="O411" s="1" t="str">
        <f aca="false">IF(OR(C411="",M411=""),"",C411&amp;"|"&amp;COUNTIFS(C$3:C411,C411,M$3:M411,"&lt;&gt;"))</f>
        <v/>
      </c>
    </row>
    <row r="412" customFormat="false" ht="15" hidden="false" customHeight="false" outlineLevel="0" collapsed="false">
      <c r="B412" s="7"/>
      <c r="C412" s="5"/>
      <c r="D412" s="9" t="str">
        <f aca="false">IF(C412="","",IFERROR(VLOOKUP(C412,EQUIPOS!$B$3:$C$18,2,0),"NO EXISTE"))</f>
        <v/>
      </c>
      <c r="E412" s="9" t="str">
        <f aca="false">IF(C412="","",IFERROR(VLOOKUP(C412,EQUIPOS!$B$3:$F$18,5,0),""))</f>
        <v/>
      </c>
      <c r="F412" s="5" t="str">
        <f aca="false">IF(C412="","",IFERROR(VLOOKUP(C412,EQUIPOS!$B$3:$G$18,6,0),""))</f>
        <v/>
      </c>
      <c r="G412" s="8"/>
      <c r="H412" s="5"/>
      <c r="I412" s="5"/>
      <c r="J412" s="9"/>
      <c r="K412" s="17" t="str">
        <f aca="false">IF(H412="","",IFERROR(SUMIFS(BD_PLAN!$I$3:$I$312,BD_PLAN!$B$3:$B$312,E412,BD_PLAN!$C$3:$C$312,INDEX(BD_CICLO!$F$3:$F$54,MATCH(E412&amp;"|"&amp;H412,BD_CICLO!$G$3:$G$54,0))),""))</f>
        <v/>
      </c>
      <c r="L412" s="9"/>
      <c r="M412" s="9"/>
      <c r="N412" s="1" t="str">
        <f aca="false">IF(C412="","",C412&amp;"|"&amp;COUNTIF(C$3:C412,C412))</f>
        <v/>
      </c>
      <c r="O412" s="1" t="str">
        <f aca="false">IF(OR(C412="",M412=""),"",C412&amp;"|"&amp;COUNTIFS(C$3:C412,C412,M$3:M412,"&lt;&gt;"))</f>
        <v/>
      </c>
    </row>
    <row r="413" customFormat="false" ht="15" hidden="false" customHeight="false" outlineLevel="0" collapsed="false">
      <c r="B413" s="7"/>
      <c r="C413" s="5"/>
      <c r="D413" s="9" t="str">
        <f aca="false">IF(C413="","",IFERROR(VLOOKUP(C413,EQUIPOS!$B$3:$C$18,2,0),"NO EXISTE"))</f>
        <v/>
      </c>
      <c r="E413" s="9" t="str">
        <f aca="false">IF(C413="","",IFERROR(VLOOKUP(C413,EQUIPOS!$B$3:$F$18,5,0),""))</f>
        <v/>
      </c>
      <c r="F413" s="5" t="str">
        <f aca="false">IF(C413="","",IFERROR(VLOOKUP(C413,EQUIPOS!$B$3:$G$18,6,0),""))</f>
        <v/>
      </c>
      <c r="G413" s="8"/>
      <c r="H413" s="5"/>
      <c r="I413" s="5"/>
      <c r="J413" s="9"/>
      <c r="K413" s="17" t="str">
        <f aca="false">IF(H413="","",IFERROR(SUMIFS(BD_PLAN!$I$3:$I$312,BD_PLAN!$B$3:$B$312,E413,BD_PLAN!$C$3:$C$312,INDEX(BD_CICLO!$F$3:$F$54,MATCH(E413&amp;"|"&amp;H413,BD_CICLO!$G$3:$G$54,0))),""))</f>
        <v/>
      </c>
      <c r="L413" s="9"/>
      <c r="M413" s="9"/>
      <c r="N413" s="1" t="str">
        <f aca="false">IF(C413="","",C413&amp;"|"&amp;COUNTIF(C$3:C413,C413))</f>
        <v/>
      </c>
      <c r="O413" s="1" t="str">
        <f aca="false">IF(OR(C413="",M413=""),"",C413&amp;"|"&amp;COUNTIFS(C$3:C413,C413,M$3:M413,"&lt;&gt;"))</f>
        <v/>
      </c>
    </row>
    <row r="414" customFormat="false" ht="15" hidden="false" customHeight="false" outlineLevel="0" collapsed="false">
      <c r="B414" s="7"/>
      <c r="C414" s="5"/>
      <c r="D414" s="9" t="str">
        <f aca="false">IF(C414="","",IFERROR(VLOOKUP(C414,EQUIPOS!$B$3:$C$18,2,0),"NO EXISTE"))</f>
        <v/>
      </c>
      <c r="E414" s="9" t="str">
        <f aca="false">IF(C414="","",IFERROR(VLOOKUP(C414,EQUIPOS!$B$3:$F$18,5,0),""))</f>
        <v/>
      </c>
      <c r="F414" s="5" t="str">
        <f aca="false">IF(C414="","",IFERROR(VLOOKUP(C414,EQUIPOS!$B$3:$G$18,6,0),""))</f>
        <v/>
      </c>
      <c r="G414" s="8"/>
      <c r="H414" s="5"/>
      <c r="I414" s="5"/>
      <c r="J414" s="9"/>
      <c r="K414" s="17" t="str">
        <f aca="false">IF(H414="","",IFERROR(SUMIFS(BD_PLAN!$I$3:$I$312,BD_PLAN!$B$3:$B$312,E414,BD_PLAN!$C$3:$C$312,INDEX(BD_CICLO!$F$3:$F$54,MATCH(E414&amp;"|"&amp;H414,BD_CICLO!$G$3:$G$54,0))),""))</f>
        <v/>
      </c>
      <c r="L414" s="9"/>
      <c r="M414" s="9"/>
      <c r="N414" s="1" t="str">
        <f aca="false">IF(C414="","",C414&amp;"|"&amp;COUNTIF(C$3:C414,C414))</f>
        <v/>
      </c>
      <c r="O414" s="1" t="str">
        <f aca="false">IF(OR(C414="",M414=""),"",C414&amp;"|"&amp;COUNTIFS(C$3:C414,C414,M$3:M414,"&lt;&gt;"))</f>
        <v/>
      </c>
    </row>
    <row r="415" customFormat="false" ht="15" hidden="false" customHeight="false" outlineLevel="0" collapsed="false">
      <c r="B415" s="7"/>
      <c r="C415" s="5"/>
      <c r="D415" s="9" t="str">
        <f aca="false">IF(C415="","",IFERROR(VLOOKUP(C415,EQUIPOS!$B$3:$C$18,2,0),"NO EXISTE"))</f>
        <v/>
      </c>
      <c r="E415" s="9" t="str">
        <f aca="false">IF(C415="","",IFERROR(VLOOKUP(C415,EQUIPOS!$B$3:$F$18,5,0),""))</f>
        <v/>
      </c>
      <c r="F415" s="5" t="str">
        <f aca="false">IF(C415="","",IFERROR(VLOOKUP(C415,EQUIPOS!$B$3:$G$18,6,0),""))</f>
        <v/>
      </c>
      <c r="G415" s="8"/>
      <c r="H415" s="5"/>
      <c r="I415" s="5"/>
      <c r="J415" s="9"/>
      <c r="K415" s="17" t="str">
        <f aca="false">IF(H415="","",IFERROR(SUMIFS(BD_PLAN!$I$3:$I$312,BD_PLAN!$B$3:$B$312,E415,BD_PLAN!$C$3:$C$312,INDEX(BD_CICLO!$F$3:$F$54,MATCH(E415&amp;"|"&amp;H415,BD_CICLO!$G$3:$G$54,0))),""))</f>
        <v/>
      </c>
      <c r="L415" s="9"/>
      <c r="M415" s="9"/>
      <c r="N415" s="1" t="str">
        <f aca="false">IF(C415="","",C415&amp;"|"&amp;COUNTIF(C$3:C415,C415))</f>
        <v/>
      </c>
      <c r="O415" s="1" t="str">
        <f aca="false">IF(OR(C415="",M415=""),"",C415&amp;"|"&amp;COUNTIFS(C$3:C415,C415,M$3:M415,"&lt;&gt;"))</f>
        <v/>
      </c>
    </row>
    <row r="416" customFormat="false" ht="15" hidden="false" customHeight="false" outlineLevel="0" collapsed="false">
      <c r="B416" s="7"/>
      <c r="C416" s="5"/>
      <c r="D416" s="9" t="str">
        <f aca="false">IF(C416="","",IFERROR(VLOOKUP(C416,EQUIPOS!$B$3:$C$18,2,0),"NO EXISTE"))</f>
        <v/>
      </c>
      <c r="E416" s="9" t="str">
        <f aca="false">IF(C416="","",IFERROR(VLOOKUP(C416,EQUIPOS!$B$3:$F$18,5,0),""))</f>
        <v/>
      </c>
      <c r="F416" s="5" t="str">
        <f aca="false">IF(C416="","",IFERROR(VLOOKUP(C416,EQUIPOS!$B$3:$G$18,6,0),""))</f>
        <v/>
      </c>
      <c r="G416" s="8"/>
      <c r="H416" s="5"/>
      <c r="I416" s="5"/>
      <c r="J416" s="9"/>
      <c r="K416" s="17" t="str">
        <f aca="false">IF(H416="","",IFERROR(SUMIFS(BD_PLAN!$I$3:$I$312,BD_PLAN!$B$3:$B$312,E416,BD_PLAN!$C$3:$C$312,INDEX(BD_CICLO!$F$3:$F$54,MATCH(E416&amp;"|"&amp;H416,BD_CICLO!$G$3:$G$54,0))),""))</f>
        <v/>
      </c>
      <c r="L416" s="9"/>
      <c r="M416" s="9"/>
      <c r="N416" s="1" t="str">
        <f aca="false">IF(C416="","",C416&amp;"|"&amp;COUNTIF(C$3:C416,C416))</f>
        <v/>
      </c>
      <c r="O416" s="1" t="str">
        <f aca="false">IF(OR(C416="",M416=""),"",C416&amp;"|"&amp;COUNTIFS(C$3:C416,C416,M$3:M416,"&lt;&gt;"))</f>
        <v/>
      </c>
    </row>
    <row r="417" customFormat="false" ht="15" hidden="false" customHeight="false" outlineLevel="0" collapsed="false">
      <c r="B417" s="7"/>
      <c r="C417" s="5"/>
      <c r="D417" s="9" t="str">
        <f aca="false">IF(C417="","",IFERROR(VLOOKUP(C417,EQUIPOS!$B$3:$C$18,2,0),"NO EXISTE"))</f>
        <v/>
      </c>
      <c r="E417" s="9" t="str">
        <f aca="false">IF(C417="","",IFERROR(VLOOKUP(C417,EQUIPOS!$B$3:$F$18,5,0),""))</f>
        <v/>
      </c>
      <c r="F417" s="5" t="str">
        <f aca="false">IF(C417="","",IFERROR(VLOOKUP(C417,EQUIPOS!$B$3:$G$18,6,0),""))</f>
        <v/>
      </c>
      <c r="G417" s="8"/>
      <c r="H417" s="5"/>
      <c r="I417" s="5"/>
      <c r="J417" s="9"/>
      <c r="K417" s="17" t="str">
        <f aca="false">IF(H417="","",IFERROR(SUMIFS(BD_PLAN!$I$3:$I$312,BD_PLAN!$B$3:$B$312,E417,BD_PLAN!$C$3:$C$312,INDEX(BD_CICLO!$F$3:$F$54,MATCH(E417&amp;"|"&amp;H417,BD_CICLO!$G$3:$G$54,0))),""))</f>
        <v/>
      </c>
      <c r="L417" s="9"/>
      <c r="M417" s="9"/>
      <c r="N417" s="1" t="str">
        <f aca="false">IF(C417="","",C417&amp;"|"&amp;COUNTIF(C$3:C417,C417))</f>
        <v/>
      </c>
      <c r="O417" s="1" t="str">
        <f aca="false">IF(OR(C417="",M417=""),"",C417&amp;"|"&amp;COUNTIFS(C$3:C417,C417,M$3:M417,"&lt;&gt;"))</f>
        <v/>
      </c>
    </row>
    <row r="418" customFormat="false" ht="15" hidden="false" customHeight="false" outlineLevel="0" collapsed="false">
      <c r="B418" s="7"/>
      <c r="C418" s="5"/>
      <c r="D418" s="9" t="str">
        <f aca="false">IF(C418="","",IFERROR(VLOOKUP(C418,EQUIPOS!$B$3:$C$18,2,0),"NO EXISTE"))</f>
        <v/>
      </c>
      <c r="E418" s="9" t="str">
        <f aca="false">IF(C418="","",IFERROR(VLOOKUP(C418,EQUIPOS!$B$3:$F$18,5,0),""))</f>
        <v/>
      </c>
      <c r="F418" s="5" t="str">
        <f aca="false">IF(C418="","",IFERROR(VLOOKUP(C418,EQUIPOS!$B$3:$G$18,6,0),""))</f>
        <v/>
      </c>
      <c r="G418" s="8"/>
      <c r="H418" s="5"/>
      <c r="I418" s="5"/>
      <c r="J418" s="9"/>
      <c r="K418" s="17" t="str">
        <f aca="false">IF(H418="","",IFERROR(SUMIFS(BD_PLAN!$I$3:$I$312,BD_PLAN!$B$3:$B$312,E418,BD_PLAN!$C$3:$C$312,INDEX(BD_CICLO!$F$3:$F$54,MATCH(E418&amp;"|"&amp;H418,BD_CICLO!$G$3:$G$54,0))),""))</f>
        <v/>
      </c>
      <c r="L418" s="9"/>
      <c r="M418" s="9"/>
      <c r="N418" s="1" t="str">
        <f aca="false">IF(C418="","",C418&amp;"|"&amp;COUNTIF(C$3:C418,C418))</f>
        <v/>
      </c>
      <c r="O418" s="1" t="str">
        <f aca="false">IF(OR(C418="",M418=""),"",C418&amp;"|"&amp;COUNTIFS(C$3:C418,C418,M$3:M418,"&lt;&gt;"))</f>
        <v/>
      </c>
    </row>
    <row r="419" customFormat="false" ht="15" hidden="false" customHeight="false" outlineLevel="0" collapsed="false">
      <c r="B419" s="7"/>
      <c r="C419" s="5"/>
      <c r="D419" s="9" t="str">
        <f aca="false">IF(C419="","",IFERROR(VLOOKUP(C419,EQUIPOS!$B$3:$C$18,2,0),"NO EXISTE"))</f>
        <v/>
      </c>
      <c r="E419" s="9" t="str">
        <f aca="false">IF(C419="","",IFERROR(VLOOKUP(C419,EQUIPOS!$B$3:$F$18,5,0),""))</f>
        <v/>
      </c>
      <c r="F419" s="5" t="str">
        <f aca="false">IF(C419="","",IFERROR(VLOOKUP(C419,EQUIPOS!$B$3:$G$18,6,0),""))</f>
        <v/>
      </c>
      <c r="G419" s="8"/>
      <c r="H419" s="5"/>
      <c r="I419" s="5"/>
      <c r="J419" s="9"/>
      <c r="K419" s="17" t="str">
        <f aca="false">IF(H419="","",IFERROR(SUMIFS(BD_PLAN!$I$3:$I$312,BD_PLAN!$B$3:$B$312,E419,BD_PLAN!$C$3:$C$312,INDEX(BD_CICLO!$F$3:$F$54,MATCH(E419&amp;"|"&amp;H419,BD_CICLO!$G$3:$G$54,0))),""))</f>
        <v/>
      </c>
      <c r="L419" s="9"/>
      <c r="M419" s="9"/>
      <c r="N419" s="1" t="str">
        <f aca="false">IF(C419="","",C419&amp;"|"&amp;COUNTIF(C$3:C419,C419))</f>
        <v/>
      </c>
      <c r="O419" s="1" t="str">
        <f aca="false">IF(OR(C419="",M419=""),"",C419&amp;"|"&amp;COUNTIFS(C$3:C419,C419,M$3:M419,"&lt;&gt;"))</f>
        <v/>
      </c>
    </row>
    <row r="420" customFormat="false" ht="15" hidden="false" customHeight="false" outlineLevel="0" collapsed="false">
      <c r="B420" s="7"/>
      <c r="C420" s="5"/>
      <c r="D420" s="9" t="str">
        <f aca="false">IF(C420="","",IFERROR(VLOOKUP(C420,EQUIPOS!$B$3:$C$18,2,0),"NO EXISTE"))</f>
        <v/>
      </c>
      <c r="E420" s="9" t="str">
        <f aca="false">IF(C420="","",IFERROR(VLOOKUP(C420,EQUIPOS!$B$3:$F$18,5,0),""))</f>
        <v/>
      </c>
      <c r="F420" s="5" t="str">
        <f aca="false">IF(C420="","",IFERROR(VLOOKUP(C420,EQUIPOS!$B$3:$G$18,6,0),""))</f>
        <v/>
      </c>
      <c r="G420" s="8"/>
      <c r="H420" s="5"/>
      <c r="I420" s="5"/>
      <c r="J420" s="9"/>
      <c r="K420" s="17" t="str">
        <f aca="false">IF(H420="","",IFERROR(SUMIFS(BD_PLAN!$I$3:$I$312,BD_PLAN!$B$3:$B$312,E420,BD_PLAN!$C$3:$C$312,INDEX(BD_CICLO!$F$3:$F$54,MATCH(E420&amp;"|"&amp;H420,BD_CICLO!$G$3:$G$54,0))),""))</f>
        <v/>
      </c>
      <c r="L420" s="9"/>
      <c r="M420" s="9"/>
      <c r="N420" s="1" t="str">
        <f aca="false">IF(C420="","",C420&amp;"|"&amp;COUNTIF(C$3:C420,C420))</f>
        <v/>
      </c>
      <c r="O420" s="1" t="str">
        <f aca="false">IF(OR(C420="",M420=""),"",C420&amp;"|"&amp;COUNTIFS(C$3:C420,C420,M$3:M420,"&lt;&gt;"))</f>
        <v/>
      </c>
    </row>
    <row r="421" customFormat="false" ht="15" hidden="false" customHeight="false" outlineLevel="0" collapsed="false">
      <c r="B421" s="7"/>
      <c r="C421" s="5"/>
      <c r="D421" s="9" t="str">
        <f aca="false">IF(C421="","",IFERROR(VLOOKUP(C421,EQUIPOS!$B$3:$C$18,2,0),"NO EXISTE"))</f>
        <v/>
      </c>
      <c r="E421" s="9" t="str">
        <f aca="false">IF(C421="","",IFERROR(VLOOKUP(C421,EQUIPOS!$B$3:$F$18,5,0),""))</f>
        <v/>
      </c>
      <c r="F421" s="5" t="str">
        <f aca="false">IF(C421="","",IFERROR(VLOOKUP(C421,EQUIPOS!$B$3:$G$18,6,0),""))</f>
        <v/>
      </c>
      <c r="G421" s="8"/>
      <c r="H421" s="5"/>
      <c r="I421" s="5"/>
      <c r="J421" s="9"/>
      <c r="K421" s="17" t="str">
        <f aca="false">IF(H421="","",IFERROR(SUMIFS(BD_PLAN!$I$3:$I$312,BD_PLAN!$B$3:$B$312,E421,BD_PLAN!$C$3:$C$312,INDEX(BD_CICLO!$F$3:$F$54,MATCH(E421&amp;"|"&amp;H421,BD_CICLO!$G$3:$G$54,0))),""))</f>
        <v/>
      </c>
      <c r="L421" s="9"/>
      <c r="M421" s="9"/>
      <c r="N421" s="1" t="str">
        <f aca="false">IF(C421="","",C421&amp;"|"&amp;COUNTIF(C$3:C421,C421))</f>
        <v/>
      </c>
      <c r="O421" s="1" t="str">
        <f aca="false">IF(OR(C421="",M421=""),"",C421&amp;"|"&amp;COUNTIFS(C$3:C421,C421,M$3:M421,"&lt;&gt;"))</f>
        <v/>
      </c>
    </row>
    <row r="422" customFormat="false" ht="15" hidden="false" customHeight="false" outlineLevel="0" collapsed="false">
      <c r="B422" s="7"/>
      <c r="C422" s="5"/>
      <c r="D422" s="9" t="str">
        <f aca="false">IF(C422="","",IFERROR(VLOOKUP(C422,EQUIPOS!$B$3:$C$18,2,0),"NO EXISTE"))</f>
        <v/>
      </c>
      <c r="E422" s="9" t="str">
        <f aca="false">IF(C422="","",IFERROR(VLOOKUP(C422,EQUIPOS!$B$3:$F$18,5,0),""))</f>
        <v/>
      </c>
      <c r="F422" s="5" t="str">
        <f aca="false">IF(C422="","",IFERROR(VLOOKUP(C422,EQUIPOS!$B$3:$G$18,6,0),""))</f>
        <v/>
      </c>
      <c r="G422" s="8"/>
      <c r="H422" s="5"/>
      <c r="I422" s="5"/>
      <c r="J422" s="9"/>
      <c r="K422" s="17" t="str">
        <f aca="false">IF(H422="","",IFERROR(SUMIFS(BD_PLAN!$I$3:$I$312,BD_PLAN!$B$3:$B$312,E422,BD_PLAN!$C$3:$C$312,INDEX(BD_CICLO!$F$3:$F$54,MATCH(E422&amp;"|"&amp;H422,BD_CICLO!$G$3:$G$54,0))),""))</f>
        <v/>
      </c>
      <c r="L422" s="9"/>
      <c r="M422" s="9"/>
      <c r="N422" s="1" t="str">
        <f aca="false">IF(C422="","",C422&amp;"|"&amp;COUNTIF(C$3:C422,C422))</f>
        <v/>
      </c>
      <c r="O422" s="1" t="str">
        <f aca="false">IF(OR(C422="",M422=""),"",C422&amp;"|"&amp;COUNTIFS(C$3:C422,C422,M$3:M422,"&lt;&gt;"))</f>
        <v/>
      </c>
    </row>
    <row r="423" customFormat="false" ht="15" hidden="false" customHeight="false" outlineLevel="0" collapsed="false">
      <c r="B423" s="7"/>
      <c r="C423" s="5"/>
      <c r="D423" s="9" t="str">
        <f aca="false">IF(C423="","",IFERROR(VLOOKUP(C423,EQUIPOS!$B$3:$C$18,2,0),"NO EXISTE"))</f>
        <v/>
      </c>
      <c r="E423" s="9" t="str">
        <f aca="false">IF(C423="","",IFERROR(VLOOKUP(C423,EQUIPOS!$B$3:$F$18,5,0),""))</f>
        <v/>
      </c>
      <c r="F423" s="5" t="str">
        <f aca="false">IF(C423="","",IFERROR(VLOOKUP(C423,EQUIPOS!$B$3:$G$18,6,0),""))</f>
        <v/>
      </c>
      <c r="G423" s="8"/>
      <c r="H423" s="5"/>
      <c r="I423" s="5"/>
      <c r="J423" s="9"/>
      <c r="K423" s="17" t="str">
        <f aca="false">IF(H423="","",IFERROR(SUMIFS(BD_PLAN!$I$3:$I$312,BD_PLAN!$B$3:$B$312,E423,BD_PLAN!$C$3:$C$312,INDEX(BD_CICLO!$F$3:$F$54,MATCH(E423&amp;"|"&amp;H423,BD_CICLO!$G$3:$G$54,0))),""))</f>
        <v/>
      </c>
      <c r="L423" s="9"/>
      <c r="M423" s="9"/>
      <c r="N423" s="1" t="str">
        <f aca="false">IF(C423="","",C423&amp;"|"&amp;COUNTIF(C$3:C423,C423))</f>
        <v/>
      </c>
      <c r="O423" s="1" t="str">
        <f aca="false">IF(OR(C423="",M423=""),"",C423&amp;"|"&amp;COUNTIFS(C$3:C423,C423,M$3:M423,"&lt;&gt;"))</f>
        <v/>
      </c>
    </row>
    <row r="424" customFormat="false" ht="15" hidden="false" customHeight="false" outlineLevel="0" collapsed="false">
      <c r="B424" s="7"/>
      <c r="C424" s="5"/>
      <c r="D424" s="9" t="str">
        <f aca="false">IF(C424="","",IFERROR(VLOOKUP(C424,EQUIPOS!$B$3:$C$18,2,0),"NO EXISTE"))</f>
        <v/>
      </c>
      <c r="E424" s="9" t="str">
        <f aca="false">IF(C424="","",IFERROR(VLOOKUP(C424,EQUIPOS!$B$3:$F$18,5,0),""))</f>
        <v/>
      </c>
      <c r="F424" s="5" t="str">
        <f aca="false">IF(C424="","",IFERROR(VLOOKUP(C424,EQUIPOS!$B$3:$G$18,6,0),""))</f>
        <v/>
      </c>
      <c r="G424" s="8"/>
      <c r="H424" s="5"/>
      <c r="I424" s="5"/>
      <c r="J424" s="9"/>
      <c r="K424" s="17" t="str">
        <f aca="false">IF(H424="","",IFERROR(SUMIFS(BD_PLAN!$I$3:$I$312,BD_PLAN!$B$3:$B$312,E424,BD_PLAN!$C$3:$C$312,INDEX(BD_CICLO!$F$3:$F$54,MATCH(E424&amp;"|"&amp;H424,BD_CICLO!$G$3:$G$54,0))),""))</f>
        <v/>
      </c>
      <c r="L424" s="9"/>
      <c r="M424" s="9"/>
      <c r="N424" s="1" t="str">
        <f aca="false">IF(C424="","",C424&amp;"|"&amp;COUNTIF(C$3:C424,C424))</f>
        <v/>
      </c>
      <c r="O424" s="1" t="str">
        <f aca="false">IF(OR(C424="",M424=""),"",C424&amp;"|"&amp;COUNTIFS(C$3:C424,C424,M$3:M424,"&lt;&gt;"))</f>
        <v/>
      </c>
    </row>
    <row r="425" customFormat="false" ht="15" hidden="false" customHeight="false" outlineLevel="0" collapsed="false">
      <c r="B425" s="7"/>
      <c r="C425" s="5"/>
      <c r="D425" s="9" t="str">
        <f aca="false">IF(C425="","",IFERROR(VLOOKUP(C425,EQUIPOS!$B$3:$C$18,2,0),"NO EXISTE"))</f>
        <v/>
      </c>
      <c r="E425" s="9" t="str">
        <f aca="false">IF(C425="","",IFERROR(VLOOKUP(C425,EQUIPOS!$B$3:$F$18,5,0),""))</f>
        <v/>
      </c>
      <c r="F425" s="5" t="str">
        <f aca="false">IF(C425="","",IFERROR(VLOOKUP(C425,EQUIPOS!$B$3:$G$18,6,0),""))</f>
        <v/>
      </c>
      <c r="G425" s="8"/>
      <c r="H425" s="5"/>
      <c r="I425" s="5"/>
      <c r="J425" s="9"/>
      <c r="K425" s="17" t="str">
        <f aca="false">IF(H425="","",IFERROR(SUMIFS(BD_PLAN!$I$3:$I$312,BD_PLAN!$B$3:$B$312,E425,BD_PLAN!$C$3:$C$312,INDEX(BD_CICLO!$F$3:$F$54,MATCH(E425&amp;"|"&amp;H425,BD_CICLO!$G$3:$G$54,0))),""))</f>
        <v/>
      </c>
      <c r="L425" s="9"/>
      <c r="M425" s="9"/>
      <c r="N425" s="1" t="str">
        <f aca="false">IF(C425="","",C425&amp;"|"&amp;COUNTIF(C$3:C425,C425))</f>
        <v/>
      </c>
      <c r="O425" s="1" t="str">
        <f aca="false">IF(OR(C425="",M425=""),"",C425&amp;"|"&amp;COUNTIFS(C$3:C425,C425,M$3:M425,"&lt;&gt;"))</f>
        <v/>
      </c>
    </row>
    <row r="426" customFormat="false" ht="15" hidden="false" customHeight="false" outlineLevel="0" collapsed="false">
      <c r="B426" s="7"/>
      <c r="C426" s="5"/>
      <c r="D426" s="9" t="str">
        <f aca="false">IF(C426="","",IFERROR(VLOOKUP(C426,EQUIPOS!$B$3:$C$18,2,0),"NO EXISTE"))</f>
        <v/>
      </c>
      <c r="E426" s="9" t="str">
        <f aca="false">IF(C426="","",IFERROR(VLOOKUP(C426,EQUIPOS!$B$3:$F$18,5,0),""))</f>
        <v/>
      </c>
      <c r="F426" s="5" t="str">
        <f aca="false">IF(C426="","",IFERROR(VLOOKUP(C426,EQUIPOS!$B$3:$G$18,6,0),""))</f>
        <v/>
      </c>
      <c r="G426" s="8"/>
      <c r="H426" s="5"/>
      <c r="I426" s="5"/>
      <c r="J426" s="9"/>
      <c r="K426" s="17" t="str">
        <f aca="false">IF(H426="","",IFERROR(SUMIFS(BD_PLAN!$I$3:$I$312,BD_PLAN!$B$3:$B$312,E426,BD_PLAN!$C$3:$C$312,INDEX(BD_CICLO!$F$3:$F$54,MATCH(E426&amp;"|"&amp;H426,BD_CICLO!$G$3:$G$54,0))),""))</f>
        <v/>
      </c>
      <c r="L426" s="9"/>
      <c r="M426" s="9"/>
      <c r="N426" s="1" t="str">
        <f aca="false">IF(C426="","",C426&amp;"|"&amp;COUNTIF(C$3:C426,C426))</f>
        <v/>
      </c>
      <c r="O426" s="1" t="str">
        <f aca="false">IF(OR(C426="",M426=""),"",C426&amp;"|"&amp;COUNTIFS(C$3:C426,C426,M$3:M426,"&lt;&gt;"))</f>
        <v/>
      </c>
    </row>
    <row r="427" customFormat="false" ht="15" hidden="false" customHeight="false" outlineLevel="0" collapsed="false">
      <c r="B427" s="7"/>
      <c r="C427" s="5"/>
      <c r="D427" s="9" t="str">
        <f aca="false">IF(C427="","",IFERROR(VLOOKUP(C427,EQUIPOS!$B$3:$C$18,2,0),"NO EXISTE"))</f>
        <v/>
      </c>
      <c r="E427" s="9" t="str">
        <f aca="false">IF(C427="","",IFERROR(VLOOKUP(C427,EQUIPOS!$B$3:$F$18,5,0),""))</f>
        <v/>
      </c>
      <c r="F427" s="5" t="str">
        <f aca="false">IF(C427="","",IFERROR(VLOOKUP(C427,EQUIPOS!$B$3:$G$18,6,0),""))</f>
        <v/>
      </c>
      <c r="G427" s="8"/>
      <c r="H427" s="5"/>
      <c r="I427" s="5"/>
      <c r="J427" s="9"/>
      <c r="K427" s="17" t="str">
        <f aca="false">IF(H427="","",IFERROR(SUMIFS(BD_PLAN!$I$3:$I$312,BD_PLAN!$B$3:$B$312,E427,BD_PLAN!$C$3:$C$312,INDEX(BD_CICLO!$F$3:$F$54,MATCH(E427&amp;"|"&amp;H427,BD_CICLO!$G$3:$G$54,0))),""))</f>
        <v/>
      </c>
      <c r="L427" s="9"/>
      <c r="M427" s="9"/>
      <c r="N427" s="1" t="str">
        <f aca="false">IF(C427="","",C427&amp;"|"&amp;COUNTIF(C$3:C427,C427))</f>
        <v/>
      </c>
      <c r="O427" s="1" t="str">
        <f aca="false">IF(OR(C427="",M427=""),"",C427&amp;"|"&amp;COUNTIFS(C$3:C427,C427,M$3:M427,"&lt;&gt;"))</f>
        <v/>
      </c>
    </row>
    <row r="428" customFormat="false" ht="15" hidden="false" customHeight="false" outlineLevel="0" collapsed="false">
      <c r="B428" s="7"/>
      <c r="C428" s="5"/>
      <c r="D428" s="9" t="str">
        <f aca="false">IF(C428="","",IFERROR(VLOOKUP(C428,EQUIPOS!$B$3:$C$18,2,0),"NO EXISTE"))</f>
        <v/>
      </c>
      <c r="E428" s="9" t="str">
        <f aca="false">IF(C428="","",IFERROR(VLOOKUP(C428,EQUIPOS!$B$3:$F$18,5,0),""))</f>
        <v/>
      </c>
      <c r="F428" s="5" t="str">
        <f aca="false">IF(C428="","",IFERROR(VLOOKUP(C428,EQUIPOS!$B$3:$G$18,6,0),""))</f>
        <v/>
      </c>
      <c r="G428" s="8"/>
      <c r="H428" s="5"/>
      <c r="I428" s="5"/>
      <c r="J428" s="9"/>
      <c r="K428" s="17" t="str">
        <f aca="false">IF(H428="","",IFERROR(SUMIFS(BD_PLAN!$I$3:$I$312,BD_PLAN!$B$3:$B$312,E428,BD_PLAN!$C$3:$C$312,INDEX(BD_CICLO!$F$3:$F$54,MATCH(E428&amp;"|"&amp;H428,BD_CICLO!$G$3:$G$54,0))),""))</f>
        <v/>
      </c>
      <c r="L428" s="9"/>
      <c r="M428" s="9"/>
      <c r="N428" s="1" t="str">
        <f aca="false">IF(C428="","",C428&amp;"|"&amp;COUNTIF(C$3:C428,C428))</f>
        <v/>
      </c>
      <c r="O428" s="1" t="str">
        <f aca="false">IF(OR(C428="",M428=""),"",C428&amp;"|"&amp;COUNTIFS(C$3:C428,C428,M$3:M428,"&lt;&gt;"))</f>
        <v/>
      </c>
    </row>
    <row r="429" customFormat="false" ht="15" hidden="false" customHeight="false" outlineLevel="0" collapsed="false">
      <c r="B429" s="7"/>
      <c r="C429" s="5"/>
      <c r="D429" s="9" t="str">
        <f aca="false">IF(C429="","",IFERROR(VLOOKUP(C429,EQUIPOS!$B$3:$C$18,2,0),"NO EXISTE"))</f>
        <v/>
      </c>
      <c r="E429" s="9" t="str">
        <f aca="false">IF(C429="","",IFERROR(VLOOKUP(C429,EQUIPOS!$B$3:$F$18,5,0),""))</f>
        <v/>
      </c>
      <c r="F429" s="5" t="str">
        <f aca="false">IF(C429="","",IFERROR(VLOOKUP(C429,EQUIPOS!$B$3:$G$18,6,0),""))</f>
        <v/>
      </c>
      <c r="G429" s="8"/>
      <c r="H429" s="5"/>
      <c r="I429" s="5"/>
      <c r="J429" s="9"/>
      <c r="K429" s="17" t="str">
        <f aca="false">IF(H429="","",IFERROR(SUMIFS(BD_PLAN!$I$3:$I$312,BD_PLAN!$B$3:$B$312,E429,BD_PLAN!$C$3:$C$312,INDEX(BD_CICLO!$F$3:$F$54,MATCH(E429&amp;"|"&amp;H429,BD_CICLO!$G$3:$G$54,0))),""))</f>
        <v/>
      </c>
      <c r="L429" s="9"/>
      <c r="M429" s="9"/>
      <c r="N429" s="1" t="str">
        <f aca="false">IF(C429="","",C429&amp;"|"&amp;COUNTIF(C$3:C429,C429))</f>
        <v/>
      </c>
      <c r="O429" s="1" t="str">
        <f aca="false">IF(OR(C429="",M429=""),"",C429&amp;"|"&amp;COUNTIFS(C$3:C429,C429,M$3:M429,"&lt;&gt;"))</f>
        <v/>
      </c>
    </row>
    <row r="430" customFormat="false" ht="15" hidden="false" customHeight="false" outlineLevel="0" collapsed="false">
      <c r="B430" s="7"/>
      <c r="C430" s="5"/>
      <c r="D430" s="9" t="str">
        <f aca="false">IF(C430="","",IFERROR(VLOOKUP(C430,EQUIPOS!$B$3:$C$18,2,0),"NO EXISTE"))</f>
        <v/>
      </c>
      <c r="E430" s="9" t="str">
        <f aca="false">IF(C430="","",IFERROR(VLOOKUP(C430,EQUIPOS!$B$3:$F$18,5,0),""))</f>
        <v/>
      </c>
      <c r="F430" s="5" t="str">
        <f aca="false">IF(C430="","",IFERROR(VLOOKUP(C430,EQUIPOS!$B$3:$G$18,6,0),""))</f>
        <v/>
      </c>
      <c r="G430" s="8"/>
      <c r="H430" s="5"/>
      <c r="I430" s="5"/>
      <c r="J430" s="9"/>
      <c r="K430" s="17" t="str">
        <f aca="false">IF(H430="","",IFERROR(SUMIFS(BD_PLAN!$I$3:$I$312,BD_PLAN!$B$3:$B$312,E430,BD_PLAN!$C$3:$C$312,INDEX(BD_CICLO!$F$3:$F$54,MATCH(E430&amp;"|"&amp;H430,BD_CICLO!$G$3:$G$54,0))),""))</f>
        <v/>
      </c>
      <c r="L430" s="9"/>
      <c r="M430" s="9"/>
      <c r="N430" s="1" t="str">
        <f aca="false">IF(C430="","",C430&amp;"|"&amp;COUNTIF(C$3:C430,C430))</f>
        <v/>
      </c>
      <c r="O430" s="1" t="str">
        <f aca="false">IF(OR(C430="",M430=""),"",C430&amp;"|"&amp;COUNTIFS(C$3:C430,C430,M$3:M430,"&lt;&gt;"))</f>
        <v/>
      </c>
    </row>
    <row r="431" customFormat="false" ht="15" hidden="false" customHeight="false" outlineLevel="0" collapsed="false">
      <c r="B431" s="7"/>
      <c r="C431" s="5"/>
      <c r="D431" s="9" t="str">
        <f aca="false">IF(C431="","",IFERROR(VLOOKUP(C431,EQUIPOS!$B$3:$C$18,2,0),"NO EXISTE"))</f>
        <v/>
      </c>
      <c r="E431" s="9" t="str">
        <f aca="false">IF(C431="","",IFERROR(VLOOKUP(C431,EQUIPOS!$B$3:$F$18,5,0),""))</f>
        <v/>
      </c>
      <c r="F431" s="5" t="str">
        <f aca="false">IF(C431="","",IFERROR(VLOOKUP(C431,EQUIPOS!$B$3:$G$18,6,0),""))</f>
        <v/>
      </c>
      <c r="G431" s="8"/>
      <c r="H431" s="5"/>
      <c r="I431" s="5"/>
      <c r="J431" s="9"/>
      <c r="K431" s="17" t="str">
        <f aca="false">IF(H431="","",IFERROR(SUMIFS(BD_PLAN!$I$3:$I$312,BD_PLAN!$B$3:$B$312,E431,BD_PLAN!$C$3:$C$312,INDEX(BD_CICLO!$F$3:$F$54,MATCH(E431&amp;"|"&amp;H431,BD_CICLO!$G$3:$G$54,0))),""))</f>
        <v/>
      </c>
      <c r="L431" s="9"/>
      <c r="M431" s="9"/>
      <c r="N431" s="1" t="str">
        <f aca="false">IF(C431="","",C431&amp;"|"&amp;COUNTIF(C$3:C431,C431))</f>
        <v/>
      </c>
      <c r="O431" s="1" t="str">
        <f aca="false">IF(OR(C431="",M431=""),"",C431&amp;"|"&amp;COUNTIFS(C$3:C431,C431,M$3:M431,"&lt;&gt;"))</f>
        <v/>
      </c>
    </row>
    <row r="432" customFormat="false" ht="15" hidden="false" customHeight="false" outlineLevel="0" collapsed="false">
      <c r="B432" s="7"/>
      <c r="C432" s="5"/>
      <c r="D432" s="9" t="str">
        <f aca="false">IF(C432="","",IFERROR(VLOOKUP(C432,EQUIPOS!$B$3:$C$18,2,0),"NO EXISTE"))</f>
        <v/>
      </c>
      <c r="E432" s="9" t="str">
        <f aca="false">IF(C432="","",IFERROR(VLOOKUP(C432,EQUIPOS!$B$3:$F$18,5,0),""))</f>
        <v/>
      </c>
      <c r="F432" s="5" t="str">
        <f aca="false">IF(C432="","",IFERROR(VLOOKUP(C432,EQUIPOS!$B$3:$G$18,6,0),""))</f>
        <v/>
      </c>
      <c r="G432" s="8"/>
      <c r="H432" s="5"/>
      <c r="I432" s="5"/>
      <c r="J432" s="9"/>
      <c r="K432" s="17" t="str">
        <f aca="false">IF(H432="","",IFERROR(SUMIFS(BD_PLAN!$I$3:$I$312,BD_PLAN!$B$3:$B$312,E432,BD_PLAN!$C$3:$C$312,INDEX(BD_CICLO!$F$3:$F$54,MATCH(E432&amp;"|"&amp;H432,BD_CICLO!$G$3:$G$54,0))),""))</f>
        <v/>
      </c>
      <c r="L432" s="9"/>
      <c r="M432" s="9"/>
      <c r="N432" s="1" t="str">
        <f aca="false">IF(C432="","",C432&amp;"|"&amp;COUNTIF(C$3:C432,C432))</f>
        <v/>
      </c>
      <c r="O432" s="1" t="str">
        <f aca="false">IF(OR(C432="",M432=""),"",C432&amp;"|"&amp;COUNTIFS(C$3:C432,C432,M$3:M432,"&lt;&gt;"))</f>
        <v/>
      </c>
    </row>
    <row r="433" customFormat="false" ht="15" hidden="false" customHeight="false" outlineLevel="0" collapsed="false">
      <c r="B433" s="7"/>
      <c r="C433" s="5"/>
      <c r="D433" s="9" t="str">
        <f aca="false">IF(C433="","",IFERROR(VLOOKUP(C433,EQUIPOS!$B$3:$C$18,2,0),"NO EXISTE"))</f>
        <v/>
      </c>
      <c r="E433" s="9" t="str">
        <f aca="false">IF(C433="","",IFERROR(VLOOKUP(C433,EQUIPOS!$B$3:$F$18,5,0),""))</f>
        <v/>
      </c>
      <c r="F433" s="5" t="str">
        <f aca="false">IF(C433="","",IFERROR(VLOOKUP(C433,EQUIPOS!$B$3:$G$18,6,0),""))</f>
        <v/>
      </c>
      <c r="G433" s="8"/>
      <c r="H433" s="5"/>
      <c r="I433" s="5"/>
      <c r="J433" s="9"/>
      <c r="K433" s="17" t="str">
        <f aca="false">IF(H433="","",IFERROR(SUMIFS(BD_PLAN!$I$3:$I$312,BD_PLAN!$B$3:$B$312,E433,BD_PLAN!$C$3:$C$312,INDEX(BD_CICLO!$F$3:$F$54,MATCH(E433&amp;"|"&amp;H433,BD_CICLO!$G$3:$G$54,0))),""))</f>
        <v/>
      </c>
      <c r="L433" s="9"/>
      <c r="M433" s="9"/>
      <c r="N433" s="1" t="str">
        <f aca="false">IF(C433="","",C433&amp;"|"&amp;COUNTIF(C$3:C433,C433))</f>
        <v/>
      </c>
      <c r="O433" s="1" t="str">
        <f aca="false">IF(OR(C433="",M433=""),"",C433&amp;"|"&amp;COUNTIFS(C$3:C433,C433,M$3:M433,"&lt;&gt;"))</f>
        <v/>
      </c>
    </row>
    <row r="434" customFormat="false" ht="15" hidden="false" customHeight="false" outlineLevel="0" collapsed="false">
      <c r="B434" s="7"/>
      <c r="C434" s="5"/>
      <c r="D434" s="9" t="str">
        <f aca="false">IF(C434="","",IFERROR(VLOOKUP(C434,EQUIPOS!$B$3:$C$18,2,0),"NO EXISTE"))</f>
        <v/>
      </c>
      <c r="E434" s="9" t="str">
        <f aca="false">IF(C434="","",IFERROR(VLOOKUP(C434,EQUIPOS!$B$3:$F$18,5,0),""))</f>
        <v/>
      </c>
      <c r="F434" s="5" t="str">
        <f aca="false">IF(C434="","",IFERROR(VLOOKUP(C434,EQUIPOS!$B$3:$G$18,6,0),""))</f>
        <v/>
      </c>
      <c r="G434" s="8"/>
      <c r="H434" s="5"/>
      <c r="I434" s="5"/>
      <c r="J434" s="9"/>
      <c r="K434" s="17" t="str">
        <f aca="false">IF(H434="","",IFERROR(SUMIFS(BD_PLAN!$I$3:$I$312,BD_PLAN!$B$3:$B$312,E434,BD_PLAN!$C$3:$C$312,INDEX(BD_CICLO!$F$3:$F$54,MATCH(E434&amp;"|"&amp;H434,BD_CICLO!$G$3:$G$54,0))),""))</f>
        <v/>
      </c>
      <c r="L434" s="9"/>
      <c r="M434" s="9"/>
      <c r="N434" s="1" t="str">
        <f aca="false">IF(C434="","",C434&amp;"|"&amp;COUNTIF(C$3:C434,C434))</f>
        <v/>
      </c>
      <c r="O434" s="1" t="str">
        <f aca="false">IF(OR(C434="",M434=""),"",C434&amp;"|"&amp;COUNTIFS(C$3:C434,C434,M$3:M434,"&lt;&gt;"))</f>
        <v/>
      </c>
    </row>
    <row r="435" customFormat="false" ht="15" hidden="false" customHeight="false" outlineLevel="0" collapsed="false">
      <c r="B435" s="7"/>
      <c r="C435" s="5"/>
      <c r="D435" s="9" t="str">
        <f aca="false">IF(C435="","",IFERROR(VLOOKUP(C435,EQUIPOS!$B$3:$C$18,2,0),"NO EXISTE"))</f>
        <v/>
      </c>
      <c r="E435" s="9" t="str">
        <f aca="false">IF(C435="","",IFERROR(VLOOKUP(C435,EQUIPOS!$B$3:$F$18,5,0),""))</f>
        <v/>
      </c>
      <c r="F435" s="5" t="str">
        <f aca="false">IF(C435="","",IFERROR(VLOOKUP(C435,EQUIPOS!$B$3:$G$18,6,0),""))</f>
        <v/>
      </c>
      <c r="G435" s="8"/>
      <c r="H435" s="5"/>
      <c r="I435" s="5"/>
      <c r="J435" s="9"/>
      <c r="K435" s="17" t="str">
        <f aca="false">IF(H435="","",IFERROR(SUMIFS(BD_PLAN!$I$3:$I$312,BD_PLAN!$B$3:$B$312,E435,BD_PLAN!$C$3:$C$312,INDEX(BD_CICLO!$F$3:$F$54,MATCH(E435&amp;"|"&amp;H435,BD_CICLO!$G$3:$G$54,0))),""))</f>
        <v/>
      </c>
      <c r="L435" s="9"/>
      <c r="M435" s="9"/>
      <c r="N435" s="1" t="str">
        <f aca="false">IF(C435="","",C435&amp;"|"&amp;COUNTIF(C$3:C435,C435))</f>
        <v/>
      </c>
      <c r="O435" s="1" t="str">
        <f aca="false">IF(OR(C435="",M435=""),"",C435&amp;"|"&amp;COUNTIFS(C$3:C435,C435,M$3:M435,"&lt;&gt;"))</f>
        <v/>
      </c>
    </row>
    <row r="436" customFormat="false" ht="15" hidden="false" customHeight="false" outlineLevel="0" collapsed="false">
      <c r="B436" s="7"/>
      <c r="C436" s="5"/>
      <c r="D436" s="9" t="str">
        <f aca="false">IF(C436="","",IFERROR(VLOOKUP(C436,EQUIPOS!$B$3:$C$18,2,0),"NO EXISTE"))</f>
        <v/>
      </c>
      <c r="E436" s="9" t="str">
        <f aca="false">IF(C436="","",IFERROR(VLOOKUP(C436,EQUIPOS!$B$3:$F$18,5,0),""))</f>
        <v/>
      </c>
      <c r="F436" s="5" t="str">
        <f aca="false">IF(C436="","",IFERROR(VLOOKUP(C436,EQUIPOS!$B$3:$G$18,6,0),""))</f>
        <v/>
      </c>
      <c r="G436" s="8"/>
      <c r="H436" s="5"/>
      <c r="I436" s="5"/>
      <c r="J436" s="9"/>
      <c r="K436" s="17" t="str">
        <f aca="false">IF(H436="","",IFERROR(SUMIFS(BD_PLAN!$I$3:$I$312,BD_PLAN!$B$3:$B$312,E436,BD_PLAN!$C$3:$C$312,INDEX(BD_CICLO!$F$3:$F$54,MATCH(E436&amp;"|"&amp;H436,BD_CICLO!$G$3:$G$54,0))),""))</f>
        <v/>
      </c>
      <c r="L436" s="9"/>
      <c r="M436" s="9"/>
      <c r="N436" s="1" t="str">
        <f aca="false">IF(C436="","",C436&amp;"|"&amp;COUNTIF(C$3:C436,C436))</f>
        <v/>
      </c>
      <c r="O436" s="1" t="str">
        <f aca="false">IF(OR(C436="",M436=""),"",C436&amp;"|"&amp;COUNTIFS(C$3:C436,C436,M$3:M436,"&lt;&gt;"))</f>
        <v/>
      </c>
    </row>
    <row r="437" customFormat="false" ht="15" hidden="false" customHeight="false" outlineLevel="0" collapsed="false">
      <c r="B437" s="7"/>
      <c r="C437" s="5"/>
      <c r="D437" s="9" t="str">
        <f aca="false">IF(C437="","",IFERROR(VLOOKUP(C437,EQUIPOS!$B$3:$C$18,2,0),"NO EXISTE"))</f>
        <v/>
      </c>
      <c r="E437" s="9" t="str">
        <f aca="false">IF(C437="","",IFERROR(VLOOKUP(C437,EQUIPOS!$B$3:$F$18,5,0),""))</f>
        <v/>
      </c>
      <c r="F437" s="5" t="str">
        <f aca="false">IF(C437="","",IFERROR(VLOOKUP(C437,EQUIPOS!$B$3:$G$18,6,0),""))</f>
        <v/>
      </c>
      <c r="G437" s="8"/>
      <c r="H437" s="5"/>
      <c r="I437" s="5"/>
      <c r="J437" s="9"/>
      <c r="K437" s="17" t="str">
        <f aca="false">IF(H437="","",IFERROR(SUMIFS(BD_PLAN!$I$3:$I$312,BD_PLAN!$B$3:$B$312,E437,BD_PLAN!$C$3:$C$312,INDEX(BD_CICLO!$F$3:$F$54,MATCH(E437&amp;"|"&amp;H437,BD_CICLO!$G$3:$G$54,0))),""))</f>
        <v/>
      </c>
      <c r="L437" s="9"/>
      <c r="M437" s="9"/>
      <c r="N437" s="1" t="str">
        <f aca="false">IF(C437="","",C437&amp;"|"&amp;COUNTIF(C$3:C437,C437))</f>
        <v/>
      </c>
      <c r="O437" s="1" t="str">
        <f aca="false">IF(OR(C437="",M437=""),"",C437&amp;"|"&amp;COUNTIFS(C$3:C437,C437,M$3:M437,"&lt;&gt;"))</f>
        <v/>
      </c>
    </row>
    <row r="438" customFormat="false" ht="15" hidden="false" customHeight="false" outlineLevel="0" collapsed="false">
      <c r="B438" s="7"/>
      <c r="C438" s="5"/>
      <c r="D438" s="9" t="str">
        <f aca="false">IF(C438="","",IFERROR(VLOOKUP(C438,EQUIPOS!$B$3:$C$18,2,0),"NO EXISTE"))</f>
        <v/>
      </c>
      <c r="E438" s="9" t="str">
        <f aca="false">IF(C438="","",IFERROR(VLOOKUP(C438,EQUIPOS!$B$3:$F$18,5,0),""))</f>
        <v/>
      </c>
      <c r="F438" s="5" t="str">
        <f aca="false">IF(C438="","",IFERROR(VLOOKUP(C438,EQUIPOS!$B$3:$G$18,6,0),""))</f>
        <v/>
      </c>
      <c r="G438" s="8"/>
      <c r="H438" s="5"/>
      <c r="I438" s="5"/>
      <c r="J438" s="9"/>
      <c r="K438" s="17" t="str">
        <f aca="false">IF(H438="","",IFERROR(SUMIFS(BD_PLAN!$I$3:$I$312,BD_PLAN!$B$3:$B$312,E438,BD_PLAN!$C$3:$C$312,INDEX(BD_CICLO!$F$3:$F$54,MATCH(E438&amp;"|"&amp;H438,BD_CICLO!$G$3:$G$54,0))),""))</f>
        <v/>
      </c>
      <c r="L438" s="9"/>
      <c r="M438" s="9"/>
      <c r="N438" s="1" t="str">
        <f aca="false">IF(C438="","",C438&amp;"|"&amp;COUNTIF(C$3:C438,C438))</f>
        <v/>
      </c>
      <c r="O438" s="1" t="str">
        <f aca="false">IF(OR(C438="",M438=""),"",C438&amp;"|"&amp;COUNTIFS(C$3:C438,C438,M$3:M438,"&lt;&gt;"))</f>
        <v/>
      </c>
    </row>
    <row r="439" customFormat="false" ht="15" hidden="false" customHeight="false" outlineLevel="0" collapsed="false">
      <c r="B439" s="7"/>
      <c r="C439" s="5"/>
      <c r="D439" s="9" t="str">
        <f aca="false">IF(C439="","",IFERROR(VLOOKUP(C439,EQUIPOS!$B$3:$C$18,2,0),"NO EXISTE"))</f>
        <v/>
      </c>
      <c r="E439" s="9" t="str">
        <f aca="false">IF(C439="","",IFERROR(VLOOKUP(C439,EQUIPOS!$B$3:$F$18,5,0),""))</f>
        <v/>
      </c>
      <c r="F439" s="5" t="str">
        <f aca="false">IF(C439="","",IFERROR(VLOOKUP(C439,EQUIPOS!$B$3:$G$18,6,0),""))</f>
        <v/>
      </c>
      <c r="G439" s="8"/>
      <c r="H439" s="5"/>
      <c r="I439" s="5"/>
      <c r="J439" s="9"/>
      <c r="K439" s="17" t="str">
        <f aca="false">IF(H439="","",IFERROR(SUMIFS(BD_PLAN!$I$3:$I$312,BD_PLAN!$B$3:$B$312,E439,BD_PLAN!$C$3:$C$312,INDEX(BD_CICLO!$F$3:$F$54,MATCH(E439&amp;"|"&amp;H439,BD_CICLO!$G$3:$G$54,0))),""))</f>
        <v/>
      </c>
      <c r="L439" s="9"/>
      <c r="M439" s="9"/>
      <c r="N439" s="1" t="str">
        <f aca="false">IF(C439="","",C439&amp;"|"&amp;COUNTIF(C$3:C439,C439))</f>
        <v/>
      </c>
      <c r="O439" s="1" t="str">
        <f aca="false">IF(OR(C439="",M439=""),"",C439&amp;"|"&amp;COUNTIFS(C$3:C439,C439,M$3:M439,"&lt;&gt;"))</f>
        <v/>
      </c>
    </row>
    <row r="440" customFormat="false" ht="15" hidden="false" customHeight="false" outlineLevel="0" collapsed="false">
      <c r="B440" s="7"/>
      <c r="C440" s="5"/>
      <c r="D440" s="9" t="str">
        <f aca="false">IF(C440="","",IFERROR(VLOOKUP(C440,EQUIPOS!$B$3:$C$18,2,0),"NO EXISTE"))</f>
        <v/>
      </c>
      <c r="E440" s="9" t="str">
        <f aca="false">IF(C440="","",IFERROR(VLOOKUP(C440,EQUIPOS!$B$3:$F$18,5,0),""))</f>
        <v/>
      </c>
      <c r="F440" s="5" t="str">
        <f aca="false">IF(C440="","",IFERROR(VLOOKUP(C440,EQUIPOS!$B$3:$G$18,6,0),""))</f>
        <v/>
      </c>
      <c r="G440" s="8"/>
      <c r="H440" s="5"/>
      <c r="I440" s="5"/>
      <c r="J440" s="9"/>
      <c r="K440" s="17" t="str">
        <f aca="false">IF(H440="","",IFERROR(SUMIFS(BD_PLAN!$I$3:$I$312,BD_PLAN!$B$3:$B$312,E440,BD_PLAN!$C$3:$C$312,INDEX(BD_CICLO!$F$3:$F$54,MATCH(E440&amp;"|"&amp;H440,BD_CICLO!$G$3:$G$54,0))),""))</f>
        <v/>
      </c>
      <c r="L440" s="9"/>
      <c r="M440" s="9"/>
      <c r="N440" s="1" t="str">
        <f aca="false">IF(C440="","",C440&amp;"|"&amp;COUNTIF(C$3:C440,C440))</f>
        <v/>
      </c>
      <c r="O440" s="1" t="str">
        <f aca="false">IF(OR(C440="",M440=""),"",C440&amp;"|"&amp;COUNTIFS(C$3:C440,C440,M$3:M440,"&lt;&gt;"))</f>
        <v/>
      </c>
    </row>
    <row r="441" customFormat="false" ht="15" hidden="false" customHeight="false" outlineLevel="0" collapsed="false">
      <c r="B441" s="7"/>
      <c r="C441" s="5"/>
      <c r="D441" s="9" t="str">
        <f aca="false">IF(C441="","",IFERROR(VLOOKUP(C441,EQUIPOS!$B$3:$C$18,2,0),"NO EXISTE"))</f>
        <v/>
      </c>
      <c r="E441" s="9" t="str">
        <f aca="false">IF(C441="","",IFERROR(VLOOKUP(C441,EQUIPOS!$B$3:$F$18,5,0),""))</f>
        <v/>
      </c>
      <c r="F441" s="5" t="str">
        <f aca="false">IF(C441="","",IFERROR(VLOOKUP(C441,EQUIPOS!$B$3:$G$18,6,0),""))</f>
        <v/>
      </c>
      <c r="G441" s="8"/>
      <c r="H441" s="5"/>
      <c r="I441" s="5"/>
      <c r="J441" s="9"/>
      <c r="K441" s="17" t="str">
        <f aca="false">IF(H441="","",IFERROR(SUMIFS(BD_PLAN!$I$3:$I$312,BD_PLAN!$B$3:$B$312,E441,BD_PLAN!$C$3:$C$312,INDEX(BD_CICLO!$F$3:$F$54,MATCH(E441&amp;"|"&amp;H441,BD_CICLO!$G$3:$G$54,0))),""))</f>
        <v/>
      </c>
      <c r="L441" s="9"/>
      <c r="M441" s="9"/>
      <c r="N441" s="1" t="str">
        <f aca="false">IF(C441="","",C441&amp;"|"&amp;COUNTIF(C$3:C441,C441))</f>
        <v/>
      </c>
      <c r="O441" s="1" t="str">
        <f aca="false">IF(OR(C441="",M441=""),"",C441&amp;"|"&amp;COUNTIFS(C$3:C441,C441,M$3:M441,"&lt;&gt;"))</f>
        <v/>
      </c>
    </row>
    <row r="442" customFormat="false" ht="15" hidden="false" customHeight="false" outlineLevel="0" collapsed="false">
      <c r="B442" s="7"/>
      <c r="C442" s="5"/>
      <c r="D442" s="9" t="str">
        <f aca="false">IF(C442="","",IFERROR(VLOOKUP(C442,EQUIPOS!$B$3:$C$18,2,0),"NO EXISTE"))</f>
        <v/>
      </c>
      <c r="E442" s="9" t="str">
        <f aca="false">IF(C442="","",IFERROR(VLOOKUP(C442,EQUIPOS!$B$3:$F$18,5,0),""))</f>
        <v/>
      </c>
      <c r="F442" s="5" t="str">
        <f aca="false">IF(C442="","",IFERROR(VLOOKUP(C442,EQUIPOS!$B$3:$G$18,6,0),""))</f>
        <v/>
      </c>
      <c r="G442" s="8"/>
      <c r="H442" s="5"/>
      <c r="I442" s="5"/>
      <c r="J442" s="9"/>
      <c r="K442" s="17" t="str">
        <f aca="false">IF(H442="","",IFERROR(SUMIFS(BD_PLAN!$I$3:$I$312,BD_PLAN!$B$3:$B$312,E442,BD_PLAN!$C$3:$C$312,INDEX(BD_CICLO!$F$3:$F$54,MATCH(E442&amp;"|"&amp;H442,BD_CICLO!$G$3:$G$54,0))),""))</f>
        <v/>
      </c>
      <c r="L442" s="9"/>
      <c r="M442" s="9"/>
      <c r="N442" s="1" t="str">
        <f aca="false">IF(C442="","",C442&amp;"|"&amp;COUNTIF(C$3:C442,C442))</f>
        <v/>
      </c>
      <c r="O442" s="1" t="str">
        <f aca="false">IF(OR(C442="",M442=""),"",C442&amp;"|"&amp;COUNTIFS(C$3:C442,C442,M$3:M442,"&lt;&gt;"))</f>
        <v/>
      </c>
    </row>
    <row r="443" customFormat="false" ht="15" hidden="false" customHeight="false" outlineLevel="0" collapsed="false">
      <c r="B443" s="7"/>
      <c r="C443" s="5"/>
      <c r="D443" s="9" t="str">
        <f aca="false">IF(C443="","",IFERROR(VLOOKUP(C443,EQUIPOS!$B$3:$C$18,2,0),"NO EXISTE"))</f>
        <v/>
      </c>
      <c r="E443" s="9" t="str">
        <f aca="false">IF(C443="","",IFERROR(VLOOKUP(C443,EQUIPOS!$B$3:$F$18,5,0),""))</f>
        <v/>
      </c>
      <c r="F443" s="5" t="str">
        <f aca="false">IF(C443="","",IFERROR(VLOOKUP(C443,EQUIPOS!$B$3:$G$18,6,0),""))</f>
        <v/>
      </c>
      <c r="G443" s="8"/>
      <c r="H443" s="5"/>
      <c r="I443" s="5"/>
      <c r="J443" s="9"/>
      <c r="K443" s="17" t="str">
        <f aca="false">IF(H443="","",IFERROR(SUMIFS(BD_PLAN!$I$3:$I$312,BD_PLAN!$B$3:$B$312,E443,BD_PLAN!$C$3:$C$312,INDEX(BD_CICLO!$F$3:$F$54,MATCH(E443&amp;"|"&amp;H443,BD_CICLO!$G$3:$G$54,0))),""))</f>
        <v/>
      </c>
      <c r="L443" s="9"/>
      <c r="M443" s="9"/>
      <c r="N443" s="1" t="str">
        <f aca="false">IF(C443="","",C443&amp;"|"&amp;COUNTIF(C$3:C443,C443))</f>
        <v/>
      </c>
      <c r="O443" s="1" t="str">
        <f aca="false">IF(OR(C443="",M443=""),"",C443&amp;"|"&amp;COUNTIFS(C$3:C443,C443,M$3:M443,"&lt;&gt;"))</f>
        <v/>
      </c>
    </row>
    <row r="444" customFormat="false" ht="15" hidden="false" customHeight="false" outlineLevel="0" collapsed="false">
      <c r="B444" s="7"/>
      <c r="C444" s="5"/>
      <c r="D444" s="9" t="str">
        <f aca="false">IF(C444="","",IFERROR(VLOOKUP(C444,EQUIPOS!$B$3:$C$18,2,0),"NO EXISTE"))</f>
        <v/>
      </c>
      <c r="E444" s="9" t="str">
        <f aca="false">IF(C444="","",IFERROR(VLOOKUP(C444,EQUIPOS!$B$3:$F$18,5,0),""))</f>
        <v/>
      </c>
      <c r="F444" s="5" t="str">
        <f aca="false">IF(C444="","",IFERROR(VLOOKUP(C444,EQUIPOS!$B$3:$G$18,6,0),""))</f>
        <v/>
      </c>
      <c r="G444" s="8"/>
      <c r="H444" s="5"/>
      <c r="I444" s="5"/>
      <c r="J444" s="9"/>
      <c r="K444" s="17" t="str">
        <f aca="false">IF(H444="","",IFERROR(SUMIFS(BD_PLAN!$I$3:$I$312,BD_PLAN!$B$3:$B$312,E444,BD_PLAN!$C$3:$C$312,INDEX(BD_CICLO!$F$3:$F$54,MATCH(E444&amp;"|"&amp;H444,BD_CICLO!$G$3:$G$54,0))),""))</f>
        <v/>
      </c>
      <c r="L444" s="9"/>
      <c r="M444" s="9"/>
      <c r="N444" s="1" t="str">
        <f aca="false">IF(C444="","",C444&amp;"|"&amp;COUNTIF(C$3:C444,C444))</f>
        <v/>
      </c>
      <c r="O444" s="1" t="str">
        <f aca="false">IF(OR(C444="",M444=""),"",C444&amp;"|"&amp;COUNTIFS(C$3:C444,C444,M$3:M444,"&lt;&gt;"))</f>
        <v/>
      </c>
    </row>
    <row r="445" customFormat="false" ht="15" hidden="false" customHeight="false" outlineLevel="0" collapsed="false">
      <c r="B445" s="7"/>
      <c r="C445" s="5"/>
      <c r="D445" s="9" t="str">
        <f aca="false">IF(C445="","",IFERROR(VLOOKUP(C445,EQUIPOS!$B$3:$C$18,2,0),"NO EXISTE"))</f>
        <v/>
      </c>
      <c r="E445" s="9" t="str">
        <f aca="false">IF(C445="","",IFERROR(VLOOKUP(C445,EQUIPOS!$B$3:$F$18,5,0),""))</f>
        <v/>
      </c>
      <c r="F445" s="5" t="str">
        <f aca="false">IF(C445="","",IFERROR(VLOOKUP(C445,EQUIPOS!$B$3:$G$18,6,0),""))</f>
        <v/>
      </c>
      <c r="G445" s="8"/>
      <c r="H445" s="5"/>
      <c r="I445" s="5"/>
      <c r="J445" s="9"/>
      <c r="K445" s="17" t="str">
        <f aca="false">IF(H445="","",IFERROR(SUMIFS(BD_PLAN!$I$3:$I$312,BD_PLAN!$B$3:$B$312,E445,BD_PLAN!$C$3:$C$312,INDEX(BD_CICLO!$F$3:$F$54,MATCH(E445&amp;"|"&amp;H445,BD_CICLO!$G$3:$G$54,0))),""))</f>
        <v/>
      </c>
      <c r="L445" s="9"/>
      <c r="M445" s="9"/>
      <c r="N445" s="1" t="str">
        <f aca="false">IF(C445="","",C445&amp;"|"&amp;COUNTIF(C$3:C445,C445))</f>
        <v/>
      </c>
      <c r="O445" s="1" t="str">
        <f aca="false">IF(OR(C445="",M445=""),"",C445&amp;"|"&amp;COUNTIFS(C$3:C445,C445,M$3:M445,"&lt;&gt;"))</f>
        <v/>
      </c>
    </row>
    <row r="446" customFormat="false" ht="15" hidden="false" customHeight="false" outlineLevel="0" collapsed="false">
      <c r="B446" s="7"/>
      <c r="C446" s="5"/>
      <c r="D446" s="9" t="str">
        <f aca="false">IF(C446="","",IFERROR(VLOOKUP(C446,EQUIPOS!$B$3:$C$18,2,0),"NO EXISTE"))</f>
        <v/>
      </c>
      <c r="E446" s="9" t="str">
        <f aca="false">IF(C446="","",IFERROR(VLOOKUP(C446,EQUIPOS!$B$3:$F$18,5,0),""))</f>
        <v/>
      </c>
      <c r="F446" s="5" t="str">
        <f aca="false">IF(C446="","",IFERROR(VLOOKUP(C446,EQUIPOS!$B$3:$G$18,6,0),""))</f>
        <v/>
      </c>
      <c r="G446" s="8"/>
      <c r="H446" s="5"/>
      <c r="I446" s="5"/>
      <c r="J446" s="9"/>
      <c r="K446" s="17" t="str">
        <f aca="false">IF(H446="","",IFERROR(SUMIFS(BD_PLAN!$I$3:$I$312,BD_PLAN!$B$3:$B$312,E446,BD_PLAN!$C$3:$C$312,INDEX(BD_CICLO!$F$3:$F$54,MATCH(E446&amp;"|"&amp;H446,BD_CICLO!$G$3:$G$54,0))),""))</f>
        <v/>
      </c>
      <c r="L446" s="9"/>
      <c r="M446" s="9"/>
      <c r="N446" s="1" t="str">
        <f aca="false">IF(C446="","",C446&amp;"|"&amp;COUNTIF(C$3:C446,C446))</f>
        <v/>
      </c>
      <c r="O446" s="1" t="str">
        <f aca="false">IF(OR(C446="",M446=""),"",C446&amp;"|"&amp;COUNTIFS(C$3:C446,C446,M$3:M446,"&lt;&gt;"))</f>
        <v/>
      </c>
    </row>
    <row r="447" customFormat="false" ht="15" hidden="false" customHeight="false" outlineLevel="0" collapsed="false">
      <c r="B447" s="7"/>
      <c r="C447" s="5"/>
      <c r="D447" s="9" t="str">
        <f aca="false">IF(C447="","",IFERROR(VLOOKUP(C447,EQUIPOS!$B$3:$C$18,2,0),"NO EXISTE"))</f>
        <v/>
      </c>
      <c r="E447" s="9" t="str">
        <f aca="false">IF(C447="","",IFERROR(VLOOKUP(C447,EQUIPOS!$B$3:$F$18,5,0),""))</f>
        <v/>
      </c>
      <c r="F447" s="5" t="str">
        <f aca="false">IF(C447="","",IFERROR(VLOOKUP(C447,EQUIPOS!$B$3:$G$18,6,0),""))</f>
        <v/>
      </c>
      <c r="G447" s="8"/>
      <c r="H447" s="5"/>
      <c r="I447" s="5"/>
      <c r="J447" s="9"/>
      <c r="K447" s="17" t="str">
        <f aca="false">IF(H447="","",IFERROR(SUMIFS(BD_PLAN!$I$3:$I$312,BD_PLAN!$B$3:$B$312,E447,BD_PLAN!$C$3:$C$312,INDEX(BD_CICLO!$F$3:$F$54,MATCH(E447&amp;"|"&amp;H447,BD_CICLO!$G$3:$G$54,0))),""))</f>
        <v/>
      </c>
      <c r="L447" s="9"/>
      <c r="M447" s="9"/>
      <c r="N447" s="1" t="str">
        <f aca="false">IF(C447="","",C447&amp;"|"&amp;COUNTIF(C$3:C447,C447))</f>
        <v/>
      </c>
      <c r="O447" s="1" t="str">
        <f aca="false">IF(OR(C447="",M447=""),"",C447&amp;"|"&amp;COUNTIFS(C$3:C447,C447,M$3:M447,"&lt;&gt;"))</f>
        <v/>
      </c>
    </row>
    <row r="448" customFormat="false" ht="15" hidden="false" customHeight="false" outlineLevel="0" collapsed="false">
      <c r="B448" s="7"/>
      <c r="C448" s="5"/>
      <c r="D448" s="9" t="str">
        <f aca="false">IF(C448="","",IFERROR(VLOOKUP(C448,EQUIPOS!$B$3:$C$18,2,0),"NO EXISTE"))</f>
        <v/>
      </c>
      <c r="E448" s="9" t="str">
        <f aca="false">IF(C448="","",IFERROR(VLOOKUP(C448,EQUIPOS!$B$3:$F$18,5,0),""))</f>
        <v/>
      </c>
      <c r="F448" s="5" t="str">
        <f aca="false">IF(C448="","",IFERROR(VLOOKUP(C448,EQUIPOS!$B$3:$G$18,6,0),""))</f>
        <v/>
      </c>
      <c r="G448" s="8"/>
      <c r="H448" s="5"/>
      <c r="I448" s="5"/>
      <c r="J448" s="9"/>
      <c r="K448" s="17" t="str">
        <f aca="false">IF(H448="","",IFERROR(SUMIFS(BD_PLAN!$I$3:$I$312,BD_PLAN!$B$3:$B$312,E448,BD_PLAN!$C$3:$C$312,INDEX(BD_CICLO!$F$3:$F$54,MATCH(E448&amp;"|"&amp;H448,BD_CICLO!$G$3:$G$54,0))),""))</f>
        <v/>
      </c>
      <c r="L448" s="9"/>
      <c r="M448" s="9"/>
      <c r="N448" s="1" t="str">
        <f aca="false">IF(C448="","",C448&amp;"|"&amp;COUNTIF(C$3:C448,C448))</f>
        <v/>
      </c>
      <c r="O448" s="1" t="str">
        <f aca="false">IF(OR(C448="",M448=""),"",C448&amp;"|"&amp;COUNTIFS(C$3:C448,C448,M$3:M448,"&lt;&gt;"))</f>
        <v/>
      </c>
    </row>
    <row r="449" customFormat="false" ht="15" hidden="false" customHeight="false" outlineLevel="0" collapsed="false">
      <c r="B449" s="7"/>
      <c r="C449" s="5"/>
      <c r="D449" s="9" t="str">
        <f aca="false">IF(C449="","",IFERROR(VLOOKUP(C449,EQUIPOS!$B$3:$C$18,2,0),"NO EXISTE"))</f>
        <v/>
      </c>
      <c r="E449" s="9" t="str">
        <f aca="false">IF(C449="","",IFERROR(VLOOKUP(C449,EQUIPOS!$B$3:$F$18,5,0),""))</f>
        <v/>
      </c>
      <c r="F449" s="5" t="str">
        <f aca="false">IF(C449="","",IFERROR(VLOOKUP(C449,EQUIPOS!$B$3:$G$18,6,0),""))</f>
        <v/>
      </c>
      <c r="G449" s="8"/>
      <c r="H449" s="5"/>
      <c r="I449" s="5"/>
      <c r="J449" s="9"/>
      <c r="K449" s="17" t="str">
        <f aca="false">IF(H449="","",IFERROR(SUMIFS(BD_PLAN!$I$3:$I$312,BD_PLAN!$B$3:$B$312,E449,BD_PLAN!$C$3:$C$312,INDEX(BD_CICLO!$F$3:$F$54,MATCH(E449&amp;"|"&amp;H449,BD_CICLO!$G$3:$G$54,0))),""))</f>
        <v/>
      </c>
      <c r="L449" s="9"/>
      <c r="M449" s="9"/>
      <c r="N449" s="1" t="str">
        <f aca="false">IF(C449="","",C449&amp;"|"&amp;COUNTIF(C$3:C449,C449))</f>
        <v/>
      </c>
      <c r="O449" s="1" t="str">
        <f aca="false">IF(OR(C449="",M449=""),"",C449&amp;"|"&amp;COUNTIFS(C$3:C449,C449,M$3:M449,"&lt;&gt;"))</f>
        <v/>
      </c>
    </row>
    <row r="450" customFormat="false" ht="15" hidden="false" customHeight="false" outlineLevel="0" collapsed="false">
      <c r="B450" s="7"/>
      <c r="C450" s="5"/>
      <c r="D450" s="9" t="str">
        <f aca="false">IF(C450="","",IFERROR(VLOOKUP(C450,EQUIPOS!$B$3:$C$18,2,0),"NO EXISTE"))</f>
        <v/>
      </c>
      <c r="E450" s="9" t="str">
        <f aca="false">IF(C450="","",IFERROR(VLOOKUP(C450,EQUIPOS!$B$3:$F$18,5,0),""))</f>
        <v/>
      </c>
      <c r="F450" s="5" t="str">
        <f aca="false">IF(C450="","",IFERROR(VLOOKUP(C450,EQUIPOS!$B$3:$G$18,6,0),""))</f>
        <v/>
      </c>
      <c r="G450" s="8"/>
      <c r="H450" s="5"/>
      <c r="I450" s="5"/>
      <c r="J450" s="9"/>
      <c r="K450" s="17" t="str">
        <f aca="false">IF(H450="","",IFERROR(SUMIFS(BD_PLAN!$I$3:$I$312,BD_PLAN!$B$3:$B$312,E450,BD_PLAN!$C$3:$C$312,INDEX(BD_CICLO!$F$3:$F$54,MATCH(E450&amp;"|"&amp;H450,BD_CICLO!$G$3:$G$54,0))),""))</f>
        <v/>
      </c>
      <c r="L450" s="9"/>
      <c r="M450" s="9"/>
      <c r="N450" s="1" t="str">
        <f aca="false">IF(C450="","",C450&amp;"|"&amp;COUNTIF(C$3:C450,C450))</f>
        <v/>
      </c>
      <c r="O450" s="1" t="str">
        <f aca="false">IF(OR(C450="",M450=""),"",C450&amp;"|"&amp;COUNTIFS(C$3:C450,C450,M$3:M450,"&lt;&gt;"))</f>
        <v/>
      </c>
    </row>
    <row r="451" customFormat="false" ht="15" hidden="false" customHeight="false" outlineLevel="0" collapsed="false">
      <c r="B451" s="7"/>
      <c r="C451" s="5"/>
      <c r="D451" s="9" t="str">
        <f aca="false">IF(C451="","",IFERROR(VLOOKUP(C451,EQUIPOS!$B$3:$C$18,2,0),"NO EXISTE"))</f>
        <v/>
      </c>
      <c r="E451" s="9" t="str">
        <f aca="false">IF(C451="","",IFERROR(VLOOKUP(C451,EQUIPOS!$B$3:$F$18,5,0),""))</f>
        <v/>
      </c>
      <c r="F451" s="5" t="str">
        <f aca="false">IF(C451="","",IFERROR(VLOOKUP(C451,EQUIPOS!$B$3:$G$18,6,0),""))</f>
        <v/>
      </c>
      <c r="G451" s="8"/>
      <c r="H451" s="5"/>
      <c r="I451" s="5"/>
      <c r="J451" s="9"/>
      <c r="K451" s="17" t="str">
        <f aca="false">IF(H451="","",IFERROR(SUMIFS(BD_PLAN!$I$3:$I$312,BD_PLAN!$B$3:$B$312,E451,BD_PLAN!$C$3:$C$312,INDEX(BD_CICLO!$F$3:$F$54,MATCH(E451&amp;"|"&amp;H451,BD_CICLO!$G$3:$G$54,0))),""))</f>
        <v/>
      </c>
      <c r="L451" s="9"/>
      <c r="M451" s="9"/>
      <c r="N451" s="1" t="str">
        <f aca="false">IF(C451="","",C451&amp;"|"&amp;COUNTIF(C$3:C451,C451))</f>
        <v/>
      </c>
      <c r="O451" s="1" t="str">
        <f aca="false">IF(OR(C451="",M451=""),"",C451&amp;"|"&amp;COUNTIFS(C$3:C451,C451,M$3:M451,"&lt;&gt;"))</f>
        <v/>
      </c>
    </row>
    <row r="452" customFormat="false" ht="15" hidden="false" customHeight="false" outlineLevel="0" collapsed="false">
      <c r="B452" s="7"/>
      <c r="C452" s="5"/>
      <c r="D452" s="9" t="str">
        <f aca="false">IF(C452="","",IFERROR(VLOOKUP(C452,EQUIPOS!$B$3:$C$18,2,0),"NO EXISTE"))</f>
        <v/>
      </c>
      <c r="E452" s="9" t="str">
        <f aca="false">IF(C452="","",IFERROR(VLOOKUP(C452,EQUIPOS!$B$3:$F$18,5,0),""))</f>
        <v/>
      </c>
      <c r="F452" s="5" t="str">
        <f aca="false">IF(C452="","",IFERROR(VLOOKUP(C452,EQUIPOS!$B$3:$G$18,6,0),""))</f>
        <v/>
      </c>
      <c r="G452" s="8"/>
      <c r="H452" s="5"/>
      <c r="I452" s="5"/>
      <c r="J452" s="9"/>
      <c r="K452" s="17" t="str">
        <f aca="false">IF(H452="","",IFERROR(SUMIFS(BD_PLAN!$I$3:$I$312,BD_PLAN!$B$3:$B$312,E452,BD_PLAN!$C$3:$C$312,INDEX(BD_CICLO!$F$3:$F$54,MATCH(E452&amp;"|"&amp;H452,BD_CICLO!$G$3:$G$54,0))),""))</f>
        <v/>
      </c>
      <c r="L452" s="9"/>
      <c r="M452" s="9"/>
      <c r="N452" s="1" t="str">
        <f aca="false">IF(C452="","",C452&amp;"|"&amp;COUNTIF(C$3:C452,C452))</f>
        <v/>
      </c>
      <c r="O452" s="1" t="str">
        <f aca="false">IF(OR(C452="",M452=""),"",C452&amp;"|"&amp;COUNTIFS(C$3:C452,C452,M$3:M452,"&lt;&gt;"))</f>
        <v/>
      </c>
    </row>
    <row r="453" customFormat="false" ht="15" hidden="false" customHeight="false" outlineLevel="0" collapsed="false">
      <c r="B453" s="7"/>
      <c r="C453" s="5"/>
      <c r="D453" s="9" t="str">
        <f aca="false">IF(C453="","",IFERROR(VLOOKUP(C453,EQUIPOS!$B$3:$C$18,2,0),"NO EXISTE"))</f>
        <v/>
      </c>
      <c r="E453" s="9" t="str">
        <f aca="false">IF(C453="","",IFERROR(VLOOKUP(C453,EQUIPOS!$B$3:$F$18,5,0),""))</f>
        <v/>
      </c>
      <c r="F453" s="5" t="str">
        <f aca="false">IF(C453="","",IFERROR(VLOOKUP(C453,EQUIPOS!$B$3:$G$18,6,0),""))</f>
        <v/>
      </c>
      <c r="G453" s="8"/>
      <c r="H453" s="5"/>
      <c r="I453" s="5"/>
      <c r="J453" s="9"/>
      <c r="K453" s="17" t="str">
        <f aca="false">IF(H453="","",IFERROR(SUMIFS(BD_PLAN!$I$3:$I$312,BD_PLAN!$B$3:$B$312,E453,BD_PLAN!$C$3:$C$312,INDEX(BD_CICLO!$F$3:$F$54,MATCH(E453&amp;"|"&amp;H453,BD_CICLO!$G$3:$G$54,0))),""))</f>
        <v/>
      </c>
      <c r="L453" s="9"/>
      <c r="M453" s="9"/>
      <c r="N453" s="1" t="str">
        <f aca="false">IF(C453="","",C453&amp;"|"&amp;COUNTIF(C$3:C453,C453))</f>
        <v/>
      </c>
      <c r="O453" s="1" t="str">
        <f aca="false">IF(OR(C453="",M453=""),"",C453&amp;"|"&amp;COUNTIFS(C$3:C453,C453,M$3:M453,"&lt;&gt;"))</f>
        <v/>
      </c>
    </row>
    <row r="454" customFormat="false" ht="15" hidden="false" customHeight="false" outlineLevel="0" collapsed="false">
      <c r="B454" s="7"/>
      <c r="C454" s="5"/>
      <c r="D454" s="9" t="str">
        <f aca="false">IF(C454="","",IFERROR(VLOOKUP(C454,EQUIPOS!$B$3:$C$18,2,0),"NO EXISTE"))</f>
        <v/>
      </c>
      <c r="E454" s="9" t="str">
        <f aca="false">IF(C454="","",IFERROR(VLOOKUP(C454,EQUIPOS!$B$3:$F$18,5,0),""))</f>
        <v/>
      </c>
      <c r="F454" s="5" t="str">
        <f aca="false">IF(C454="","",IFERROR(VLOOKUP(C454,EQUIPOS!$B$3:$G$18,6,0),""))</f>
        <v/>
      </c>
      <c r="G454" s="8"/>
      <c r="H454" s="5"/>
      <c r="I454" s="5"/>
      <c r="J454" s="9"/>
      <c r="K454" s="17" t="str">
        <f aca="false">IF(H454="","",IFERROR(SUMIFS(BD_PLAN!$I$3:$I$312,BD_PLAN!$B$3:$B$312,E454,BD_PLAN!$C$3:$C$312,INDEX(BD_CICLO!$F$3:$F$54,MATCH(E454&amp;"|"&amp;H454,BD_CICLO!$G$3:$G$54,0))),""))</f>
        <v/>
      </c>
      <c r="L454" s="9"/>
      <c r="M454" s="9"/>
      <c r="N454" s="1" t="str">
        <f aca="false">IF(C454="","",C454&amp;"|"&amp;COUNTIF(C$3:C454,C454))</f>
        <v/>
      </c>
      <c r="O454" s="1" t="str">
        <f aca="false">IF(OR(C454="",M454=""),"",C454&amp;"|"&amp;COUNTIFS(C$3:C454,C454,M$3:M454,"&lt;&gt;"))</f>
        <v/>
      </c>
    </row>
    <row r="455" customFormat="false" ht="15" hidden="false" customHeight="false" outlineLevel="0" collapsed="false">
      <c r="B455" s="7"/>
      <c r="C455" s="5"/>
      <c r="D455" s="9" t="str">
        <f aca="false">IF(C455="","",IFERROR(VLOOKUP(C455,EQUIPOS!$B$3:$C$18,2,0),"NO EXISTE"))</f>
        <v/>
      </c>
      <c r="E455" s="9" t="str">
        <f aca="false">IF(C455="","",IFERROR(VLOOKUP(C455,EQUIPOS!$B$3:$F$18,5,0),""))</f>
        <v/>
      </c>
      <c r="F455" s="5" t="str">
        <f aca="false">IF(C455="","",IFERROR(VLOOKUP(C455,EQUIPOS!$B$3:$G$18,6,0),""))</f>
        <v/>
      </c>
      <c r="G455" s="8"/>
      <c r="H455" s="5"/>
      <c r="I455" s="5"/>
      <c r="J455" s="9"/>
      <c r="K455" s="17" t="str">
        <f aca="false">IF(H455="","",IFERROR(SUMIFS(BD_PLAN!$I$3:$I$312,BD_PLAN!$B$3:$B$312,E455,BD_PLAN!$C$3:$C$312,INDEX(BD_CICLO!$F$3:$F$54,MATCH(E455&amp;"|"&amp;H455,BD_CICLO!$G$3:$G$54,0))),""))</f>
        <v/>
      </c>
      <c r="L455" s="9"/>
      <c r="M455" s="9"/>
      <c r="N455" s="1" t="str">
        <f aca="false">IF(C455="","",C455&amp;"|"&amp;COUNTIF(C$3:C455,C455))</f>
        <v/>
      </c>
      <c r="O455" s="1" t="str">
        <f aca="false">IF(OR(C455="",M455=""),"",C455&amp;"|"&amp;COUNTIFS(C$3:C455,C455,M$3:M455,"&lt;&gt;"))</f>
        <v/>
      </c>
    </row>
    <row r="456" customFormat="false" ht="15" hidden="false" customHeight="false" outlineLevel="0" collapsed="false">
      <c r="B456" s="7"/>
      <c r="C456" s="5"/>
      <c r="D456" s="9" t="str">
        <f aca="false">IF(C456="","",IFERROR(VLOOKUP(C456,EQUIPOS!$B$3:$C$18,2,0),"NO EXISTE"))</f>
        <v/>
      </c>
      <c r="E456" s="9" t="str">
        <f aca="false">IF(C456="","",IFERROR(VLOOKUP(C456,EQUIPOS!$B$3:$F$18,5,0),""))</f>
        <v/>
      </c>
      <c r="F456" s="5" t="str">
        <f aca="false">IF(C456="","",IFERROR(VLOOKUP(C456,EQUIPOS!$B$3:$G$18,6,0),""))</f>
        <v/>
      </c>
      <c r="G456" s="8"/>
      <c r="H456" s="5"/>
      <c r="I456" s="5"/>
      <c r="J456" s="9"/>
      <c r="K456" s="17" t="str">
        <f aca="false">IF(H456="","",IFERROR(SUMIFS(BD_PLAN!$I$3:$I$312,BD_PLAN!$B$3:$B$312,E456,BD_PLAN!$C$3:$C$312,INDEX(BD_CICLO!$F$3:$F$54,MATCH(E456&amp;"|"&amp;H456,BD_CICLO!$G$3:$G$54,0))),""))</f>
        <v/>
      </c>
      <c r="L456" s="9"/>
      <c r="M456" s="9"/>
      <c r="N456" s="1" t="str">
        <f aca="false">IF(C456="","",C456&amp;"|"&amp;COUNTIF(C$3:C456,C456))</f>
        <v/>
      </c>
      <c r="O456" s="1" t="str">
        <f aca="false">IF(OR(C456="",M456=""),"",C456&amp;"|"&amp;COUNTIFS(C$3:C456,C456,M$3:M456,"&lt;&gt;"))</f>
        <v/>
      </c>
    </row>
    <row r="457" customFormat="false" ht="15" hidden="false" customHeight="false" outlineLevel="0" collapsed="false">
      <c r="B457" s="7"/>
      <c r="C457" s="5"/>
      <c r="D457" s="9" t="str">
        <f aca="false">IF(C457="","",IFERROR(VLOOKUP(C457,EQUIPOS!$B$3:$C$18,2,0),"NO EXISTE"))</f>
        <v/>
      </c>
      <c r="E457" s="9" t="str">
        <f aca="false">IF(C457="","",IFERROR(VLOOKUP(C457,EQUIPOS!$B$3:$F$18,5,0),""))</f>
        <v/>
      </c>
      <c r="F457" s="5" t="str">
        <f aca="false">IF(C457="","",IFERROR(VLOOKUP(C457,EQUIPOS!$B$3:$G$18,6,0),""))</f>
        <v/>
      </c>
      <c r="G457" s="8"/>
      <c r="H457" s="5"/>
      <c r="I457" s="5"/>
      <c r="J457" s="9"/>
      <c r="K457" s="17" t="str">
        <f aca="false">IF(H457="","",IFERROR(SUMIFS(BD_PLAN!$I$3:$I$312,BD_PLAN!$B$3:$B$312,E457,BD_PLAN!$C$3:$C$312,INDEX(BD_CICLO!$F$3:$F$54,MATCH(E457&amp;"|"&amp;H457,BD_CICLO!$G$3:$G$54,0))),""))</f>
        <v/>
      </c>
      <c r="L457" s="9"/>
      <c r="M457" s="9"/>
      <c r="N457" s="1" t="str">
        <f aca="false">IF(C457="","",C457&amp;"|"&amp;COUNTIF(C$3:C457,C457))</f>
        <v/>
      </c>
      <c r="O457" s="1" t="str">
        <f aca="false">IF(OR(C457="",M457=""),"",C457&amp;"|"&amp;COUNTIFS(C$3:C457,C457,M$3:M457,"&lt;&gt;"))</f>
        <v/>
      </c>
    </row>
    <row r="458" customFormat="false" ht="15" hidden="false" customHeight="false" outlineLevel="0" collapsed="false">
      <c r="B458" s="7"/>
      <c r="C458" s="5"/>
      <c r="D458" s="9" t="str">
        <f aca="false">IF(C458="","",IFERROR(VLOOKUP(C458,EQUIPOS!$B$3:$C$18,2,0),"NO EXISTE"))</f>
        <v/>
      </c>
      <c r="E458" s="9" t="str">
        <f aca="false">IF(C458="","",IFERROR(VLOOKUP(C458,EQUIPOS!$B$3:$F$18,5,0),""))</f>
        <v/>
      </c>
      <c r="F458" s="5" t="str">
        <f aca="false">IF(C458="","",IFERROR(VLOOKUP(C458,EQUIPOS!$B$3:$G$18,6,0),""))</f>
        <v/>
      </c>
      <c r="G458" s="8"/>
      <c r="H458" s="5"/>
      <c r="I458" s="5"/>
      <c r="J458" s="9"/>
      <c r="K458" s="17" t="str">
        <f aca="false">IF(H458="","",IFERROR(SUMIFS(BD_PLAN!$I$3:$I$312,BD_PLAN!$B$3:$B$312,E458,BD_PLAN!$C$3:$C$312,INDEX(BD_CICLO!$F$3:$F$54,MATCH(E458&amp;"|"&amp;H458,BD_CICLO!$G$3:$G$54,0))),""))</f>
        <v/>
      </c>
      <c r="L458" s="9"/>
      <c r="M458" s="9"/>
      <c r="N458" s="1" t="str">
        <f aca="false">IF(C458="","",C458&amp;"|"&amp;COUNTIF(C$3:C458,C458))</f>
        <v/>
      </c>
      <c r="O458" s="1" t="str">
        <f aca="false">IF(OR(C458="",M458=""),"",C458&amp;"|"&amp;COUNTIFS(C$3:C458,C458,M$3:M458,"&lt;&gt;"))</f>
        <v/>
      </c>
    </row>
    <row r="459" customFormat="false" ht="15" hidden="false" customHeight="false" outlineLevel="0" collapsed="false">
      <c r="B459" s="7"/>
      <c r="C459" s="5"/>
      <c r="D459" s="9" t="str">
        <f aca="false">IF(C459="","",IFERROR(VLOOKUP(C459,EQUIPOS!$B$3:$C$18,2,0),"NO EXISTE"))</f>
        <v/>
      </c>
      <c r="E459" s="9" t="str">
        <f aca="false">IF(C459="","",IFERROR(VLOOKUP(C459,EQUIPOS!$B$3:$F$18,5,0),""))</f>
        <v/>
      </c>
      <c r="F459" s="5" t="str">
        <f aca="false">IF(C459="","",IFERROR(VLOOKUP(C459,EQUIPOS!$B$3:$G$18,6,0),""))</f>
        <v/>
      </c>
      <c r="G459" s="8"/>
      <c r="H459" s="5"/>
      <c r="I459" s="5"/>
      <c r="J459" s="9"/>
      <c r="K459" s="17" t="str">
        <f aca="false">IF(H459="","",IFERROR(SUMIFS(BD_PLAN!$I$3:$I$312,BD_PLAN!$B$3:$B$312,E459,BD_PLAN!$C$3:$C$312,INDEX(BD_CICLO!$F$3:$F$54,MATCH(E459&amp;"|"&amp;H459,BD_CICLO!$G$3:$G$54,0))),""))</f>
        <v/>
      </c>
      <c r="L459" s="9"/>
      <c r="M459" s="9"/>
      <c r="N459" s="1" t="str">
        <f aca="false">IF(C459="","",C459&amp;"|"&amp;COUNTIF(C$3:C459,C459))</f>
        <v/>
      </c>
      <c r="O459" s="1" t="str">
        <f aca="false">IF(OR(C459="",M459=""),"",C459&amp;"|"&amp;COUNTIFS(C$3:C459,C459,M$3:M459,"&lt;&gt;"))</f>
        <v/>
      </c>
    </row>
    <row r="460" customFormat="false" ht="15" hidden="false" customHeight="false" outlineLevel="0" collapsed="false">
      <c r="B460" s="7"/>
      <c r="C460" s="5"/>
      <c r="D460" s="9" t="str">
        <f aca="false">IF(C460="","",IFERROR(VLOOKUP(C460,EQUIPOS!$B$3:$C$18,2,0),"NO EXISTE"))</f>
        <v/>
      </c>
      <c r="E460" s="9" t="str">
        <f aca="false">IF(C460="","",IFERROR(VLOOKUP(C460,EQUIPOS!$B$3:$F$18,5,0),""))</f>
        <v/>
      </c>
      <c r="F460" s="5" t="str">
        <f aca="false">IF(C460="","",IFERROR(VLOOKUP(C460,EQUIPOS!$B$3:$G$18,6,0),""))</f>
        <v/>
      </c>
      <c r="G460" s="8"/>
      <c r="H460" s="5"/>
      <c r="I460" s="5"/>
      <c r="J460" s="9"/>
      <c r="K460" s="17" t="str">
        <f aca="false">IF(H460="","",IFERROR(SUMIFS(BD_PLAN!$I$3:$I$312,BD_PLAN!$B$3:$B$312,E460,BD_PLAN!$C$3:$C$312,INDEX(BD_CICLO!$F$3:$F$54,MATCH(E460&amp;"|"&amp;H460,BD_CICLO!$G$3:$G$54,0))),""))</f>
        <v/>
      </c>
      <c r="L460" s="9"/>
      <c r="M460" s="9"/>
      <c r="N460" s="1" t="str">
        <f aca="false">IF(C460="","",C460&amp;"|"&amp;COUNTIF(C$3:C460,C460))</f>
        <v/>
      </c>
      <c r="O460" s="1" t="str">
        <f aca="false">IF(OR(C460="",M460=""),"",C460&amp;"|"&amp;COUNTIFS(C$3:C460,C460,M$3:M460,"&lt;&gt;"))</f>
        <v/>
      </c>
    </row>
    <row r="461" customFormat="false" ht="15" hidden="false" customHeight="false" outlineLevel="0" collapsed="false">
      <c r="B461" s="7"/>
      <c r="C461" s="5"/>
      <c r="D461" s="9" t="str">
        <f aca="false">IF(C461="","",IFERROR(VLOOKUP(C461,EQUIPOS!$B$3:$C$18,2,0),"NO EXISTE"))</f>
        <v/>
      </c>
      <c r="E461" s="9" t="str">
        <f aca="false">IF(C461="","",IFERROR(VLOOKUP(C461,EQUIPOS!$B$3:$F$18,5,0),""))</f>
        <v/>
      </c>
      <c r="F461" s="5" t="str">
        <f aca="false">IF(C461="","",IFERROR(VLOOKUP(C461,EQUIPOS!$B$3:$G$18,6,0),""))</f>
        <v/>
      </c>
      <c r="G461" s="8"/>
      <c r="H461" s="5"/>
      <c r="I461" s="5"/>
      <c r="J461" s="9"/>
      <c r="K461" s="17" t="str">
        <f aca="false">IF(H461="","",IFERROR(SUMIFS(BD_PLAN!$I$3:$I$312,BD_PLAN!$B$3:$B$312,E461,BD_PLAN!$C$3:$C$312,INDEX(BD_CICLO!$F$3:$F$54,MATCH(E461&amp;"|"&amp;H461,BD_CICLO!$G$3:$G$54,0))),""))</f>
        <v/>
      </c>
      <c r="L461" s="9"/>
      <c r="M461" s="9"/>
      <c r="N461" s="1" t="str">
        <f aca="false">IF(C461="","",C461&amp;"|"&amp;COUNTIF(C$3:C461,C461))</f>
        <v/>
      </c>
      <c r="O461" s="1" t="str">
        <f aca="false">IF(OR(C461="",M461=""),"",C461&amp;"|"&amp;COUNTIFS(C$3:C461,C461,M$3:M461,"&lt;&gt;"))</f>
        <v/>
      </c>
    </row>
    <row r="462" customFormat="false" ht="15" hidden="false" customHeight="false" outlineLevel="0" collapsed="false">
      <c r="B462" s="7"/>
      <c r="C462" s="5"/>
      <c r="D462" s="9" t="str">
        <f aca="false">IF(C462="","",IFERROR(VLOOKUP(C462,EQUIPOS!$B$3:$C$18,2,0),"NO EXISTE"))</f>
        <v/>
      </c>
      <c r="E462" s="9" t="str">
        <f aca="false">IF(C462="","",IFERROR(VLOOKUP(C462,EQUIPOS!$B$3:$F$18,5,0),""))</f>
        <v/>
      </c>
      <c r="F462" s="5" t="str">
        <f aca="false">IF(C462="","",IFERROR(VLOOKUP(C462,EQUIPOS!$B$3:$G$18,6,0),""))</f>
        <v/>
      </c>
      <c r="G462" s="8"/>
      <c r="H462" s="5"/>
      <c r="I462" s="5"/>
      <c r="J462" s="9"/>
      <c r="K462" s="17" t="str">
        <f aca="false">IF(H462="","",IFERROR(SUMIFS(BD_PLAN!$I$3:$I$312,BD_PLAN!$B$3:$B$312,E462,BD_PLAN!$C$3:$C$312,INDEX(BD_CICLO!$F$3:$F$54,MATCH(E462&amp;"|"&amp;H462,BD_CICLO!$G$3:$G$54,0))),""))</f>
        <v/>
      </c>
      <c r="L462" s="9"/>
      <c r="M462" s="9"/>
      <c r="N462" s="1" t="str">
        <f aca="false">IF(C462="","",C462&amp;"|"&amp;COUNTIF(C$3:C462,C462))</f>
        <v/>
      </c>
      <c r="O462" s="1" t="str">
        <f aca="false">IF(OR(C462="",M462=""),"",C462&amp;"|"&amp;COUNTIFS(C$3:C462,C462,M$3:M462,"&lt;&gt;"))</f>
        <v/>
      </c>
    </row>
    <row r="463" customFormat="false" ht="15" hidden="false" customHeight="false" outlineLevel="0" collapsed="false">
      <c r="B463" s="7"/>
      <c r="C463" s="5"/>
      <c r="D463" s="9" t="str">
        <f aca="false">IF(C463="","",IFERROR(VLOOKUP(C463,EQUIPOS!$B$3:$C$18,2,0),"NO EXISTE"))</f>
        <v/>
      </c>
      <c r="E463" s="9" t="str">
        <f aca="false">IF(C463="","",IFERROR(VLOOKUP(C463,EQUIPOS!$B$3:$F$18,5,0),""))</f>
        <v/>
      </c>
      <c r="F463" s="5" t="str">
        <f aca="false">IF(C463="","",IFERROR(VLOOKUP(C463,EQUIPOS!$B$3:$G$18,6,0),""))</f>
        <v/>
      </c>
      <c r="G463" s="8"/>
      <c r="H463" s="5"/>
      <c r="I463" s="5"/>
      <c r="J463" s="9"/>
      <c r="K463" s="17" t="str">
        <f aca="false">IF(H463="","",IFERROR(SUMIFS(BD_PLAN!$I$3:$I$312,BD_PLAN!$B$3:$B$312,E463,BD_PLAN!$C$3:$C$312,INDEX(BD_CICLO!$F$3:$F$54,MATCH(E463&amp;"|"&amp;H463,BD_CICLO!$G$3:$G$54,0))),""))</f>
        <v/>
      </c>
      <c r="L463" s="9"/>
      <c r="M463" s="9"/>
      <c r="N463" s="1" t="str">
        <f aca="false">IF(C463="","",C463&amp;"|"&amp;COUNTIF(C$3:C463,C463))</f>
        <v/>
      </c>
      <c r="O463" s="1" t="str">
        <f aca="false">IF(OR(C463="",M463=""),"",C463&amp;"|"&amp;COUNTIFS(C$3:C463,C463,M$3:M463,"&lt;&gt;"))</f>
        <v/>
      </c>
    </row>
    <row r="464" customFormat="false" ht="15" hidden="false" customHeight="false" outlineLevel="0" collapsed="false">
      <c r="B464" s="7"/>
      <c r="C464" s="5"/>
      <c r="D464" s="9" t="str">
        <f aca="false">IF(C464="","",IFERROR(VLOOKUP(C464,EQUIPOS!$B$3:$C$18,2,0),"NO EXISTE"))</f>
        <v/>
      </c>
      <c r="E464" s="9" t="str">
        <f aca="false">IF(C464="","",IFERROR(VLOOKUP(C464,EQUIPOS!$B$3:$F$18,5,0),""))</f>
        <v/>
      </c>
      <c r="F464" s="5" t="str">
        <f aca="false">IF(C464="","",IFERROR(VLOOKUP(C464,EQUIPOS!$B$3:$G$18,6,0),""))</f>
        <v/>
      </c>
      <c r="G464" s="8"/>
      <c r="H464" s="5"/>
      <c r="I464" s="5"/>
      <c r="J464" s="9"/>
      <c r="K464" s="17" t="str">
        <f aca="false">IF(H464="","",IFERROR(SUMIFS(BD_PLAN!$I$3:$I$312,BD_PLAN!$B$3:$B$312,E464,BD_PLAN!$C$3:$C$312,INDEX(BD_CICLO!$F$3:$F$54,MATCH(E464&amp;"|"&amp;H464,BD_CICLO!$G$3:$G$54,0))),""))</f>
        <v/>
      </c>
      <c r="L464" s="9"/>
      <c r="M464" s="9"/>
      <c r="N464" s="1" t="str">
        <f aca="false">IF(C464="","",C464&amp;"|"&amp;COUNTIF(C$3:C464,C464))</f>
        <v/>
      </c>
      <c r="O464" s="1" t="str">
        <f aca="false">IF(OR(C464="",M464=""),"",C464&amp;"|"&amp;COUNTIFS(C$3:C464,C464,M$3:M464,"&lt;&gt;"))</f>
        <v/>
      </c>
    </row>
    <row r="465" customFormat="false" ht="15" hidden="false" customHeight="false" outlineLevel="0" collapsed="false">
      <c r="B465" s="7"/>
      <c r="C465" s="5"/>
      <c r="D465" s="9" t="str">
        <f aca="false">IF(C465="","",IFERROR(VLOOKUP(C465,EQUIPOS!$B$3:$C$18,2,0),"NO EXISTE"))</f>
        <v/>
      </c>
      <c r="E465" s="9" t="str">
        <f aca="false">IF(C465="","",IFERROR(VLOOKUP(C465,EQUIPOS!$B$3:$F$18,5,0),""))</f>
        <v/>
      </c>
      <c r="F465" s="5" t="str">
        <f aca="false">IF(C465="","",IFERROR(VLOOKUP(C465,EQUIPOS!$B$3:$G$18,6,0),""))</f>
        <v/>
      </c>
      <c r="G465" s="8"/>
      <c r="H465" s="5"/>
      <c r="I465" s="5"/>
      <c r="J465" s="9"/>
      <c r="K465" s="17" t="str">
        <f aca="false">IF(H465="","",IFERROR(SUMIFS(BD_PLAN!$I$3:$I$312,BD_PLAN!$B$3:$B$312,E465,BD_PLAN!$C$3:$C$312,INDEX(BD_CICLO!$F$3:$F$54,MATCH(E465&amp;"|"&amp;H465,BD_CICLO!$G$3:$G$54,0))),""))</f>
        <v/>
      </c>
      <c r="L465" s="9"/>
      <c r="M465" s="9"/>
      <c r="N465" s="1" t="str">
        <f aca="false">IF(C465="","",C465&amp;"|"&amp;COUNTIF(C$3:C465,C465))</f>
        <v/>
      </c>
      <c r="O465" s="1" t="str">
        <f aca="false">IF(OR(C465="",M465=""),"",C465&amp;"|"&amp;COUNTIFS(C$3:C465,C465,M$3:M465,"&lt;&gt;"))</f>
        <v/>
      </c>
    </row>
    <row r="466" customFormat="false" ht="15" hidden="false" customHeight="false" outlineLevel="0" collapsed="false">
      <c r="B466" s="7"/>
      <c r="C466" s="5"/>
      <c r="D466" s="9" t="str">
        <f aca="false">IF(C466="","",IFERROR(VLOOKUP(C466,EQUIPOS!$B$3:$C$18,2,0),"NO EXISTE"))</f>
        <v/>
      </c>
      <c r="E466" s="9" t="str">
        <f aca="false">IF(C466="","",IFERROR(VLOOKUP(C466,EQUIPOS!$B$3:$F$18,5,0),""))</f>
        <v/>
      </c>
      <c r="F466" s="5" t="str">
        <f aca="false">IF(C466="","",IFERROR(VLOOKUP(C466,EQUIPOS!$B$3:$G$18,6,0),""))</f>
        <v/>
      </c>
      <c r="G466" s="8"/>
      <c r="H466" s="5"/>
      <c r="I466" s="5"/>
      <c r="J466" s="9"/>
      <c r="K466" s="17" t="str">
        <f aca="false">IF(H466="","",IFERROR(SUMIFS(BD_PLAN!$I$3:$I$312,BD_PLAN!$B$3:$B$312,E466,BD_PLAN!$C$3:$C$312,INDEX(BD_CICLO!$F$3:$F$54,MATCH(E466&amp;"|"&amp;H466,BD_CICLO!$G$3:$G$54,0))),""))</f>
        <v/>
      </c>
      <c r="L466" s="9"/>
      <c r="M466" s="9"/>
      <c r="N466" s="1" t="str">
        <f aca="false">IF(C466="","",C466&amp;"|"&amp;COUNTIF(C$3:C466,C466))</f>
        <v/>
      </c>
      <c r="O466" s="1" t="str">
        <f aca="false">IF(OR(C466="",M466=""),"",C466&amp;"|"&amp;COUNTIFS(C$3:C466,C466,M$3:M466,"&lt;&gt;"))</f>
        <v/>
      </c>
    </row>
    <row r="467" customFormat="false" ht="15" hidden="false" customHeight="false" outlineLevel="0" collapsed="false">
      <c r="B467" s="7"/>
      <c r="C467" s="5"/>
      <c r="D467" s="9" t="str">
        <f aca="false">IF(C467="","",IFERROR(VLOOKUP(C467,EQUIPOS!$B$3:$C$18,2,0),"NO EXISTE"))</f>
        <v/>
      </c>
      <c r="E467" s="9" t="str">
        <f aca="false">IF(C467="","",IFERROR(VLOOKUP(C467,EQUIPOS!$B$3:$F$18,5,0),""))</f>
        <v/>
      </c>
      <c r="F467" s="5" t="str">
        <f aca="false">IF(C467="","",IFERROR(VLOOKUP(C467,EQUIPOS!$B$3:$G$18,6,0),""))</f>
        <v/>
      </c>
      <c r="G467" s="8"/>
      <c r="H467" s="5"/>
      <c r="I467" s="5"/>
      <c r="J467" s="9"/>
      <c r="K467" s="17" t="str">
        <f aca="false">IF(H467="","",IFERROR(SUMIFS(BD_PLAN!$I$3:$I$312,BD_PLAN!$B$3:$B$312,E467,BD_PLAN!$C$3:$C$312,INDEX(BD_CICLO!$F$3:$F$54,MATCH(E467&amp;"|"&amp;H467,BD_CICLO!$G$3:$G$54,0))),""))</f>
        <v/>
      </c>
      <c r="L467" s="9"/>
      <c r="M467" s="9"/>
      <c r="N467" s="1" t="str">
        <f aca="false">IF(C467="","",C467&amp;"|"&amp;COUNTIF(C$3:C467,C467))</f>
        <v/>
      </c>
      <c r="O467" s="1" t="str">
        <f aca="false">IF(OR(C467="",M467=""),"",C467&amp;"|"&amp;COUNTIFS(C$3:C467,C467,M$3:M467,"&lt;&gt;"))</f>
        <v/>
      </c>
    </row>
    <row r="468" customFormat="false" ht="15" hidden="false" customHeight="false" outlineLevel="0" collapsed="false">
      <c r="B468" s="7"/>
      <c r="C468" s="5"/>
      <c r="D468" s="9" t="str">
        <f aca="false">IF(C468="","",IFERROR(VLOOKUP(C468,EQUIPOS!$B$3:$C$18,2,0),"NO EXISTE"))</f>
        <v/>
      </c>
      <c r="E468" s="9" t="str">
        <f aca="false">IF(C468="","",IFERROR(VLOOKUP(C468,EQUIPOS!$B$3:$F$18,5,0),""))</f>
        <v/>
      </c>
      <c r="F468" s="5" t="str">
        <f aca="false">IF(C468="","",IFERROR(VLOOKUP(C468,EQUIPOS!$B$3:$G$18,6,0),""))</f>
        <v/>
      </c>
      <c r="G468" s="8"/>
      <c r="H468" s="5"/>
      <c r="I468" s="5"/>
      <c r="J468" s="9"/>
      <c r="K468" s="17" t="str">
        <f aca="false">IF(H468="","",IFERROR(SUMIFS(BD_PLAN!$I$3:$I$312,BD_PLAN!$B$3:$B$312,E468,BD_PLAN!$C$3:$C$312,INDEX(BD_CICLO!$F$3:$F$54,MATCH(E468&amp;"|"&amp;H468,BD_CICLO!$G$3:$G$54,0))),""))</f>
        <v/>
      </c>
      <c r="L468" s="9"/>
      <c r="M468" s="9"/>
      <c r="N468" s="1" t="str">
        <f aca="false">IF(C468="","",C468&amp;"|"&amp;COUNTIF(C$3:C468,C468))</f>
        <v/>
      </c>
      <c r="O468" s="1" t="str">
        <f aca="false">IF(OR(C468="",M468=""),"",C468&amp;"|"&amp;COUNTIFS(C$3:C468,C468,M$3:M468,"&lt;&gt;"))</f>
        <v/>
      </c>
    </row>
    <row r="469" customFormat="false" ht="15" hidden="false" customHeight="false" outlineLevel="0" collapsed="false">
      <c r="B469" s="7"/>
      <c r="C469" s="5"/>
      <c r="D469" s="9" t="str">
        <f aca="false">IF(C469="","",IFERROR(VLOOKUP(C469,EQUIPOS!$B$3:$C$18,2,0),"NO EXISTE"))</f>
        <v/>
      </c>
      <c r="E469" s="9" t="str">
        <f aca="false">IF(C469="","",IFERROR(VLOOKUP(C469,EQUIPOS!$B$3:$F$18,5,0),""))</f>
        <v/>
      </c>
      <c r="F469" s="5" t="str">
        <f aca="false">IF(C469="","",IFERROR(VLOOKUP(C469,EQUIPOS!$B$3:$G$18,6,0),""))</f>
        <v/>
      </c>
      <c r="G469" s="8"/>
      <c r="H469" s="5"/>
      <c r="I469" s="5"/>
      <c r="J469" s="9"/>
      <c r="K469" s="17" t="str">
        <f aca="false">IF(H469="","",IFERROR(SUMIFS(BD_PLAN!$I$3:$I$312,BD_PLAN!$B$3:$B$312,E469,BD_PLAN!$C$3:$C$312,INDEX(BD_CICLO!$F$3:$F$54,MATCH(E469&amp;"|"&amp;H469,BD_CICLO!$G$3:$G$54,0))),""))</f>
        <v/>
      </c>
      <c r="L469" s="9"/>
      <c r="M469" s="9"/>
      <c r="N469" s="1" t="str">
        <f aca="false">IF(C469="","",C469&amp;"|"&amp;COUNTIF(C$3:C469,C469))</f>
        <v/>
      </c>
      <c r="O469" s="1" t="str">
        <f aca="false">IF(OR(C469="",M469=""),"",C469&amp;"|"&amp;COUNTIFS(C$3:C469,C469,M$3:M469,"&lt;&gt;"))</f>
        <v/>
      </c>
    </row>
    <row r="470" customFormat="false" ht="15" hidden="false" customHeight="false" outlineLevel="0" collapsed="false">
      <c r="B470" s="7"/>
      <c r="C470" s="5"/>
      <c r="D470" s="9" t="str">
        <f aca="false">IF(C470="","",IFERROR(VLOOKUP(C470,EQUIPOS!$B$3:$C$18,2,0),"NO EXISTE"))</f>
        <v/>
      </c>
      <c r="E470" s="9" t="str">
        <f aca="false">IF(C470="","",IFERROR(VLOOKUP(C470,EQUIPOS!$B$3:$F$18,5,0),""))</f>
        <v/>
      </c>
      <c r="F470" s="5" t="str">
        <f aca="false">IF(C470="","",IFERROR(VLOOKUP(C470,EQUIPOS!$B$3:$G$18,6,0),""))</f>
        <v/>
      </c>
      <c r="G470" s="8"/>
      <c r="H470" s="5"/>
      <c r="I470" s="5"/>
      <c r="J470" s="9"/>
      <c r="K470" s="17" t="str">
        <f aca="false">IF(H470="","",IFERROR(SUMIFS(BD_PLAN!$I$3:$I$312,BD_PLAN!$B$3:$B$312,E470,BD_PLAN!$C$3:$C$312,INDEX(BD_CICLO!$F$3:$F$54,MATCH(E470&amp;"|"&amp;H470,BD_CICLO!$G$3:$G$54,0))),""))</f>
        <v/>
      </c>
      <c r="L470" s="9"/>
      <c r="M470" s="9"/>
      <c r="N470" s="1" t="str">
        <f aca="false">IF(C470="","",C470&amp;"|"&amp;COUNTIF(C$3:C470,C470))</f>
        <v/>
      </c>
      <c r="O470" s="1" t="str">
        <f aca="false">IF(OR(C470="",M470=""),"",C470&amp;"|"&amp;COUNTIFS(C$3:C470,C470,M$3:M470,"&lt;&gt;"))</f>
        <v/>
      </c>
    </row>
    <row r="471" customFormat="false" ht="15" hidden="false" customHeight="false" outlineLevel="0" collapsed="false">
      <c r="B471" s="7"/>
      <c r="C471" s="5"/>
      <c r="D471" s="9" t="str">
        <f aca="false">IF(C471="","",IFERROR(VLOOKUP(C471,EQUIPOS!$B$3:$C$18,2,0),"NO EXISTE"))</f>
        <v/>
      </c>
      <c r="E471" s="9" t="str">
        <f aca="false">IF(C471="","",IFERROR(VLOOKUP(C471,EQUIPOS!$B$3:$F$18,5,0),""))</f>
        <v/>
      </c>
      <c r="F471" s="5" t="str">
        <f aca="false">IF(C471="","",IFERROR(VLOOKUP(C471,EQUIPOS!$B$3:$G$18,6,0),""))</f>
        <v/>
      </c>
      <c r="G471" s="8"/>
      <c r="H471" s="5"/>
      <c r="I471" s="5"/>
      <c r="J471" s="9"/>
      <c r="K471" s="17" t="str">
        <f aca="false">IF(H471="","",IFERROR(SUMIFS(BD_PLAN!$I$3:$I$312,BD_PLAN!$B$3:$B$312,E471,BD_PLAN!$C$3:$C$312,INDEX(BD_CICLO!$F$3:$F$54,MATCH(E471&amp;"|"&amp;H471,BD_CICLO!$G$3:$G$54,0))),""))</f>
        <v/>
      </c>
      <c r="L471" s="9"/>
      <c r="M471" s="9"/>
      <c r="N471" s="1" t="str">
        <f aca="false">IF(C471="","",C471&amp;"|"&amp;COUNTIF(C$3:C471,C471))</f>
        <v/>
      </c>
      <c r="O471" s="1" t="str">
        <f aca="false">IF(OR(C471="",M471=""),"",C471&amp;"|"&amp;COUNTIFS(C$3:C471,C471,M$3:M471,"&lt;&gt;"))</f>
        <v/>
      </c>
    </row>
    <row r="472" customFormat="false" ht="15" hidden="false" customHeight="false" outlineLevel="0" collapsed="false">
      <c r="B472" s="7"/>
      <c r="C472" s="5"/>
      <c r="D472" s="9" t="str">
        <f aca="false">IF(C472="","",IFERROR(VLOOKUP(C472,EQUIPOS!$B$3:$C$18,2,0),"NO EXISTE"))</f>
        <v/>
      </c>
      <c r="E472" s="9" t="str">
        <f aca="false">IF(C472="","",IFERROR(VLOOKUP(C472,EQUIPOS!$B$3:$F$18,5,0),""))</f>
        <v/>
      </c>
      <c r="F472" s="5" t="str">
        <f aca="false">IF(C472="","",IFERROR(VLOOKUP(C472,EQUIPOS!$B$3:$G$18,6,0),""))</f>
        <v/>
      </c>
      <c r="G472" s="8"/>
      <c r="H472" s="5"/>
      <c r="I472" s="5"/>
      <c r="J472" s="9"/>
      <c r="K472" s="17" t="str">
        <f aca="false">IF(H472="","",IFERROR(SUMIFS(BD_PLAN!$I$3:$I$312,BD_PLAN!$B$3:$B$312,E472,BD_PLAN!$C$3:$C$312,INDEX(BD_CICLO!$F$3:$F$54,MATCH(E472&amp;"|"&amp;H472,BD_CICLO!$G$3:$G$54,0))),""))</f>
        <v/>
      </c>
      <c r="L472" s="9"/>
      <c r="M472" s="9"/>
      <c r="N472" s="1" t="str">
        <f aca="false">IF(C472="","",C472&amp;"|"&amp;COUNTIF(C$3:C472,C472))</f>
        <v/>
      </c>
      <c r="O472" s="1" t="str">
        <f aca="false">IF(OR(C472="",M472=""),"",C472&amp;"|"&amp;COUNTIFS(C$3:C472,C472,M$3:M472,"&lt;&gt;"))</f>
        <v/>
      </c>
    </row>
    <row r="473" customFormat="false" ht="15" hidden="false" customHeight="false" outlineLevel="0" collapsed="false">
      <c r="B473" s="7"/>
      <c r="C473" s="5"/>
      <c r="D473" s="9" t="str">
        <f aca="false">IF(C473="","",IFERROR(VLOOKUP(C473,EQUIPOS!$B$3:$C$18,2,0),"NO EXISTE"))</f>
        <v/>
      </c>
      <c r="E473" s="9" t="str">
        <f aca="false">IF(C473="","",IFERROR(VLOOKUP(C473,EQUIPOS!$B$3:$F$18,5,0),""))</f>
        <v/>
      </c>
      <c r="F473" s="5" t="str">
        <f aca="false">IF(C473="","",IFERROR(VLOOKUP(C473,EQUIPOS!$B$3:$G$18,6,0),""))</f>
        <v/>
      </c>
      <c r="G473" s="8"/>
      <c r="H473" s="5"/>
      <c r="I473" s="5"/>
      <c r="J473" s="9"/>
      <c r="K473" s="17" t="str">
        <f aca="false">IF(H473="","",IFERROR(SUMIFS(BD_PLAN!$I$3:$I$312,BD_PLAN!$B$3:$B$312,E473,BD_PLAN!$C$3:$C$312,INDEX(BD_CICLO!$F$3:$F$54,MATCH(E473&amp;"|"&amp;H473,BD_CICLO!$G$3:$G$54,0))),""))</f>
        <v/>
      </c>
      <c r="L473" s="9"/>
      <c r="M473" s="9"/>
      <c r="N473" s="1" t="str">
        <f aca="false">IF(C473="","",C473&amp;"|"&amp;COUNTIF(C$3:C473,C473))</f>
        <v/>
      </c>
      <c r="O473" s="1" t="str">
        <f aca="false">IF(OR(C473="",M473=""),"",C473&amp;"|"&amp;COUNTIFS(C$3:C473,C473,M$3:M473,"&lt;&gt;"))</f>
        <v/>
      </c>
    </row>
    <row r="474" customFormat="false" ht="15" hidden="false" customHeight="false" outlineLevel="0" collapsed="false">
      <c r="B474" s="7"/>
      <c r="C474" s="5"/>
      <c r="D474" s="9" t="str">
        <f aca="false">IF(C474="","",IFERROR(VLOOKUP(C474,EQUIPOS!$B$3:$C$18,2,0),"NO EXISTE"))</f>
        <v/>
      </c>
      <c r="E474" s="9" t="str">
        <f aca="false">IF(C474="","",IFERROR(VLOOKUP(C474,EQUIPOS!$B$3:$F$18,5,0),""))</f>
        <v/>
      </c>
      <c r="F474" s="5" t="str">
        <f aca="false">IF(C474="","",IFERROR(VLOOKUP(C474,EQUIPOS!$B$3:$G$18,6,0),""))</f>
        <v/>
      </c>
      <c r="G474" s="8"/>
      <c r="H474" s="5"/>
      <c r="I474" s="5"/>
      <c r="J474" s="9"/>
      <c r="K474" s="17" t="str">
        <f aca="false">IF(H474="","",IFERROR(SUMIFS(BD_PLAN!$I$3:$I$312,BD_PLAN!$B$3:$B$312,E474,BD_PLAN!$C$3:$C$312,INDEX(BD_CICLO!$F$3:$F$54,MATCH(E474&amp;"|"&amp;H474,BD_CICLO!$G$3:$G$54,0))),""))</f>
        <v/>
      </c>
      <c r="L474" s="9"/>
      <c r="M474" s="9"/>
      <c r="N474" s="1" t="str">
        <f aca="false">IF(C474="","",C474&amp;"|"&amp;COUNTIF(C$3:C474,C474))</f>
        <v/>
      </c>
      <c r="O474" s="1" t="str">
        <f aca="false">IF(OR(C474="",M474=""),"",C474&amp;"|"&amp;COUNTIFS(C$3:C474,C474,M$3:M474,"&lt;&gt;"))</f>
        <v/>
      </c>
    </row>
    <row r="475" customFormat="false" ht="15" hidden="false" customHeight="false" outlineLevel="0" collapsed="false">
      <c r="B475" s="7"/>
      <c r="C475" s="5"/>
      <c r="D475" s="9" t="str">
        <f aca="false">IF(C475="","",IFERROR(VLOOKUP(C475,EQUIPOS!$B$3:$C$18,2,0),"NO EXISTE"))</f>
        <v/>
      </c>
      <c r="E475" s="9" t="str">
        <f aca="false">IF(C475="","",IFERROR(VLOOKUP(C475,EQUIPOS!$B$3:$F$18,5,0),""))</f>
        <v/>
      </c>
      <c r="F475" s="5" t="str">
        <f aca="false">IF(C475="","",IFERROR(VLOOKUP(C475,EQUIPOS!$B$3:$G$18,6,0),""))</f>
        <v/>
      </c>
      <c r="G475" s="8"/>
      <c r="H475" s="5"/>
      <c r="I475" s="5"/>
      <c r="J475" s="9"/>
      <c r="K475" s="17" t="str">
        <f aca="false">IF(H475="","",IFERROR(SUMIFS(BD_PLAN!$I$3:$I$312,BD_PLAN!$B$3:$B$312,E475,BD_PLAN!$C$3:$C$312,INDEX(BD_CICLO!$F$3:$F$54,MATCH(E475&amp;"|"&amp;H475,BD_CICLO!$G$3:$G$54,0))),""))</f>
        <v/>
      </c>
      <c r="L475" s="9"/>
      <c r="M475" s="9"/>
      <c r="N475" s="1" t="str">
        <f aca="false">IF(C475="","",C475&amp;"|"&amp;COUNTIF(C$3:C475,C475))</f>
        <v/>
      </c>
      <c r="O475" s="1" t="str">
        <f aca="false">IF(OR(C475="",M475=""),"",C475&amp;"|"&amp;COUNTIFS(C$3:C475,C475,M$3:M475,"&lt;&gt;"))</f>
        <v/>
      </c>
    </row>
    <row r="476" customFormat="false" ht="15" hidden="false" customHeight="false" outlineLevel="0" collapsed="false">
      <c r="B476" s="7"/>
      <c r="C476" s="5"/>
      <c r="D476" s="9" t="str">
        <f aca="false">IF(C476="","",IFERROR(VLOOKUP(C476,EQUIPOS!$B$3:$C$18,2,0),"NO EXISTE"))</f>
        <v/>
      </c>
      <c r="E476" s="9" t="str">
        <f aca="false">IF(C476="","",IFERROR(VLOOKUP(C476,EQUIPOS!$B$3:$F$18,5,0),""))</f>
        <v/>
      </c>
      <c r="F476" s="5" t="str">
        <f aca="false">IF(C476="","",IFERROR(VLOOKUP(C476,EQUIPOS!$B$3:$G$18,6,0),""))</f>
        <v/>
      </c>
      <c r="G476" s="8"/>
      <c r="H476" s="5"/>
      <c r="I476" s="5"/>
      <c r="J476" s="9"/>
      <c r="K476" s="17" t="str">
        <f aca="false">IF(H476="","",IFERROR(SUMIFS(BD_PLAN!$I$3:$I$312,BD_PLAN!$B$3:$B$312,E476,BD_PLAN!$C$3:$C$312,INDEX(BD_CICLO!$F$3:$F$54,MATCH(E476&amp;"|"&amp;H476,BD_CICLO!$G$3:$G$54,0))),""))</f>
        <v/>
      </c>
      <c r="L476" s="9"/>
      <c r="M476" s="9"/>
      <c r="N476" s="1" t="str">
        <f aca="false">IF(C476="","",C476&amp;"|"&amp;COUNTIF(C$3:C476,C476))</f>
        <v/>
      </c>
      <c r="O476" s="1" t="str">
        <f aca="false">IF(OR(C476="",M476=""),"",C476&amp;"|"&amp;COUNTIFS(C$3:C476,C476,M$3:M476,"&lt;&gt;"))</f>
        <v/>
      </c>
    </row>
    <row r="477" customFormat="false" ht="15" hidden="false" customHeight="false" outlineLevel="0" collapsed="false">
      <c r="B477" s="7"/>
      <c r="C477" s="5"/>
      <c r="D477" s="9" t="str">
        <f aca="false">IF(C477="","",IFERROR(VLOOKUP(C477,EQUIPOS!$B$3:$C$18,2,0),"NO EXISTE"))</f>
        <v/>
      </c>
      <c r="E477" s="9" t="str">
        <f aca="false">IF(C477="","",IFERROR(VLOOKUP(C477,EQUIPOS!$B$3:$F$18,5,0),""))</f>
        <v/>
      </c>
      <c r="F477" s="5" t="str">
        <f aca="false">IF(C477="","",IFERROR(VLOOKUP(C477,EQUIPOS!$B$3:$G$18,6,0),""))</f>
        <v/>
      </c>
      <c r="G477" s="8"/>
      <c r="H477" s="5"/>
      <c r="I477" s="5"/>
      <c r="J477" s="9"/>
      <c r="K477" s="17" t="str">
        <f aca="false">IF(H477="","",IFERROR(SUMIFS(BD_PLAN!$I$3:$I$312,BD_PLAN!$B$3:$B$312,E477,BD_PLAN!$C$3:$C$312,INDEX(BD_CICLO!$F$3:$F$54,MATCH(E477&amp;"|"&amp;H477,BD_CICLO!$G$3:$G$54,0))),""))</f>
        <v/>
      </c>
      <c r="L477" s="9"/>
      <c r="M477" s="9"/>
      <c r="N477" s="1" t="str">
        <f aca="false">IF(C477="","",C477&amp;"|"&amp;COUNTIF(C$3:C477,C477))</f>
        <v/>
      </c>
      <c r="O477" s="1" t="str">
        <f aca="false">IF(OR(C477="",M477=""),"",C477&amp;"|"&amp;COUNTIFS(C$3:C477,C477,M$3:M477,"&lt;&gt;"))</f>
        <v/>
      </c>
    </row>
    <row r="478" customFormat="false" ht="15" hidden="false" customHeight="false" outlineLevel="0" collapsed="false">
      <c r="B478" s="7"/>
      <c r="C478" s="5"/>
      <c r="D478" s="9" t="str">
        <f aca="false">IF(C478="","",IFERROR(VLOOKUP(C478,EQUIPOS!$B$3:$C$18,2,0),"NO EXISTE"))</f>
        <v/>
      </c>
      <c r="E478" s="9" t="str">
        <f aca="false">IF(C478="","",IFERROR(VLOOKUP(C478,EQUIPOS!$B$3:$F$18,5,0),""))</f>
        <v/>
      </c>
      <c r="F478" s="5" t="str">
        <f aca="false">IF(C478="","",IFERROR(VLOOKUP(C478,EQUIPOS!$B$3:$G$18,6,0),""))</f>
        <v/>
      </c>
      <c r="G478" s="8"/>
      <c r="H478" s="5"/>
      <c r="I478" s="5"/>
      <c r="J478" s="9"/>
      <c r="K478" s="17" t="str">
        <f aca="false">IF(H478="","",IFERROR(SUMIFS(BD_PLAN!$I$3:$I$312,BD_PLAN!$B$3:$B$312,E478,BD_PLAN!$C$3:$C$312,INDEX(BD_CICLO!$F$3:$F$54,MATCH(E478&amp;"|"&amp;H478,BD_CICLO!$G$3:$G$54,0))),""))</f>
        <v/>
      </c>
      <c r="L478" s="9"/>
      <c r="M478" s="9"/>
      <c r="N478" s="1" t="str">
        <f aca="false">IF(C478="","",C478&amp;"|"&amp;COUNTIF(C$3:C478,C478))</f>
        <v/>
      </c>
      <c r="O478" s="1" t="str">
        <f aca="false">IF(OR(C478="",M478=""),"",C478&amp;"|"&amp;COUNTIFS(C$3:C478,C478,M$3:M478,"&lt;&gt;"))</f>
        <v/>
      </c>
    </row>
    <row r="479" customFormat="false" ht="15" hidden="false" customHeight="false" outlineLevel="0" collapsed="false">
      <c r="B479" s="7"/>
      <c r="C479" s="5"/>
      <c r="D479" s="9" t="str">
        <f aca="false">IF(C479="","",IFERROR(VLOOKUP(C479,EQUIPOS!$B$3:$C$18,2,0),"NO EXISTE"))</f>
        <v/>
      </c>
      <c r="E479" s="9" t="str">
        <f aca="false">IF(C479="","",IFERROR(VLOOKUP(C479,EQUIPOS!$B$3:$F$18,5,0),""))</f>
        <v/>
      </c>
      <c r="F479" s="5" t="str">
        <f aca="false">IF(C479="","",IFERROR(VLOOKUP(C479,EQUIPOS!$B$3:$G$18,6,0),""))</f>
        <v/>
      </c>
      <c r="G479" s="8"/>
      <c r="H479" s="5"/>
      <c r="I479" s="5"/>
      <c r="J479" s="9"/>
      <c r="K479" s="17" t="str">
        <f aca="false">IF(H479="","",IFERROR(SUMIFS(BD_PLAN!$I$3:$I$312,BD_PLAN!$B$3:$B$312,E479,BD_PLAN!$C$3:$C$312,INDEX(BD_CICLO!$F$3:$F$54,MATCH(E479&amp;"|"&amp;H479,BD_CICLO!$G$3:$G$54,0))),""))</f>
        <v/>
      </c>
      <c r="L479" s="9"/>
      <c r="M479" s="9"/>
      <c r="N479" s="1" t="str">
        <f aca="false">IF(C479="","",C479&amp;"|"&amp;COUNTIF(C$3:C479,C479))</f>
        <v/>
      </c>
      <c r="O479" s="1" t="str">
        <f aca="false">IF(OR(C479="",M479=""),"",C479&amp;"|"&amp;COUNTIFS(C$3:C479,C479,M$3:M479,"&lt;&gt;"))</f>
        <v/>
      </c>
    </row>
    <row r="480" customFormat="false" ht="15" hidden="false" customHeight="false" outlineLevel="0" collapsed="false">
      <c r="B480" s="7"/>
      <c r="C480" s="5"/>
      <c r="D480" s="9" t="str">
        <f aca="false">IF(C480="","",IFERROR(VLOOKUP(C480,EQUIPOS!$B$3:$C$18,2,0),"NO EXISTE"))</f>
        <v/>
      </c>
      <c r="E480" s="9" t="str">
        <f aca="false">IF(C480="","",IFERROR(VLOOKUP(C480,EQUIPOS!$B$3:$F$18,5,0),""))</f>
        <v/>
      </c>
      <c r="F480" s="5" t="str">
        <f aca="false">IF(C480="","",IFERROR(VLOOKUP(C480,EQUIPOS!$B$3:$G$18,6,0),""))</f>
        <v/>
      </c>
      <c r="G480" s="8"/>
      <c r="H480" s="5"/>
      <c r="I480" s="5"/>
      <c r="J480" s="9"/>
      <c r="K480" s="17" t="str">
        <f aca="false">IF(H480="","",IFERROR(SUMIFS(BD_PLAN!$I$3:$I$312,BD_PLAN!$B$3:$B$312,E480,BD_PLAN!$C$3:$C$312,INDEX(BD_CICLO!$F$3:$F$54,MATCH(E480&amp;"|"&amp;H480,BD_CICLO!$G$3:$G$54,0))),""))</f>
        <v/>
      </c>
      <c r="L480" s="9"/>
      <c r="M480" s="9"/>
      <c r="N480" s="1" t="str">
        <f aca="false">IF(C480="","",C480&amp;"|"&amp;COUNTIF(C$3:C480,C480))</f>
        <v/>
      </c>
      <c r="O480" s="1" t="str">
        <f aca="false">IF(OR(C480="",M480=""),"",C480&amp;"|"&amp;COUNTIFS(C$3:C480,C480,M$3:M480,"&lt;&gt;"))</f>
        <v/>
      </c>
    </row>
    <row r="481" customFormat="false" ht="15" hidden="false" customHeight="false" outlineLevel="0" collapsed="false">
      <c r="B481" s="7"/>
      <c r="C481" s="5"/>
      <c r="D481" s="9" t="str">
        <f aca="false">IF(C481="","",IFERROR(VLOOKUP(C481,EQUIPOS!$B$3:$C$18,2,0),"NO EXISTE"))</f>
        <v/>
      </c>
      <c r="E481" s="9" t="str">
        <f aca="false">IF(C481="","",IFERROR(VLOOKUP(C481,EQUIPOS!$B$3:$F$18,5,0),""))</f>
        <v/>
      </c>
      <c r="F481" s="5" t="str">
        <f aca="false">IF(C481="","",IFERROR(VLOOKUP(C481,EQUIPOS!$B$3:$G$18,6,0),""))</f>
        <v/>
      </c>
      <c r="G481" s="8"/>
      <c r="H481" s="5"/>
      <c r="I481" s="5"/>
      <c r="J481" s="9"/>
      <c r="K481" s="17" t="str">
        <f aca="false">IF(H481="","",IFERROR(SUMIFS(BD_PLAN!$I$3:$I$312,BD_PLAN!$B$3:$B$312,E481,BD_PLAN!$C$3:$C$312,INDEX(BD_CICLO!$F$3:$F$54,MATCH(E481&amp;"|"&amp;H481,BD_CICLO!$G$3:$G$54,0))),""))</f>
        <v/>
      </c>
      <c r="L481" s="9"/>
      <c r="M481" s="9"/>
      <c r="N481" s="1" t="str">
        <f aca="false">IF(C481="","",C481&amp;"|"&amp;COUNTIF(C$3:C481,C481))</f>
        <v/>
      </c>
      <c r="O481" s="1" t="str">
        <f aca="false">IF(OR(C481="",M481=""),"",C481&amp;"|"&amp;COUNTIFS(C$3:C481,C481,M$3:M481,"&lt;&gt;"))</f>
        <v/>
      </c>
    </row>
    <row r="482" customFormat="false" ht="15" hidden="false" customHeight="false" outlineLevel="0" collapsed="false">
      <c r="B482" s="7"/>
      <c r="C482" s="5"/>
      <c r="D482" s="9" t="str">
        <f aca="false">IF(C482="","",IFERROR(VLOOKUP(C482,EQUIPOS!$B$3:$C$18,2,0),"NO EXISTE"))</f>
        <v/>
      </c>
      <c r="E482" s="9" t="str">
        <f aca="false">IF(C482="","",IFERROR(VLOOKUP(C482,EQUIPOS!$B$3:$F$18,5,0),""))</f>
        <v/>
      </c>
      <c r="F482" s="5" t="str">
        <f aca="false">IF(C482="","",IFERROR(VLOOKUP(C482,EQUIPOS!$B$3:$G$18,6,0),""))</f>
        <v/>
      </c>
      <c r="G482" s="8"/>
      <c r="H482" s="5"/>
      <c r="I482" s="5"/>
      <c r="J482" s="9"/>
      <c r="K482" s="17" t="str">
        <f aca="false">IF(H482="","",IFERROR(SUMIFS(BD_PLAN!$I$3:$I$312,BD_PLAN!$B$3:$B$312,E482,BD_PLAN!$C$3:$C$312,INDEX(BD_CICLO!$F$3:$F$54,MATCH(E482&amp;"|"&amp;H482,BD_CICLO!$G$3:$G$54,0))),""))</f>
        <v/>
      </c>
      <c r="L482" s="9"/>
      <c r="M482" s="9"/>
      <c r="N482" s="1" t="str">
        <f aca="false">IF(C482="","",C482&amp;"|"&amp;COUNTIF(C$3:C482,C482))</f>
        <v/>
      </c>
      <c r="O482" s="1" t="str">
        <f aca="false">IF(OR(C482="",M482=""),"",C482&amp;"|"&amp;COUNTIFS(C$3:C482,C482,M$3:M482,"&lt;&gt;"))</f>
        <v/>
      </c>
    </row>
    <row r="483" customFormat="false" ht="15" hidden="false" customHeight="false" outlineLevel="0" collapsed="false">
      <c r="B483" s="7"/>
      <c r="C483" s="5"/>
      <c r="D483" s="9" t="str">
        <f aca="false">IF(C483="","",IFERROR(VLOOKUP(C483,EQUIPOS!$B$3:$C$18,2,0),"NO EXISTE"))</f>
        <v/>
      </c>
      <c r="E483" s="9" t="str">
        <f aca="false">IF(C483="","",IFERROR(VLOOKUP(C483,EQUIPOS!$B$3:$F$18,5,0),""))</f>
        <v/>
      </c>
      <c r="F483" s="5" t="str">
        <f aca="false">IF(C483="","",IFERROR(VLOOKUP(C483,EQUIPOS!$B$3:$G$18,6,0),""))</f>
        <v/>
      </c>
      <c r="G483" s="8"/>
      <c r="H483" s="5"/>
      <c r="I483" s="5"/>
      <c r="J483" s="9"/>
      <c r="K483" s="17" t="str">
        <f aca="false">IF(H483="","",IFERROR(SUMIFS(BD_PLAN!$I$3:$I$312,BD_PLAN!$B$3:$B$312,E483,BD_PLAN!$C$3:$C$312,INDEX(BD_CICLO!$F$3:$F$54,MATCH(E483&amp;"|"&amp;H483,BD_CICLO!$G$3:$G$54,0))),""))</f>
        <v/>
      </c>
      <c r="L483" s="9"/>
      <c r="M483" s="9"/>
      <c r="N483" s="1" t="str">
        <f aca="false">IF(C483="","",C483&amp;"|"&amp;COUNTIF(C$3:C483,C483))</f>
        <v/>
      </c>
      <c r="O483" s="1" t="str">
        <f aca="false">IF(OR(C483="",M483=""),"",C483&amp;"|"&amp;COUNTIFS(C$3:C483,C483,M$3:M483,"&lt;&gt;"))</f>
        <v/>
      </c>
    </row>
    <row r="484" customFormat="false" ht="15" hidden="false" customHeight="false" outlineLevel="0" collapsed="false">
      <c r="B484" s="7"/>
      <c r="C484" s="5"/>
      <c r="D484" s="9" t="str">
        <f aca="false">IF(C484="","",IFERROR(VLOOKUP(C484,EQUIPOS!$B$3:$C$18,2,0),"NO EXISTE"))</f>
        <v/>
      </c>
      <c r="E484" s="9" t="str">
        <f aca="false">IF(C484="","",IFERROR(VLOOKUP(C484,EQUIPOS!$B$3:$F$18,5,0),""))</f>
        <v/>
      </c>
      <c r="F484" s="5" t="str">
        <f aca="false">IF(C484="","",IFERROR(VLOOKUP(C484,EQUIPOS!$B$3:$G$18,6,0),""))</f>
        <v/>
      </c>
      <c r="G484" s="8"/>
      <c r="H484" s="5"/>
      <c r="I484" s="5"/>
      <c r="J484" s="9"/>
      <c r="K484" s="17" t="str">
        <f aca="false">IF(H484="","",IFERROR(SUMIFS(BD_PLAN!$I$3:$I$312,BD_PLAN!$B$3:$B$312,E484,BD_PLAN!$C$3:$C$312,INDEX(BD_CICLO!$F$3:$F$54,MATCH(E484&amp;"|"&amp;H484,BD_CICLO!$G$3:$G$54,0))),""))</f>
        <v/>
      </c>
      <c r="L484" s="9"/>
      <c r="M484" s="9"/>
      <c r="N484" s="1" t="str">
        <f aca="false">IF(C484="","",C484&amp;"|"&amp;COUNTIF(C$3:C484,C484))</f>
        <v/>
      </c>
      <c r="O484" s="1" t="str">
        <f aca="false">IF(OR(C484="",M484=""),"",C484&amp;"|"&amp;COUNTIFS(C$3:C484,C484,M$3:M484,"&lt;&gt;"))</f>
        <v/>
      </c>
    </row>
    <row r="485" customFormat="false" ht="15" hidden="false" customHeight="false" outlineLevel="0" collapsed="false">
      <c r="B485" s="7"/>
      <c r="C485" s="5"/>
      <c r="D485" s="9" t="str">
        <f aca="false">IF(C485="","",IFERROR(VLOOKUP(C485,EQUIPOS!$B$3:$C$18,2,0),"NO EXISTE"))</f>
        <v/>
      </c>
      <c r="E485" s="9" t="str">
        <f aca="false">IF(C485="","",IFERROR(VLOOKUP(C485,EQUIPOS!$B$3:$F$18,5,0),""))</f>
        <v/>
      </c>
      <c r="F485" s="5" t="str">
        <f aca="false">IF(C485="","",IFERROR(VLOOKUP(C485,EQUIPOS!$B$3:$G$18,6,0),""))</f>
        <v/>
      </c>
      <c r="G485" s="8"/>
      <c r="H485" s="5"/>
      <c r="I485" s="5"/>
      <c r="J485" s="9"/>
      <c r="K485" s="17" t="str">
        <f aca="false">IF(H485="","",IFERROR(SUMIFS(BD_PLAN!$I$3:$I$312,BD_PLAN!$B$3:$B$312,E485,BD_PLAN!$C$3:$C$312,INDEX(BD_CICLO!$F$3:$F$54,MATCH(E485&amp;"|"&amp;H485,BD_CICLO!$G$3:$G$54,0))),""))</f>
        <v/>
      </c>
      <c r="L485" s="9"/>
      <c r="M485" s="9"/>
      <c r="N485" s="1" t="str">
        <f aca="false">IF(C485="","",C485&amp;"|"&amp;COUNTIF(C$3:C485,C485))</f>
        <v/>
      </c>
      <c r="O485" s="1" t="str">
        <f aca="false">IF(OR(C485="",M485=""),"",C485&amp;"|"&amp;COUNTIFS(C$3:C485,C485,M$3:M485,"&lt;&gt;"))</f>
        <v/>
      </c>
    </row>
    <row r="486" customFormat="false" ht="15" hidden="false" customHeight="false" outlineLevel="0" collapsed="false">
      <c r="B486" s="7"/>
      <c r="C486" s="5"/>
      <c r="D486" s="9" t="str">
        <f aca="false">IF(C486="","",IFERROR(VLOOKUP(C486,EQUIPOS!$B$3:$C$18,2,0),"NO EXISTE"))</f>
        <v/>
      </c>
      <c r="E486" s="9" t="str">
        <f aca="false">IF(C486="","",IFERROR(VLOOKUP(C486,EQUIPOS!$B$3:$F$18,5,0),""))</f>
        <v/>
      </c>
      <c r="F486" s="5" t="str">
        <f aca="false">IF(C486="","",IFERROR(VLOOKUP(C486,EQUIPOS!$B$3:$G$18,6,0),""))</f>
        <v/>
      </c>
      <c r="G486" s="8"/>
      <c r="H486" s="5"/>
      <c r="I486" s="5"/>
      <c r="J486" s="9"/>
      <c r="K486" s="17" t="str">
        <f aca="false">IF(H486="","",IFERROR(SUMIFS(BD_PLAN!$I$3:$I$312,BD_PLAN!$B$3:$B$312,E486,BD_PLAN!$C$3:$C$312,INDEX(BD_CICLO!$F$3:$F$54,MATCH(E486&amp;"|"&amp;H486,BD_CICLO!$G$3:$G$54,0))),""))</f>
        <v/>
      </c>
      <c r="L486" s="9"/>
      <c r="M486" s="9"/>
      <c r="N486" s="1" t="str">
        <f aca="false">IF(C486="","",C486&amp;"|"&amp;COUNTIF(C$3:C486,C486))</f>
        <v/>
      </c>
      <c r="O486" s="1" t="str">
        <f aca="false">IF(OR(C486="",M486=""),"",C486&amp;"|"&amp;COUNTIFS(C$3:C486,C486,M$3:M486,"&lt;&gt;"))</f>
        <v/>
      </c>
    </row>
    <row r="487" customFormat="false" ht="15" hidden="false" customHeight="false" outlineLevel="0" collapsed="false">
      <c r="B487" s="7"/>
      <c r="C487" s="5"/>
      <c r="D487" s="9" t="str">
        <f aca="false">IF(C487="","",IFERROR(VLOOKUP(C487,EQUIPOS!$B$3:$C$18,2,0),"NO EXISTE"))</f>
        <v/>
      </c>
      <c r="E487" s="9" t="str">
        <f aca="false">IF(C487="","",IFERROR(VLOOKUP(C487,EQUIPOS!$B$3:$F$18,5,0),""))</f>
        <v/>
      </c>
      <c r="F487" s="5" t="str">
        <f aca="false">IF(C487="","",IFERROR(VLOOKUP(C487,EQUIPOS!$B$3:$G$18,6,0),""))</f>
        <v/>
      </c>
      <c r="G487" s="8"/>
      <c r="H487" s="5"/>
      <c r="I487" s="5"/>
      <c r="J487" s="9"/>
      <c r="K487" s="17" t="str">
        <f aca="false">IF(H487="","",IFERROR(SUMIFS(BD_PLAN!$I$3:$I$312,BD_PLAN!$B$3:$B$312,E487,BD_PLAN!$C$3:$C$312,INDEX(BD_CICLO!$F$3:$F$54,MATCH(E487&amp;"|"&amp;H487,BD_CICLO!$G$3:$G$54,0))),""))</f>
        <v/>
      </c>
      <c r="L487" s="9"/>
      <c r="M487" s="9"/>
      <c r="N487" s="1" t="str">
        <f aca="false">IF(C487="","",C487&amp;"|"&amp;COUNTIF(C$3:C487,C487))</f>
        <v/>
      </c>
      <c r="O487" s="1" t="str">
        <f aca="false">IF(OR(C487="",M487=""),"",C487&amp;"|"&amp;COUNTIFS(C$3:C487,C487,M$3:M487,"&lt;&gt;"))</f>
        <v/>
      </c>
    </row>
    <row r="488" customFormat="false" ht="15" hidden="false" customHeight="false" outlineLevel="0" collapsed="false">
      <c r="B488" s="7"/>
      <c r="C488" s="5"/>
      <c r="D488" s="9" t="str">
        <f aca="false">IF(C488="","",IFERROR(VLOOKUP(C488,EQUIPOS!$B$3:$C$18,2,0),"NO EXISTE"))</f>
        <v/>
      </c>
      <c r="E488" s="9" t="str">
        <f aca="false">IF(C488="","",IFERROR(VLOOKUP(C488,EQUIPOS!$B$3:$F$18,5,0),""))</f>
        <v/>
      </c>
      <c r="F488" s="5" t="str">
        <f aca="false">IF(C488="","",IFERROR(VLOOKUP(C488,EQUIPOS!$B$3:$G$18,6,0),""))</f>
        <v/>
      </c>
      <c r="G488" s="8"/>
      <c r="H488" s="5"/>
      <c r="I488" s="5"/>
      <c r="J488" s="9"/>
      <c r="K488" s="17" t="str">
        <f aca="false">IF(H488="","",IFERROR(SUMIFS(BD_PLAN!$I$3:$I$312,BD_PLAN!$B$3:$B$312,E488,BD_PLAN!$C$3:$C$312,INDEX(BD_CICLO!$F$3:$F$54,MATCH(E488&amp;"|"&amp;H488,BD_CICLO!$G$3:$G$54,0))),""))</f>
        <v/>
      </c>
      <c r="L488" s="9"/>
      <c r="M488" s="9"/>
      <c r="N488" s="1" t="str">
        <f aca="false">IF(C488="","",C488&amp;"|"&amp;COUNTIF(C$3:C488,C488))</f>
        <v/>
      </c>
      <c r="O488" s="1" t="str">
        <f aca="false">IF(OR(C488="",M488=""),"",C488&amp;"|"&amp;COUNTIFS(C$3:C488,C488,M$3:M488,"&lt;&gt;"))</f>
        <v/>
      </c>
    </row>
    <row r="489" customFormat="false" ht="15" hidden="false" customHeight="false" outlineLevel="0" collapsed="false">
      <c r="B489" s="7"/>
      <c r="C489" s="5"/>
      <c r="D489" s="9" t="str">
        <f aca="false">IF(C489="","",IFERROR(VLOOKUP(C489,EQUIPOS!$B$3:$C$18,2,0),"NO EXISTE"))</f>
        <v/>
      </c>
      <c r="E489" s="9" t="str">
        <f aca="false">IF(C489="","",IFERROR(VLOOKUP(C489,EQUIPOS!$B$3:$F$18,5,0),""))</f>
        <v/>
      </c>
      <c r="F489" s="5" t="str">
        <f aca="false">IF(C489="","",IFERROR(VLOOKUP(C489,EQUIPOS!$B$3:$G$18,6,0),""))</f>
        <v/>
      </c>
      <c r="G489" s="8"/>
      <c r="H489" s="5"/>
      <c r="I489" s="5"/>
      <c r="J489" s="9"/>
      <c r="K489" s="17" t="str">
        <f aca="false">IF(H489="","",IFERROR(SUMIFS(BD_PLAN!$I$3:$I$312,BD_PLAN!$B$3:$B$312,E489,BD_PLAN!$C$3:$C$312,INDEX(BD_CICLO!$F$3:$F$54,MATCH(E489&amp;"|"&amp;H489,BD_CICLO!$G$3:$G$54,0))),""))</f>
        <v/>
      </c>
      <c r="L489" s="9"/>
      <c r="M489" s="9"/>
      <c r="N489" s="1" t="str">
        <f aca="false">IF(C489="","",C489&amp;"|"&amp;COUNTIF(C$3:C489,C489))</f>
        <v/>
      </c>
      <c r="O489" s="1" t="str">
        <f aca="false">IF(OR(C489="",M489=""),"",C489&amp;"|"&amp;COUNTIFS(C$3:C489,C489,M$3:M489,"&lt;&gt;"))</f>
        <v/>
      </c>
    </row>
    <row r="490" customFormat="false" ht="15" hidden="false" customHeight="false" outlineLevel="0" collapsed="false">
      <c r="B490" s="7"/>
      <c r="C490" s="5"/>
      <c r="D490" s="9" t="str">
        <f aca="false">IF(C490="","",IFERROR(VLOOKUP(C490,EQUIPOS!$B$3:$C$18,2,0),"NO EXISTE"))</f>
        <v/>
      </c>
      <c r="E490" s="9" t="str">
        <f aca="false">IF(C490="","",IFERROR(VLOOKUP(C490,EQUIPOS!$B$3:$F$18,5,0),""))</f>
        <v/>
      </c>
      <c r="F490" s="5" t="str">
        <f aca="false">IF(C490="","",IFERROR(VLOOKUP(C490,EQUIPOS!$B$3:$G$18,6,0),""))</f>
        <v/>
      </c>
      <c r="G490" s="8"/>
      <c r="H490" s="5"/>
      <c r="I490" s="5"/>
      <c r="J490" s="9"/>
      <c r="K490" s="17" t="str">
        <f aca="false">IF(H490="","",IFERROR(SUMIFS(BD_PLAN!$I$3:$I$312,BD_PLAN!$B$3:$B$312,E490,BD_PLAN!$C$3:$C$312,INDEX(BD_CICLO!$F$3:$F$54,MATCH(E490&amp;"|"&amp;H490,BD_CICLO!$G$3:$G$54,0))),""))</f>
        <v/>
      </c>
      <c r="L490" s="9"/>
      <c r="M490" s="9"/>
      <c r="N490" s="1" t="str">
        <f aca="false">IF(C490="","",C490&amp;"|"&amp;COUNTIF(C$3:C490,C490))</f>
        <v/>
      </c>
      <c r="O490" s="1" t="str">
        <f aca="false">IF(OR(C490="",M490=""),"",C490&amp;"|"&amp;COUNTIFS(C$3:C490,C490,M$3:M490,"&lt;&gt;"))</f>
        <v/>
      </c>
    </row>
    <row r="491" customFormat="false" ht="15" hidden="false" customHeight="false" outlineLevel="0" collapsed="false">
      <c r="B491" s="7"/>
      <c r="C491" s="5"/>
      <c r="D491" s="9" t="str">
        <f aca="false">IF(C491="","",IFERROR(VLOOKUP(C491,EQUIPOS!$B$3:$C$18,2,0),"NO EXISTE"))</f>
        <v/>
      </c>
      <c r="E491" s="9" t="str">
        <f aca="false">IF(C491="","",IFERROR(VLOOKUP(C491,EQUIPOS!$B$3:$F$18,5,0),""))</f>
        <v/>
      </c>
      <c r="F491" s="5" t="str">
        <f aca="false">IF(C491="","",IFERROR(VLOOKUP(C491,EQUIPOS!$B$3:$G$18,6,0),""))</f>
        <v/>
      </c>
      <c r="G491" s="8"/>
      <c r="H491" s="5"/>
      <c r="I491" s="5"/>
      <c r="J491" s="9"/>
      <c r="K491" s="17" t="str">
        <f aca="false">IF(H491="","",IFERROR(SUMIFS(BD_PLAN!$I$3:$I$312,BD_PLAN!$B$3:$B$312,E491,BD_PLAN!$C$3:$C$312,INDEX(BD_CICLO!$F$3:$F$54,MATCH(E491&amp;"|"&amp;H491,BD_CICLO!$G$3:$G$54,0))),""))</f>
        <v/>
      </c>
      <c r="L491" s="9"/>
      <c r="M491" s="9"/>
      <c r="N491" s="1" t="str">
        <f aca="false">IF(C491="","",C491&amp;"|"&amp;COUNTIF(C$3:C491,C491))</f>
        <v/>
      </c>
      <c r="O491" s="1" t="str">
        <f aca="false">IF(OR(C491="",M491=""),"",C491&amp;"|"&amp;COUNTIFS(C$3:C491,C491,M$3:M491,"&lt;&gt;"))</f>
        <v/>
      </c>
    </row>
    <row r="492" customFormat="false" ht="15" hidden="false" customHeight="false" outlineLevel="0" collapsed="false">
      <c r="B492" s="7"/>
      <c r="C492" s="5"/>
      <c r="D492" s="9" t="str">
        <f aca="false">IF(C492="","",IFERROR(VLOOKUP(C492,EQUIPOS!$B$3:$C$18,2,0),"NO EXISTE"))</f>
        <v/>
      </c>
      <c r="E492" s="9" t="str">
        <f aca="false">IF(C492="","",IFERROR(VLOOKUP(C492,EQUIPOS!$B$3:$F$18,5,0),""))</f>
        <v/>
      </c>
      <c r="F492" s="5" t="str">
        <f aca="false">IF(C492="","",IFERROR(VLOOKUP(C492,EQUIPOS!$B$3:$G$18,6,0),""))</f>
        <v/>
      </c>
      <c r="G492" s="8"/>
      <c r="H492" s="5"/>
      <c r="I492" s="5"/>
      <c r="J492" s="9"/>
      <c r="K492" s="17" t="str">
        <f aca="false">IF(H492="","",IFERROR(SUMIFS(BD_PLAN!$I$3:$I$312,BD_PLAN!$B$3:$B$312,E492,BD_PLAN!$C$3:$C$312,INDEX(BD_CICLO!$F$3:$F$54,MATCH(E492&amp;"|"&amp;H492,BD_CICLO!$G$3:$G$54,0))),""))</f>
        <v/>
      </c>
      <c r="L492" s="9"/>
      <c r="M492" s="9"/>
      <c r="N492" s="1" t="str">
        <f aca="false">IF(C492="","",C492&amp;"|"&amp;COUNTIF(C$3:C492,C492))</f>
        <v/>
      </c>
      <c r="O492" s="1" t="str">
        <f aca="false">IF(OR(C492="",M492=""),"",C492&amp;"|"&amp;COUNTIFS(C$3:C492,C492,M$3:M492,"&lt;&gt;"))</f>
        <v/>
      </c>
    </row>
    <row r="493" customFormat="false" ht="15" hidden="false" customHeight="false" outlineLevel="0" collapsed="false">
      <c r="B493" s="7"/>
      <c r="C493" s="5"/>
      <c r="D493" s="9" t="str">
        <f aca="false">IF(C493="","",IFERROR(VLOOKUP(C493,EQUIPOS!$B$3:$C$18,2,0),"NO EXISTE"))</f>
        <v/>
      </c>
      <c r="E493" s="9" t="str">
        <f aca="false">IF(C493="","",IFERROR(VLOOKUP(C493,EQUIPOS!$B$3:$F$18,5,0),""))</f>
        <v/>
      </c>
      <c r="F493" s="5" t="str">
        <f aca="false">IF(C493="","",IFERROR(VLOOKUP(C493,EQUIPOS!$B$3:$G$18,6,0),""))</f>
        <v/>
      </c>
      <c r="G493" s="8"/>
      <c r="H493" s="5"/>
      <c r="I493" s="5"/>
      <c r="J493" s="9"/>
      <c r="K493" s="17" t="str">
        <f aca="false">IF(H493="","",IFERROR(SUMIFS(BD_PLAN!$I$3:$I$312,BD_PLAN!$B$3:$B$312,E493,BD_PLAN!$C$3:$C$312,INDEX(BD_CICLO!$F$3:$F$54,MATCH(E493&amp;"|"&amp;H493,BD_CICLO!$G$3:$G$54,0))),""))</f>
        <v/>
      </c>
      <c r="L493" s="9"/>
      <c r="M493" s="9"/>
      <c r="N493" s="1" t="str">
        <f aca="false">IF(C493="","",C493&amp;"|"&amp;COUNTIF(C$3:C493,C493))</f>
        <v/>
      </c>
      <c r="O493" s="1" t="str">
        <f aca="false">IF(OR(C493="",M493=""),"",C493&amp;"|"&amp;COUNTIFS(C$3:C493,C493,M$3:M493,"&lt;&gt;"))</f>
        <v/>
      </c>
    </row>
    <row r="494" customFormat="false" ht="15" hidden="false" customHeight="false" outlineLevel="0" collapsed="false">
      <c r="B494" s="7"/>
      <c r="C494" s="5"/>
      <c r="D494" s="9" t="str">
        <f aca="false">IF(C494="","",IFERROR(VLOOKUP(C494,EQUIPOS!$B$3:$C$18,2,0),"NO EXISTE"))</f>
        <v/>
      </c>
      <c r="E494" s="9" t="str">
        <f aca="false">IF(C494="","",IFERROR(VLOOKUP(C494,EQUIPOS!$B$3:$F$18,5,0),""))</f>
        <v/>
      </c>
      <c r="F494" s="5" t="str">
        <f aca="false">IF(C494="","",IFERROR(VLOOKUP(C494,EQUIPOS!$B$3:$G$18,6,0),""))</f>
        <v/>
      </c>
      <c r="G494" s="8"/>
      <c r="H494" s="5"/>
      <c r="I494" s="5"/>
      <c r="J494" s="9"/>
      <c r="K494" s="17" t="str">
        <f aca="false">IF(H494="","",IFERROR(SUMIFS(BD_PLAN!$I$3:$I$312,BD_PLAN!$B$3:$B$312,E494,BD_PLAN!$C$3:$C$312,INDEX(BD_CICLO!$F$3:$F$54,MATCH(E494&amp;"|"&amp;H494,BD_CICLO!$G$3:$G$54,0))),""))</f>
        <v/>
      </c>
      <c r="L494" s="9"/>
      <c r="M494" s="9"/>
      <c r="N494" s="1" t="str">
        <f aca="false">IF(C494="","",C494&amp;"|"&amp;COUNTIF(C$3:C494,C494))</f>
        <v/>
      </c>
      <c r="O494" s="1" t="str">
        <f aca="false">IF(OR(C494="",M494=""),"",C494&amp;"|"&amp;COUNTIFS(C$3:C494,C494,M$3:M494,"&lt;&gt;"))</f>
        <v/>
      </c>
    </row>
    <row r="495" customFormat="false" ht="15" hidden="false" customHeight="false" outlineLevel="0" collapsed="false">
      <c r="B495" s="7"/>
      <c r="C495" s="5"/>
      <c r="D495" s="9" t="str">
        <f aca="false">IF(C495="","",IFERROR(VLOOKUP(C495,EQUIPOS!$B$3:$C$18,2,0),"NO EXISTE"))</f>
        <v/>
      </c>
      <c r="E495" s="9" t="str">
        <f aca="false">IF(C495="","",IFERROR(VLOOKUP(C495,EQUIPOS!$B$3:$F$18,5,0),""))</f>
        <v/>
      </c>
      <c r="F495" s="5" t="str">
        <f aca="false">IF(C495="","",IFERROR(VLOOKUP(C495,EQUIPOS!$B$3:$G$18,6,0),""))</f>
        <v/>
      </c>
      <c r="G495" s="8"/>
      <c r="H495" s="5"/>
      <c r="I495" s="5"/>
      <c r="J495" s="9"/>
      <c r="K495" s="17" t="str">
        <f aca="false">IF(H495="","",IFERROR(SUMIFS(BD_PLAN!$I$3:$I$312,BD_PLAN!$B$3:$B$312,E495,BD_PLAN!$C$3:$C$312,INDEX(BD_CICLO!$F$3:$F$54,MATCH(E495&amp;"|"&amp;H495,BD_CICLO!$G$3:$G$54,0))),""))</f>
        <v/>
      </c>
      <c r="L495" s="9"/>
      <c r="M495" s="9"/>
      <c r="N495" s="1" t="str">
        <f aca="false">IF(C495="","",C495&amp;"|"&amp;COUNTIF(C$3:C495,C495))</f>
        <v/>
      </c>
      <c r="O495" s="1" t="str">
        <f aca="false">IF(OR(C495="",M495=""),"",C495&amp;"|"&amp;COUNTIFS(C$3:C495,C495,M$3:M495,"&lt;&gt;"))</f>
        <v/>
      </c>
    </row>
    <row r="496" customFormat="false" ht="15" hidden="false" customHeight="false" outlineLevel="0" collapsed="false">
      <c r="B496" s="7"/>
      <c r="C496" s="5"/>
      <c r="D496" s="9" t="str">
        <f aca="false">IF(C496="","",IFERROR(VLOOKUP(C496,EQUIPOS!$B$3:$C$18,2,0),"NO EXISTE"))</f>
        <v/>
      </c>
      <c r="E496" s="9" t="str">
        <f aca="false">IF(C496="","",IFERROR(VLOOKUP(C496,EQUIPOS!$B$3:$F$18,5,0),""))</f>
        <v/>
      </c>
      <c r="F496" s="5" t="str">
        <f aca="false">IF(C496="","",IFERROR(VLOOKUP(C496,EQUIPOS!$B$3:$G$18,6,0),""))</f>
        <v/>
      </c>
      <c r="G496" s="8"/>
      <c r="H496" s="5"/>
      <c r="I496" s="5"/>
      <c r="J496" s="9"/>
      <c r="K496" s="17" t="str">
        <f aca="false">IF(H496="","",IFERROR(SUMIFS(BD_PLAN!$I$3:$I$312,BD_PLAN!$B$3:$B$312,E496,BD_PLAN!$C$3:$C$312,INDEX(BD_CICLO!$F$3:$F$54,MATCH(E496&amp;"|"&amp;H496,BD_CICLO!$G$3:$G$54,0))),""))</f>
        <v/>
      </c>
      <c r="L496" s="9"/>
      <c r="M496" s="9"/>
      <c r="N496" s="1" t="str">
        <f aca="false">IF(C496="","",C496&amp;"|"&amp;COUNTIF(C$3:C496,C496))</f>
        <v/>
      </c>
      <c r="O496" s="1" t="str">
        <f aca="false">IF(OR(C496="",M496=""),"",C496&amp;"|"&amp;COUNTIFS(C$3:C496,C496,M$3:M496,"&lt;&gt;"))</f>
        <v/>
      </c>
    </row>
    <row r="497" customFormat="false" ht="15" hidden="false" customHeight="false" outlineLevel="0" collapsed="false">
      <c r="B497" s="7"/>
      <c r="C497" s="5"/>
      <c r="D497" s="9" t="str">
        <f aca="false">IF(C497="","",IFERROR(VLOOKUP(C497,EQUIPOS!$B$3:$C$18,2,0),"NO EXISTE"))</f>
        <v/>
      </c>
      <c r="E497" s="9" t="str">
        <f aca="false">IF(C497="","",IFERROR(VLOOKUP(C497,EQUIPOS!$B$3:$F$18,5,0),""))</f>
        <v/>
      </c>
      <c r="F497" s="5" t="str">
        <f aca="false">IF(C497="","",IFERROR(VLOOKUP(C497,EQUIPOS!$B$3:$G$18,6,0),""))</f>
        <v/>
      </c>
      <c r="G497" s="8"/>
      <c r="H497" s="5"/>
      <c r="I497" s="5"/>
      <c r="J497" s="9"/>
      <c r="K497" s="17" t="str">
        <f aca="false">IF(H497="","",IFERROR(SUMIFS(BD_PLAN!$I$3:$I$312,BD_PLAN!$B$3:$B$312,E497,BD_PLAN!$C$3:$C$312,INDEX(BD_CICLO!$F$3:$F$54,MATCH(E497&amp;"|"&amp;H497,BD_CICLO!$G$3:$G$54,0))),""))</f>
        <v/>
      </c>
      <c r="L497" s="9"/>
      <c r="M497" s="9"/>
      <c r="N497" s="1" t="str">
        <f aca="false">IF(C497="","",C497&amp;"|"&amp;COUNTIF(C$3:C497,C497))</f>
        <v/>
      </c>
      <c r="O497" s="1" t="str">
        <f aca="false">IF(OR(C497="",M497=""),"",C497&amp;"|"&amp;COUNTIFS(C$3:C497,C497,M$3:M497,"&lt;&gt;"))</f>
        <v/>
      </c>
    </row>
    <row r="498" customFormat="false" ht="15" hidden="false" customHeight="false" outlineLevel="0" collapsed="false">
      <c r="B498" s="7"/>
      <c r="C498" s="5"/>
      <c r="D498" s="9" t="str">
        <f aca="false">IF(C498="","",IFERROR(VLOOKUP(C498,EQUIPOS!$B$3:$C$18,2,0),"NO EXISTE"))</f>
        <v/>
      </c>
      <c r="E498" s="9" t="str">
        <f aca="false">IF(C498="","",IFERROR(VLOOKUP(C498,EQUIPOS!$B$3:$F$18,5,0),""))</f>
        <v/>
      </c>
      <c r="F498" s="5" t="str">
        <f aca="false">IF(C498="","",IFERROR(VLOOKUP(C498,EQUIPOS!$B$3:$G$18,6,0),""))</f>
        <v/>
      </c>
      <c r="G498" s="8"/>
      <c r="H498" s="5"/>
      <c r="I498" s="5"/>
      <c r="J498" s="9"/>
      <c r="K498" s="17" t="str">
        <f aca="false">IF(H498="","",IFERROR(SUMIFS(BD_PLAN!$I$3:$I$312,BD_PLAN!$B$3:$B$312,E498,BD_PLAN!$C$3:$C$312,INDEX(BD_CICLO!$F$3:$F$54,MATCH(E498&amp;"|"&amp;H498,BD_CICLO!$G$3:$G$54,0))),""))</f>
        <v/>
      </c>
      <c r="L498" s="9"/>
      <c r="M498" s="9"/>
      <c r="N498" s="1" t="str">
        <f aca="false">IF(C498="","",C498&amp;"|"&amp;COUNTIF(C$3:C498,C498))</f>
        <v/>
      </c>
      <c r="O498" s="1" t="str">
        <f aca="false">IF(OR(C498="",M498=""),"",C498&amp;"|"&amp;COUNTIFS(C$3:C498,C498,M$3:M498,"&lt;&gt;"))</f>
        <v/>
      </c>
    </row>
    <row r="499" customFormat="false" ht="15" hidden="false" customHeight="false" outlineLevel="0" collapsed="false">
      <c r="B499" s="7"/>
      <c r="C499" s="5"/>
      <c r="D499" s="9" t="str">
        <f aca="false">IF(C499="","",IFERROR(VLOOKUP(C499,EQUIPOS!$B$3:$C$18,2,0),"NO EXISTE"))</f>
        <v/>
      </c>
      <c r="E499" s="9" t="str">
        <f aca="false">IF(C499="","",IFERROR(VLOOKUP(C499,EQUIPOS!$B$3:$F$18,5,0),""))</f>
        <v/>
      </c>
      <c r="F499" s="5" t="str">
        <f aca="false">IF(C499="","",IFERROR(VLOOKUP(C499,EQUIPOS!$B$3:$G$18,6,0),""))</f>
        <v/>
      </c>
      <c r="G499" s="8"/>
      <c r="H499" s="5"/>
      <c r="I499" s="5"/>
      <c r="J499" s="9"/>
      <c r="K499" s="17" t="str">
        <f aca="false">IF(H499="","",IFERROR(SUMIFS(BD_PLAN!$I$3:$I$312,BD_PLAN!$B$3:$B$312,E499,BD_PLAN!$C$3:$C$312,INDEX(BD_CICLO!$F$3:$F$54,MATCH(E499&amp;"|"&amp;H499,BD_CICLO!$G$3:$G$54,0))),""))</f>
        <v/>
      </c>
      <c r="L499" s="9"/>
      <c r="M499" s="9"/>
      <c r="N499" s="1" t="str">
        <f aca="false">IF(C499="","",C499&amp;"|"&amp;COUNTIF(C$3:C499,C499))</f>
        <v/>
      </c>
      <c r="O499" s="1" t="str">
        <f aca="false">IF(OR(C499="",M499=""),"",C499&amp;"|"&amp;COUNTIFS(C$3:C499,C499,M$3:M499,"&lt;&gt;"))</f>
        <v/>
      </c>
    </row>
    <row r="500" customFormat="false" ht="15" hidden="false" customHeight="false" outlineLevel="0" collapsed="false">
      <c r="B500" s="7"/>
      <c r="C500" s="5"/>
      <c r="D500" s="9" t="str">
        <f aca="false">IF(C500="","",IFERROR(VLOOKUP(C500,EQUIPOS!$B$3:$C$18,2,0),"NO EXISTE"))</f>
        <v/>
      </c>
      <c r="E500" s="9" t="str">
        <f aca="false">IF(C500="","",IFERROR(VLOOKUP(C500,EQUIPOS!$B$3:$F$18,5,0),""))</f>
        <v/>
      </c>
      <c r="F500" s="5" t="str">
        <f aca="false">IF(C500="","",IFERROR(VLOOKUP(C500,EQUIPOS!$B$3:$G$18,6,0),""))</f>
        <v/>
      </c>
      <c r="G500" s="8"/>
      <c r="H500" s="5"/>
      <c r="I500" s="5"/>
      <c r="J500" s="9"/>
      <c r="K500" s="17" t="str">
        <f aca="false">IF(H500="","",IFERROR(SUMIFS(BD_PLAN!$I$3:$I$312,BD_PLAN!$B$3:$B$312,E500,BD_PLAN!$C$3:$C$312,INDEX(BD_CICLO!$F$3:$F$54,MATCH(E500&amp;"|"&amp;H500,BD_CICLO!$G$3:$G$54,0))),""))</f>
        <v/>
      </c>
      <c r="L500" s="9"/>
      <c r="M500" s="9"/>
      <c r="N500" s="1" t="str">
        <f aca="false">IF(C500="","",C500&amp;"|"&amp;COUNTIF(C$3:C500,C500))</f>
        <v/>
      </c>
      <c r="O500" s="1" t="str">
        <f aca="false">IF(OR(C500="",M500=""),"",C500&amp;"|"&amp;COUNTIFS(C$3:C500,C500,M$3:M500,"&lt;&gt;"))</f>
        <v/>
      </c>
    </row>
    <row r="501" customFormat="false" ht="15" hidden="false" customHeight="false" outlineLevel="0" collapsed="false">
      <c r="B501" s="7"/>
      <c r="C501" s="5"/>
      <c r="D501" s="9" t="str">
        <f aca="false">IF(C501="","",IFERROR(VLOOKUP(C501,EQUIPOS!$B$3:$C$18,2,0),"NO EXISTE"))</f>
        <v/>
      </c>
      <c r="E501" s="9" t="str">
        <f aca="false">IF(C501="","",IFERROR(VLOOKUP(C501,EQUIPOS!$B$3:$F$18,5,0),""))</f>
        <v/>
      </c>
      <c r="F501" s="5" t="str">
        <f aca="false">IF(C501="","",IFERROR(VLOOKUP(C501,EQUIPOS!$B$3:$G$18,6,0),""))</f>
        <v/>
      </c>
      <c r="G501" s="8"/>
      <c r="H501" s="5"/>
      <c r="I501" s="5"/>
      <c r="J501" s="9"/>
      <c r="K501" s="17" t="str">
        <f aca="false">IF(H501="","",IFERROR(SUMIFS(BD_PLAN!$I$3:$I$312,BD_PLAN!$B$3:$B$312,E501,BD_PLAN!$C$3:$C$312,INDEX(BD_CICLO!$F$3:$F$54,MATCH(E501&amp;"|"&amp;H501,BD_CICLO!$G$3:$G$54,0))),""))</f>
        <v/>
      </c>
      <c r="L501" s="9"/>
      <c r="M501" s="9"/>
      <c r="N501" s="1" t="str">
        <f aca="false">IF(C501="","",C501&amp;"|"&amp;COUNTIF(C$3:C501,C501))</f>
        <v/>
      </c>
      <c r="O501" s="1" t="str">
        <f aca="false">IF(OR(C501="",M501=""),"",C501&amp;"|"&amp;COUNTIFS(C$3:C501,C501,M$3:M501,"&lt;&gt;"))</f>
        <v/>
      </c>
    </row>
    <row r="502" customFormat="false" ht="15" hidden="false" customHeight="false" outlineLevel="0" collapsed="false">
      <c r="B502" s="7"/>
      <c r="C502" s="5"/>
      <c r="D502" s="9" t="str">
        <f aca="false">IF(C502="","",IFERROR(VLOOKUP(C502,EQUIPOS!$B$3:$C$18,2,0),"NO EXISTE"))</f>
        <v/>
      </c>
      <c r="E502" s="9" t="str">
        <f aca="false">IF(C502="","",IFERROR(VLOOKUP(C502,EQUIPOS!$B$3:$F$18,5,0),""))</f>
        <v/>
      </c>
      <c r="F502" s="5" t="str">
        <f aca="false">IF(C502="","",IFERROR(VLOOKUP(C502,EQUIPOS!$B$3:$G$18,6,0),""))</f>
        <v/>
      </c>
      <c r="G502" s="8"/>
      <c r="H502" s="5"/>
      <c r="I502" s="5"/>
      <c r="J502" s="9"/>
      <c r="K502" s="17" t="str">
        <f aca="false">IF(H502="","",IFERROR(SUMIFS(BD_PLAN!$I$3:$I$312,BD_PLAN!$B$3:$B$312,E502,BD_PLAN!$C$3:$C$312,INDEX(BD_CICLO!$F$3:$F$54,MATCH(E502&amp;"|"&amp;H502,BD_CICLO!$G$3:$G$54,0))),""))</f>
        <v/>
      </c>
      <c r="L502" s="9"/>
      <c r="M502" s="9"/>
      <c r="N502" s="1" t="str">
        <f aca="false">IF(C502="","",C502&amp;"|"&amp;COUNTIF(C$3:C502,C502))</f>
        <v/>
      </c>
      <c r="O502" s="1" t="str">
        <f aca="false">IF(OR(C502="",M502=""),"",C502&amp;"|"&amp;COUNTIFS(C$3:C502,C502,M$3:M502,"&lt;&gt;"))</f>
        <v/>
      </c>
    </row>
    <row r="503" customFormat="false" ht="15" hidden="false" customHeight="false" outlineLevel="0" collapsed="false">
      <c r="B503" s="7"/>
      <c r="C503" s="5"/>
      <c r="D503" s="9" t="str">
        <f aca="false">IF(C503="","",IFERROR(VLOOKUP(C503,EQUIPOS!$B$3:$C$18,2,0),"NO EXISTE"))</f>
        <v/>
      </c>
      <c r="E503" s="9" t="str">
        <f aca="false">IF(C503="","",IFERROR(VLOOKUP(C503,EQUIPOS!$B$3:$F$18,5,0),""))</f>
        <v/>
      </c>
      <c r="F503" s="5" t="str">
        <f aca="false">IF(C503="","",IFERROR(VLOOKUP(C503,EQUIPOS!$B$3:$G$18,6,0),""))</f>
        <v/>
      </c>
      <c r="G503" s="8"/>
      <c r="H503" s="5"/>
      <c r="I503" s="5"/>
      <c r="J503" s="9"/>
      <c r="K503" s="17" t="str">
        <f aca="false">IF(H503="","",IFERROR(SUMIFS(BD_PLAN!$I$3:$I$312,BD_PLAN!$B$3:$B$312,E503,BD_PLAN!$C$3:$C$312,INDEX(BD_CICLO!$F$3:$F$54,MATCH(E503&amp;"|"&amp;H503,BD_CICLO!$G$3:$G$54,0))),""))</f>
        <v/>
      </c>
      <c r="L503" s="9"/>
      <c r="M503" s="9"/>
      <c r="N503" s="1" t="str">
        <f aca="false">IF(C503="","",C503&amp;"|"&amp;COUNTIF(C$3:C503,C503))</f>
        <v/>
      </c>
      <c r="O503" s="1" t="str">
        <f aca="false">IF(OR(C503="",M503=""),"",C503&amp;"|"&amp;COUNTIFS(C$3:C503,C503,M$3:M503,"&lt;&gt;"))</f>
        <v/>
      </c>
    </row>
    <row r="504" customFormat="false" ht="15" hidden="false" customHeight="false" outlineLevel="0" collapsed="false">
      <c r="B504" s="7"/>
      <c r="C504" s="5"/>
      <c r="D504" s="9" t="str">
        <f aca="false">IF(C504="","",IFERROR(VLOOKUP(C504,EQUIPOS!$B$3:$C$18,2,0),"NO EXISTE"))</f>
        <v/>
      </c>
      <c r="E504" s="9" t="str">
        <f aca="false">IF(C504="","",IFERROR(VLOOKUP(C504,EQUIPOS!$B$3:$F$18,5,0),""))</f>
        <v/>
      </c>
      <c r="F504" s="5" t="str">
        <f aca="false">IF(C504="","",IFERROR(VLOOKUP(C504,EQUIPOS!$B$3:$G$18,6,0),""))</f>
        <v/>
      </c>
      <c r="G504" s="8"/>
      <c r="H504" s="5"/>
      <c r="I504" s="5"/>
      <c r="J504" s="9"/>
      <c r="K504" s="17" t="str">
        <f aca="false">IF(H504="","",IFERROR(SUMIFS(BD_PLAN!$I$3:$I$312,BD_PLAN!$B$3:$B$312,E504,BD_PLAN!$C$3:$C$312,INDEX(BD_CICLO!$F$3:$F$54,MATCH(E504&amp;"|"&amp;H504,BD_CICLO!$G$3:$G$54,0))),""))</f>
        <v/>
      </c>
      <c r="L504" s="9"/>
      <c r="M504" s="9"/>
      <c r="N504" s="1" t="str">
        <f aca="false">IF(C504="","",C504&amp;"|"&amp;COUNTIF(C$3:C504,C504))</f>
        <v/>
      </c>
      <c r="O504" s="1" t="str">
        <f aca="false">IF(OR(C504="",M504=""),"",C504&amp;"|"&amp;COUNTIFS(C$3:C504,C504,M$3:M504,"&lt;&gt;"))</f>
        <v/>
      </c>
    </row>
    <row r="505" customFormat="false" ht="15" hidden="false" customHeight="false" outlineLevel="0" collapsed="false">
      <c r="B505" s="7"/>
      <c r="C505" s="5"/>
      <c r="D505" s="9" t="str">
        <f aca="false">IF(C505="","",IFERROR(VLOOKUP(C505,EQUIPOS!$B$3:$C$18,2,0),"NO EXISTE"))</f>
        <v/>
      </c>
      <c r="E505" s="9" t="str">
        <f aca="false">IF(C505="","",IFERROR(VLOOKUP(C505,EQUIPOS!$B$3:$F$18,5,0),""))</f>
        <v/>
      </c>
      <c r="F505" s="5" t="str">
        <f aca="false">IF(C505="","",IFERROR(VLOOKUP(C505,EQUIPOS!$B$3:$G$18,6,0),""))</f>
        <v/>
      </c>
      <c r="G505" s="8"/>
      <c r="H505" s="5"/>
      <c r="I505" s="5"/>
      <c r="J505" s="9"/>
      <c r="K505" s="17" t="str">
        <f aca="false">IF(H505="","",IFERROR(SUMIFS(BD_PLAN!$I$3:$I$312,BD_PLAN!$B$3:$B$312,E505,BD_PLAN!$C$3:$C$312,INDEX(BD_CICLO!$F$3:$F$54,MATCH(E505&amp;"|"&amp;H505,BD_CICLO!$G$3:$G$54,0))),""))</f>
        <v/>
      </c>
      <c r="L505" s="9"/>
      <c r="M505" s="9"/>
      <c r="N505" s="1" t="str">
        <f aca="false">IF(C505="","",C505&amp;"|"&amp;COUNTIF(C$3:C505,C505))</f>
        <v/>
      </c>
      <c r="O505" s="1" t="str">
        <f aca="false">IF(OR(C505="",M505=""),"",C505&amp;"|"&amp;COUNTIFS(C$3:C505,C505,M$3:M505,"&lt;&gt;"))</f>
        <v/>
      </c>
    </row>
    <row r="506" customFormat="false" ht="15" hidden="false" customHeight="false" outlineLevel="0" collapsed="false">
      <c r="B506" s="7"/>
      <c r="C506" s="5"/>
      <c r="D506" s="9" t="str">
        <f aca="false">IF(C506="","",IFERROR(VLOOKUP(C506,EQUIPOS!$B$3:$C$18,2,0),"NO EXISTE"))</f>
        <v/>
      </c>
      <c r="E506" s="9" t="str">
        <f aca="false">IF(C506="","",IFERROR(VLOOKUP(C506,EQUIPOS!$B$3:$F$18,5,0),""))</f>
        <v/>
      </c>
      <c r="F506" s="5" t="str">
        <f aca="false">IF(C506="","",IFERROR(VLOOKUP(C506,EQUIPOS!$B$3:$G$18,6,0),""))</f>
        <v/>
      </c>
      <c r="G506" s="8"/>
      <c r="H506" s="5"/>
      <c r="I506" s="5"/>
      <c r="J506" s="9"/>
      <c r="K506" s="17" t="str">
        <f aca="false">IF(H506="","",IFERROR(SUMIFS(BD_PLAN!$I$3:$I$312,BD_PLAN!$B$3:$B$312,E506,BD_PLAN!$C$3:$C$312,INDEX(BD_CICLO!$F$3:$F$54,MATCH(E506&amp;"|"&amp;H506,BD_CICLO!$G$3:$G$54,0))),""))</f>
        <v/>
      </c>
      <c r="L506" s="9"/>
      <c r="M506" s="9"/>
      <c r="N506" s="1" t="str">
        <f aca="false">IF(C506="","",C506&amp;"|"&amp;COUNTIF(C$3:C506,C506))</f>
        <v/>
      </c>
      <c r="O506" s="1" t="str">
        <f aca="false">IF(OR(C506="",M506=""),"",C506&amp;"|"&amp;COUNTIFS(C$3:C506,C506,M$3:M506,"&lt;&gt;"))</f>
        <v/>
      </c>
    </row>
    <row r="507" customFormat="false" ht="15" hidden="false" customHeight="false" outlineLevel="0" collapsed="false">
      <c r="B507" s="7"/>
      <c r="C507" s="5"/>
      <c r="D507" s="9" t="str">
        <f aca="false">IF(C507="","",IFERROR(VLOOKUP(C507,EQUIPOS!$B$3:$C$18,2,0),"NO EXISTE"))</f>
        <v/>
      </c>
      <c r="E507" s="9" t="str">
        <f aca="false">IF(C507="","",IFERROR(VLOOKUP(C507,EQUIPOS!$B$3:$F$18,5,0),""))</f>
        <v/>
      </c>
      <c r="F507" s="5" t="str">
        <f aca="false">IF(C507="","",IFERROR(VLOOKUP(C507,EQUIPOS!$B$3:$G$18,6,0),""))</f>
        <v/>
      </c>
      <c r="G507" s="8"/>
      <c r="H507" s="5"/>
      <c r="I507" s="5"/>
      <c r="J507" s="9"/>
      <c r="K507" s="17" t="str">
        <f aca="false">IF(H507="","",IFERROR(SUMIFS(BD_PLAN!$I$3:$I$312,BD_PLAN!$B$3:$B$312,E507,BD_PLAN!$C$3:$C$312,INDEX(BD_CICLO!$F$3:$F$54,MATCH(E507&amp;"|"&amp;H507,BD_CICLO!$G$3:$G$54,0))),""))</f>
        <v/>
      </c>
      <c r="L507" s="9"/>
      <c r="M507" s="9"/>
      <c r="N507" s="1" t="str">
        <f aca="false">IF(C507="","",C507&amp;"|"&amp;COUNTIF(C$3:C507,C507))</f>
        <v/>
      </c>
      <c r="O507" s="1" t="str">
        <f aca="false">IF(OR(C507="",M507=""),"",C507&amp;"|"&amp;COUNTIFS(C$3:C507,C507,M$3:M507,"&lt;&gt;"))</f>
        <v/>
      </c>
    </row>
    <row r="508" customFormat="false" ht="15" hidden="false" customHeight="false" outlineLevel="0" collapsed="false">
      <c r="B508" s="7"/>
      <c r="C508" s="5"/>
      <c r="D508" s="9" t="str">
        <f aca="false">IF(C508="","",IFERROR(VLOOKUP(C508,EQUIPOS!$B$3:$C$18,2,0),"NO EXISTE"))</f>
        <v/>
      </c>
      <c r="E508" s="9" t="str">
        <f aca="false">IF(C508="","",IFERROR(VLOOKUP(C508,EQUIPOS!$B$3:$F$18,5,0),""))</f>
        <v/>
      </c>
      <c r="F508" s="5" t="str">
        <f aca="false">IF(C508="","",IFERROR(VLOOKUP(C508,EQUIPOS!$B$3:$G$18,6,0),""))</f>
        <v/>
      </c>
      <c r="G508" s="8"/>
      <c r="H508" s="5"/>
      <c r="I508" s="5"/>
      <c r="J508" s="9"/>
      <c r="K508" s="17" t="str">
        <f aca="false">IF(H508="","",IFERROR(SUMIFS(BD_PLAN!$I$3:$I$312,BD_PLAN!$B$3:$B$312,E508,BD_PLAN!$C$3:$C$312,INDEX(BD_CICLO!$F$3:$F$54,MATCH(E508&amp;"|"&amp;H508,BD_CICLO!$G$3:$G$54,0))),""))</f>
        <v/>
      </c>
      <c r="L508" s="9"/>
      <c r="M508" s="9"/>
      <c r="N508" s="1" t="str">
        <f aca="false">IF(C508="","",C508&amp;"|"&amp;COUNTIF(C$3:C508,C508))</f>
        <v/>
      </c>
      <c r="O508" s="1" t="str">
        <f aca="false">IF(OR(C508="",M508=""),"",C508&amp;"|"&amp;COUNTIFS(C$3:C508,C508,M$3:M508,"&lt;&gt;"))</f>
        <v/>
      </c>
    </row>
    <row r="509" customFormat="false" ht="15" hidden="false" customHeight="false" outlineLevel="0" collapsed="false">
      <c r="B509" s="7"/>
      <c r="C509" s="5"/>
      <c r="D509" s="9" t="str">
        <f aca="false">IF(C509="","",IFERROR(VLOOKUP(C509,EQUIPOS!$B$3:$C$18,2,0),"NO EXISTE"))</f>
        <v/>
      </c>
      <c r="E509" s="9" t="str">
        <f aca="false">IF(C509="","",IFERROR(VLOOKUP(C509,EQUIPOS!$B$3:$F$18,5,0),""))</f>
        <v/>
      </c>
      <c r="F509" s="5" t="str">
        <f aca="false">IF(C509="","",IFERROR(VLOOKUP(C509,EQUIPOS!$B$3:$G$18,6,0),""))</f>
        <v/>
      </c>
      <c r="G509" s="8"/>
      <c r="H509" s="5"/>
      <c r="I509" s="5"/>
      <c r="J509" s="9"/>
      <c r="K509" s="17" t="str">
        <f aca="false">IF(H509="","",IFERROR(SUMIFS(BD_PLAN!$I$3:$I$312,BD_PLAN!$B$3:$B$312,E509,BD_PLAN!$C$3:$C$312,INDEX(BD_CICLO!$F$3:$F$54,MATCH(E509&amp;"|"&amp;H509,BD_CICLO!$G$3:$G$54,0))),""))</f>
        <v/>
      </c>
      <c r="L509" s="9"/>
      <c r="M509" s="9"/>
      <c r="N509" s="1" t="str">
        <f aca="false">IF(C509="","",C509&amp;"|"&amp;COUNTIF(C$3:C509,C509))</f>
        <v/>
      </c>
      <c r="O509" s="1" t="str">
        <f aca="false">IF(OR(C509="",M509=""),"",C509&amp;"|"&amp;COUNTIFS(C$3:C509,C509,M$3:M509,"&lt;&gt;"))</f>
        <v/>
      </c>
    </row>
    <row r="510" customFormat="false" ht="15" hidden="false" customHeight="false" outlineLevel="0" collapsed="false">
      <c r="B510" s="7"/>
      <c r="C510" s="5"/>
      <c r="D510" s="9" t="str">
        <f aca="false">IF(C510="","",IFERROR(VLOOKUP(C510,EQUIPOS!$B$3:$C$18,2,0),"NO EXISTE"))</f>
        <v/>
      </c>
      <c r="E510" s="9" t="str">
        <f aca="false">IF(C510="","",IFERROR(VLOOKUP(C510,EQUIPOS!$B$3:$F$18,5,0),""))</f>
        <v/>
      </c>
      <c r="F510" s="5" t="str">
        <f aca="false">IF(C510="","",IFERROR(VLOOKUP(C510,EQUIPOS!$B$3:$G$18,6,0),""))</f>
        <v/>
      </c>
      <c r="G510" s="8"/>
      <c r="H510" s="5"/>
      <c r="I510" s="5"/>
      <c r="J510" s="9"/>
      <c r="K510" s="17" t="str">
        <f aca="false">IF(H510="","",IFERROR(SUMIFS(BD_PLAN!$I$3:$I$312,BD_PLAN!$B$3:$B$312,E510,BD_PLAN!$C$3:$C$312,INDEX(BD_CICLO!$F$3:$F$54,MATCH(E510&amp;"|"&amp;H510,BD_CICLO!$G$3:$G$54,0))),""))</f>
        <v/>
      </c>
      <c r="L510" s="9"/>
      <c r="M510" s="9"/>
      <c r="N510" s="1" t="str">
        <f aca="false">IF(C510="","",C510&amp;"|"&amp;COUNTIF(C$3:C510,C510))</f>
        <v/>
      </c>
      <c r="O510" s="1" t="str">
        <f aca="false">IF(OR(C510="",M510=""),"",C510&amp;"|"&amp;COUNTIFS(C$3:C510,C510,M$3:M510,"&lt;&gt;"))</f>
        <v/>
      </c>
    </row>
    <row r="511" customFormat="false" ht="15" hidden="false" customHeight="false" outlineLevel="0" collapsed="false">
      <c r="B511" s="7"/>
      <c r="C511" s="5"/>
      <c r="D511" s="9" t="str">
        <f aca="false">IF(C511="","",IFERROR(VLOOKUP(C511,EQUIPOS!$B$3:$C$18,2,0),"NO EXISTE"))</f>
        <v/>
      </c>
      <c r="E511" s="9" t="str">
        <f aca="false">IF(C511="","",IFERROR(VLOOKUP(C511,EQUIPOS!$B$3:$F$18,5,0),""))</f>
        <v/>
      </c>
      <c r="F511" s="5" t="str">
        <f aca="false">IF(C511="","",IFERROR(VLOOKUP(C511,EQUIPOS!$B$3:$G$18,6,0),""))</f>
        <v/>
      </c>
      <c r="G511" s="8"/>
      <c r="H511" s="5"/>
      <c r="I511" s="5"/>
      <c r="J511" s="9"/>
      <c r="K511" s="17" t="str">
        <f aca="false">IF(H511="","",IFERROR(SUMIFS(BD_PLAN!$I$3:$I$312,BD_PLAN!$B$3:$B$312,E511,BD_PLAN!$C$3:$C$312,INDEX(BD_CICLO!$F$3:$F$54,MATCH(E511&amp;"|"&amp;H511,BD_CICLO!$G$3:$G$54,0))),""))</f>
        <v/>
      </c>
      <c r="L511" s="9"/>
      <c r="M511" s="9"/>
      <c r="N511" s="1" t="str">
        <f aca="false">IF(C511="","",C511&amp;"|"&amp;COUNTIF(C$3:C511,C511))</f>
        <v/>
      </c>
      <c r="O511" s="1" t="str">
        <f aca="false">IF(OR(C511="",M511=""),"",C511&amp;"|"&amp;COUNTIFS(C$3:C511,C511,M$3:M511,"&lt;&gt;"))</f>
        <v/>
      </c>
    </row>
    <row r="512" customFormat="false" ht="15" hidden="false" customHeight="false" outlineLevel="0" collapsed="false">
      <c r="B512" s="7"/>
      <c r="C512" s="5"/>
      <c r="D512" s="9" t="str">
        <f aca="false">IF(C512="","",IFERROR(VLOOKUP(C512,EQUIPOS!$B$3:$C$18,2,0),"NO EXISTE"))</f>
        <v/>
      </c>
      <c r="E512" s="9" t="str">
        <f aca="false">IF(C512="","",IFERROR(VLOOKUP(C512,EQUIPOS!$B$3:$F$18,5,0),""))</f>
        <v/>
      </c>
      <c r="F512" s="5" t="str">
        <f aca="false">IF(C512="","",IFERROR(VLOOKUP(C512,EQUIPOS!$B$3:$G$18,6,0),""))</f>
        <v/>
      </c>
      <c r="G512" s="8"/>
      <c r="H512" s="5"/>
      <c r="I512" s="5"/>
      <c r="J512" s="9"/>
      <c r="K512" s="17" t="str">
        <f aca="false">IF(H512="","",IFERROR(SUMIFS(BD_PLAN!$I$3:$I$312,BD_PLAN!$B$3:$B$312,E512,BD_PLAN!$C$3:$C$312,INDEX(BD_CICLO!$F$3:$F$54,MATCH(E512&amp;"|"&amp;H512,BD_CICLO!$G$3:$G$54,0))),""))</f>
        <v/>
      </c>
      <c r="L512" s="9"/>
      <c r="M512" s="9"/>
      <c r="N512" s="1" t="str">
        <f aca="false">IF(C512="","",C512&amp;"|"&amp;COUNTIF(C$3:C512,C512))</f>
        <v/>
      </c>
      <c r="O512" s="1" t="str">
        <f aca="false">IF(OR(C512="",M512=""),"",C512&amp;"|"&amp;COUNTIFS(C$3:C512,C512,M$3:M512,"&lt;&gt;"))</f>
        <v/>
      </c>
    </row>
    <row r="513" customFormat="false" ht="15" hidden="false" customHeight="false" outlineLevel="0" collapsed="false">
      <c r="B513" s="7"/>
      <c r="C513" s="5"/>
      <c r="D513" s="9" t="str">
        <f aca="false">IF(C513="","",IFERROR(VLOOKUP(C513,EQUIPOS!$B$3:$C$18,2,0),"NO EXISTE"))</f>
        <v/>
      </c>
      <c r="E513" s="9" t="str">
        <f aca="false">IF(C513="","",IFERROR(VLOOKUP(C513,EQUIPOS!$B$3:$F$18,5,0),""))</f>
        <v/>
      </c>
      <c r="F513" s="5" t="str">
        <f aca="false">IF(C513="","",IFERROR(VLOOKUP(C513,EQUIPOS!$B$3:$G$18,6,0),""))</f>
        <v/>
      </c>
      <c r="G513" s="8"/>
      <c r="H513" s="5"/>
      <c r="I513" s="5"/>
      <c r="J513" s="9"/>
      <c r="K513" s="17" t="str">
        <f aca="false">IF(H513="","",IFERROR(SUMIFS(BD_PLAN!$I$3:$I$312,BD_PLAN!$B$3:$B$312,E513,BD_PLAN!$C$3:$C$312,INDEX(BD_CICLO!$F$3:$F$54,MATCH(E513&amp;"|"&amp;H513,BD_CICLO!$G$3:$G$54,0))),""))</f>
        <v/>
      </c>
      <c r="L513" s="9"/>
      <c r="M513" s="9"/>
      <c r="N513" s="1" t="str">
        <f aca="false">IF(C513="","",C513&amp;"|"&amp;COUNTIF(C$3:C513,C513))</f>
        <v/>
      </c>
      <c r="O513" s="1" t="str">
        <f aca="false">IF(OR(C513="",M513=""),"",C513&amp;"|"&amp;COUNTIFS(C$3:C513,C513,M$3:M513,"&lt;&gt;"))</f>
        <v/>
      </c>
    </row>
    <row r="514" customFormat="false" ht="15" hidden="false" customHeight="false" outlineLevel="0" collapsed="false">
      <c r="B514" s="7"/>
      <c r="C514" s="5"/>
      <c r="D514" s="9" t="str">
        <f aca="false">IF(C514="","",IFERROR(VLOOKUP(C514,EQUIPOS!$B$3:$C$18,2,0),"NO EXISTE"))</f>
        <v/>
      </c>
      <c r="E514" s="9" t="str">
        <f aca="false">IF(C514="","",IFERROR(VLOOKUP(C514,EQUIPOS!$B$3:$F$18,5,0),""))</f>
        <v/>
      </c>
      <c r="F514" s="5" t="str">
        <f aca="false">IF(C514="","",IFERROR(VLOOKUP(C514,EQUIPOS!$B$3:$G$18,6,0),""))</f>
        <v/>
      </c>
      <c r="G514" s="8"/>
      <c r="H514" s="5"/>
      <c r="I514" s="5"/>
      <c r="J514" s="9"/>
      <c r="K514" s="17" t="str">
        <f aca="false">IF(H514="","",IFERROR(SUMIFS(BD_PLAN!$I$3:$I$312,BD_PLAN!$B$3:$B$312,E514,BD_PLAN!$C$3:$C$312,INDEX(BD_CICLO!$F$3:$F$54,MATCH(E514&amp;"|"&amp;H514,BD_CICLO!$G$3:$G$54,0))),""))</f>
        <v/>
      </c>
      <c r="L514" s="9"/>
      <c r="M514" s="9"/>
      <c r="N514" s="1" t="str">
        <f aca="false">IF(C514="","",C514&amp;"|"&amp;COUNTIF(C$3:C514,C514))</f>
        <v/>
      </c>
      <c r="O514" s="1" t="str">
        <f aca="false">IF(OR(C514="",M514=""),"",C514&amp;"|"&amp;COUNTIFS(C$3:C514,C514,M$3:M514,"&lt;&gt;"))</f>
        <v/>
      </c>
    </row>
    <row r="515" customFormat="false" ht="15" hidden="false" customHeight="false" outlineLevel="0" collapsed="false">
      <c r="B515" s="7"/>
      <c r="C515" s="5"/>
      <c r="D515" s="9" t="str">
        <f aca="false">IF(C515="","",IFERROR(VLOOKUP(C515,EQUIPOS!$B$3:$C$18,2,0),"NO EXISTE"))</f>
        <v/>
      </c>
      <c r="E515" s="9" t="str">
        <f aca="false">IF(C515="","",IFERROR(VLOOKUP(C515,EQUIPOS!$B$3:$F$18,5,0),""))</f>
        <v/>
      </c>
      <c r="F515" s="5" t="str">
        <f aca="false">IF(C515="","",IFERROR(VLOOKUP(C515,EQUIPOS!$B$3:$G$18,6,0),""))</f>
        <v/>
      </c>
      <c r="G515" s="8"/>
      <c r="H515" s="5"/>
      <c r="I515" s="5"/>
      <c r="J515" s="9"/>
      <c r="K515" s="17" t="str">
        <f aca="false">IF(H515="","",IFERROR(SUMIFS(BD_PLAN!$I$3:$I$312,BD_PLAN!$B$3:$B$312,E515,BD_PLAN!$C$3:$C$312,INDEX(BD_CICLO!$F$3:$F$54,MATCH(E515&amp;"|"&amp;H515,BD_CICLO!$G$3:$G$54,0))),""))</f>
        <v/>
      </c>
      <c r="L515" s="9"/>
      <c r="M515" s="9"/>
      <c r="N515" s="1" t="str">
        <f aca="false">IF(C515="","",C515&amp;"|"&amp;COUNTIF(C$3:C515,C515))</f>
        <v/>
      </c>
      <c r="O515" s="1" t="str">
        <f aca="false">IF(OR(C515="",M515=""),"",C515&amp;"|"&amp;COUNTIFS(C$3:C515,C515,M$3:M515,"&lt;&gt;"))</f>
        <v/>
      </c>
    </row>
    <row r="516" customFormat="false" ht="15" hidden="false" customHeight="false" outlineLevel="0" collapsed="false">
      <c r="B516" s="7"/>
      <c r="C516" s="5"/>
      <c r="D516" s="9" t="str">
        <f aca="false">IF(C516="","",IFERROR(VLOOKUP(C516,EQUIPOS!$B$3:$C$18,2,0),"NO EXISTE"))</f>
        <v/>
      </c>
      <c r="E516" s="9" t="str">
        <f aca="false">IF(C516="","",IFERROR(VLOOKUP(C516,EQUIPOS!$B$3:$F$18,5,0),""))</f>
        <v/>
      </c>
      <c r="F516" s="5" t="str">
        <f aca="false">IF(C516="","",IFERROR(VLOOKUP(C516,EQUIPOS!$B$3:$G$18,6,0),""))</f>
        <v/>
      </c>
      <c r="G516" s="8"/>
      <c r="H516" s="5"/>
      <c r="I516" s="5"/>
      <c r="J516" s="9"/>
      <c r="K516" s="17" t="str">
        <f aca="false">IF(H516="","",IFERROR(SUMIFS(BD_PLAN!$I$3:$I$312,BD_PLAN!$B$3:$B$312,E516,BD_PLAN!$C$3:$C$312,INDEX(BD_CICLO!$F$3:$F$54,MATCH(E516&amp;"|"&amp;H516,BD_CICLO!$G$3:$G$54,0))),""))</f>
        <v/>
      </c>
      <c r="L516" s="9"/>
      <c r="M516" s="9"/>
      <c r="N516" s="1" t="str">
        <f aca="false">IF(C516="","",C516&amp;"|"&amp;COUNTIF(C$3:C516,C516))</f>
        <v/>
      </c>
      <c r="O516" s="1" t="str">
        <f aca="false">IF(OR(C516="",M516=""),"",C516&amp;"|"&amp;COUNTIFS(C$3:C516,C516,M$3:M516,"&lt;&gt;"))</f>
        <v/>
      </c>
    </row>
    <row r="517" customFormat="false" ht="15" hidden="false" customHeight="false" outlineLevel="0" collapsed="false">
      <c r="B517" s="7"/>
      <c r="C517" s="5"/>
      <c r="D517" s="9" t="str">
        <f aca="false">IF(C517="","",IFERROR(VLOOKUP(C517,EQUIPOS!$B$3:$C$18,2,0),"NO EXISTE"))</f>
        <v/>
      </c>
      <c r="E517" s="9" t="str">
        <f aca="false">IF(C517="","",IFERROR(VLOOKUP(C517,EQUIPOS!$B$3:$F$18,5,0),""))</f>
        <v/>
      </c>
      <c r="F517" s="5" t="str">
        <f aca="false">IF(C517="","",IFERROR(VLOOKUP(C517,EQUIPOS!$B$3:$G$18,6,0),""))</f>
        <v/>
      </c>
      <c r="G517" s="8"/>
      <c r="H517" s="5"/>
      <c r="I517" s="5"/>
      <c r="J517" s="9"/>
      <c r="K517" s="17" t="str">
        <f aca="false">IF(H517="","",IFERROR(SUMIFS(BD_PLAN!$I$3:$I$312,BD_PLAN!$B$3:$B$312,E517,BD_PLAN!$C$3:$C$312,INDEX(BD_CICLO!$F$3:$F$54,MATCH(E517&amp;"|"&amp;H517,BD_CICLO!$G$3:$G$54,0))),""))</f>
        <v/>
      </c>
      <c r="L517" s="9"/>
      <c r="M517" s="9"/>
      <c r="N517" s="1" t="str">
        <f aca="false">IF(C517="","",C517&amp;"|"&amp;COUNTIF(C$3:C517,C517))</f>
        <v/>
      </c>
      <c r="O517" s="1" t="str">
        <f aca="false">IF(OR(C517="",M517=""),"",C517&amp;"|"&amp;COUNTIFS(C$3:C517,C517,M$3:M517,"&lt;&gt;"))</f>
        <v/>
      </c>
    </row>
    <row r="518" customFormat="false" ht="15" hidden="false" customHeight="false" outlineLevel="0" collapsed="false">
      <c r="B518" s="7"/>
      <c r="C518" s="5"/>
      <c r="D518" s="9" t="str">
        <f aca="false">IF(C518="","",IFERROR(VLOOKUP(C518,EQUIPOS!$B$3:$C$18,2,0),"NO EXISTE"))</f>
        <v/>
      </c>
      <c r="E518" s="9" t="str">
        <f aca="false">IF(C518="","",IFERROR(VLOOKUP(C518,EQUIPOS!$B$3:$F$18,5,0),""))</f>
        <v/>
      </c>
      <c r="F518" s="5" t="str">
        <f aca="false">IF(C518="","",IFERROR(VLOOKUP(C518,EQUIPOS!$B$3:$G$18,6,0),""))</f>
        <v/>
      </c>
      <c r="G518" s="8"/>
      <c r="H518" s="5"/>
      <c r="I518" s="5"/>
      <c r="J518" s="9"/>
      <c r="K518" s="17" t="str">
        <f aca="false">IF(H518="","",IFERROR(SUMIFS(BD_PLAN!$I$3:$I$312,BD_PLAN!$B$3:$B$312,E518,BD_PLAN!$C$3:$C$312,INDEX(BD_CICLO!$F$3:$F$54,MATCH(E518&amp;"|"&amp;H518,BD_CICLO!$G$3:$G$54,0))),""))</f>
        <v/>
      </c>
      <c r="L518" s="9"/>
      <c r="M518" s="9"/>
      <c r="N518" s="1" t="str">
        <f aca="false">IF(C518="","",C518&amp;"|"&amp;COUNTIF(C$3:C518,C518))</f>
        <v/>
      </c>
      <c r="O518" s="1" t="str">
        <f aca="false">IF(OR(C518="",M518=""),"",C518&amp;"|"&amp;COUNTIFS(C$3:C518,C518,M$3:M518,"&lt;&gt;"))</f>
        <v/>
      </c>
    </row>
    <row r="519" customFormat="false" ht="15" hidden="false" customHeight="false" outlineLevel="0" collapsed="false">
      <c r="B519" s="7"/>
      <c r="C519" s="5"/>
      <c r="D519" s="9" t="str">
        <f aca="false">IF(C519="","",IFERROR(VLOOKUP(C519,EQUIPOS!$B$3:$C$18,2,0),"NO EXISTE"))</f>
        <v/>
      </c>
      <c r="E519" s="9" t="str">
        <f aca="false">IF(C519="","",IFERROR(VLOOKUP(C519,EQUIPOS!$B$3:$F$18,5,0),""))</f>
        <v/>
      </c>
      <c r="F519" s="5" t="str">
        <f aca="false">IF(C519="","",IFERROR(VLOOKUP(C519,EQUIPOS!$B$3:$G$18,6,0),""))</f>
        <v/>
      </c>
      <c r="G519" s="8"/>
      <c r="H519" s="5"/>
      <c r="I519" s="5"/>
      <c r="J519" s="9"/>
      <c r="K519" s="17" t="str">
        <f aca="false">IF(H519="","",IFERROR(SUMIFS(BD_PLAN!$I$3:$I$312,BD_PLAN!$B$3:$B$312,E519,BD_PLAN!$C$3:$C$312,INDEX(BD_CICLO!$F$3:$F$54,MATCH(E519&amp;"|"&amp;H519,BD_CICLO!$G$3:$G$54,0))),""))</f>
        <v/>
      </c>
      <c r="L519" s="9"/>
      <c r="M519" s="9"/>
      <c r="N519" s="1" t="str">
        <f aca="false">IF(C519="","",C519&amp;"|"&amp;COUNTIF(C$3:C519,C519))</f>
        <v/>
      </c>
      <c r="O519" s="1" t="str">
        <f aca="false">IF(OR(C519="",M519=""),"",C519&amp;"|"&amp;COUNTIFS(C$3:C519,C519,M$3:M519,"&lt;&gt;"))</f>
        <v/>
      </c>
    </row>
    <row r="520" customFormat="false" ht="15" hidden="false" customHeight="false" outlineLevel="0" collapsed="false">
      <c r="B520" s="7"/>
      <c r="C520" s="5"/>
      <c r="D520" s="9" t="str">
        <f aca="false">IF(C520="","",IFERROR(VLOOKUP(C520,EQUIPOS!$B$3:$C$18,2,0),"NO EXISTE"))</f>
        <v/>
      </c>
      <c r="E520" s="9" t="str">
        <f aca="false">IF(C520="","",IFERROR(VLOOKUP(C520,EQUIPOS!$B$3:$F$18,5,0),""))</f>
        <v/>
      </c>
      <c r="F520" s="5" t="str">
        <f aca="false">IF(C520="","",IFERROR(VLOOKUP(C520,EQUIPOS!$B$3:$G$18,6,0),""))</f>
        <v/>
      </c>
      <c r="G520" s="8"/>
      <c r="H520" s="5"/>
      <c r="I520" s="5"/>
      <c r="J520" s="9"/>
      <c r="K520" s="17" t="str">
        <f aca="false">IF(H520="","",IFERROR(SUMIFS(BD_PLAN!$I$3:$I$312,BD_PLAN!$B$3:$B$312,E520,BD_PLAN!$C$3:$C$312,INDEX(BD_CICLO!$F$3:$F$54,MATCH(E520&amp;"|"&amp;H520,BD_CICLO!$G$3:$G$54,0))),""))</f>
        <v/>
      </c>
      <c r="L520" s="9"/>
      <c r="M520" s="9"/>
      <c r="N520" s="1" t="str">
        <f aca="false">IF(C520="","",C520&amp;"|"&amp;COUNTIF(C$3:C520,C520))</f>
        <v/>
      </c>
      <c r="O520" s="1" t="str">
        <f aca="false">IF(OR(C520="",M520=""),"",C520&amp;"|"&amp;COUNTIFS(C$3:C520,C520,M$3:M520,"&lt;&gt;"))</f>
        <v/>
      </c>
    </row>
    <row r="521" customFormat="false" ht="15" hidden="false" customHeight="false" outlineLevel="0" collapsed="false">
      <c r="B521" s="7"/>
      <c r="C521" s="5"/>
      <c r="D521" s="9" t="str">
        <f aca="false">IF(C521="","",IFERROR(VLOOKUP(C521,EQUIPOS!$B$3:$C$18,2,0),"NO EXISTE"))</f>
        <v/>
      </c>
      <c r="E521" s="9" t="str">
        <f aca="false">IF(C521="","",IFERROR(VLOOKUP(C521,EQUIPOS!$B$3:$F$18,5,0),""))</f>
        <v/>
      </c>
      <c r="F521" s="5" t="str">
        <f aca="false">IF(C521="","",IFERROR(VLOOKUP(C521,EQUIPOS!$B$3:$G$18,6,0),""))</f>
        <v/>
      </c>
      <c r="G521" s="8"/>
      <c r="H521" s="5"/>
      <c r="I521" s="5"/>
      <c r="J521" s="9"/>
      <c r="K521" s="17" t="str">
        <f aca="false">IF(H521="","",IFERROR(SUMIFS(BD_PLAN!$I$3:$I$312,BD_PLAN!$B$3:$B$312,E521,BD_PLAN!$C$3:$C$312,INDEX(BD_CICLO!$F$3:$F$54,MATCH(E521&amp;"|"&amp;H521,BD_CICLO!$G$3:$G$54,0))),""))</f>
        <v/>
      </c>
      <c r="L521" s="9"/>
      <c r="M521" s="9"/>
      <c r="N521" s="1" t="str">
        <f aca="false">IF(C521="","",C521&amp;"|"&amp;COUNTIF(C$3:C521,C521))</f>
        <v/>
      </c>
      <c r="O521" s="1" t="str">
        <f aca="false">IF(OR(C521="",M521=""),"",C521&amp;"|"&amp;COUNTIFS(C$3:C521,C521,M$3:M521,"&lt;&gt;"))</f>
        <v/>
      </c>
    </row>
    <row r="522" customFormat="false" ht="15" hidden="false" customHeight="false" outlineLevel="0" collapsed="false">
      <c r="B522" s="7"/>
      <c r="C522" s="5"/>
      <c r="D522" s="9" t="str">
        <f aca="false">IF(C522="","",IFERROR(VLOOKUP(C522,EQUIPOS!$B$3:$C$18,2,0),"NO EXISTE"))</f>
        <v/>
      </c>
      <c r="E522" s="9" t="str">
        <f aca="false">IF(C522="","",IFERROR(VLOOKUP(C522,EQUIPOS!$B$3:$F$18,5,0),""))</f>
        <v/>
      </c>
      <c r="F522" s="5" t="str">
        <f aca="false">IF(C522="","",IFERROR(VLOOKUP(C522,EQUIPOS!$B$3:$G$18,6,0),""))</f>
        <v/>
      </c>
      <c r="G522" s="8"/>
      <c r="H522" s="5"/>
      <c r="I522" s="5"/>
      <c r="J522" s="9"/>
      <c r="K522" s="17" t="str">
        <f aca="false">IF(H522="","",IFERROR(SUMIFS(BD_PLAN!$I$3:$I$312,BD_PLAN!$B$3:$B$312,E522,BD_PLAN!$C$3:$C$312,INDEX(BD_CICLO!$F$3:$F$54,MATCH(E522&amp;"|"&amp;H522,BD_CICLO!$G$3:$G$54,0))),""))</f>
        <v/>
      </c>
      <c r="L522" s="9"/>
      <c r="M522" s="9"/>
      <c r="N522" s="1" t="str">
        <f aca="false">IF(C522="","",C522&amp;"|"&amp;COUNTIF(C$3:C522,C522))</f>
        <v/>
      </c>
      <c r="O522" s="1" t="str">
        <f aca="false">IF(OR(C522="",M522=""),"",C522&amp;"|"&amp;COUNTIFS(C$3:C522,C522,M$3:M522,"&lt;&gt;"))</f>
        <v/>
      </c>
    </row>
    <row r="523" customFormat="false" ht="15" hidden="false" customHeight="false" outlineLevel="0" collapsed="false">
      <c r="B523" s="7"/>
      <c r="C523" s="5"/>
      <c r="D523" s="9" t="str">
        <f aca="false">IF(C523="","",IFERROR(VLOOKUP(C523,EQUIPOS!$B$3:$C$18,2,0),"NO EXISTE"))</f>
        <v/>
      </c>
      <c r="E523" s="9" t="str">
        <f aca="false">IF(C523="","",IFERROR(VLOOKUP(C523,EQUIPOS!$B$3:$F$18,5,0),""))</f>
        <v/>
      </c>
      <c r="F523" s="5" t="str">
        <f aca="false">IF(C523="","",IFERROR(VLOOKUP(C523,EQUIPOS!$B$3:$G$18,6,0),""))</f>
        <v/>
      </c>
      <c r="G523" s="8"/>
      <c r="H523" s="5"/>
      <c r="I523" s="5"/>
      <c r="J523" s="9"/>
      <c r="K523" s="17" t="str">
        <f aca="false">IF(H523="","",IFERROR(SUMIFS(BD_PLAN!$I$3:$I$312,BD_PLAN!$B$3:$B$312,E523,BD_PLAN!$C$3:$C$312,INDEX(BD_CICLO!$F$3:$F$54,MATCH(E523&amp;"|"&amp;H523,BD_CICLO!$G$3:$G$54,0))),""))</f>
        <v/>
      </c>
      <c r="L523" s="9"/>
      <c r="M523" s="9"/>
      <c r="N523" s="1" t="str">
        <f aca="false">IF(C523="","",C523&amp;"|"&amp;COUNTIF(C$3:C523,C523))</f>
        <v/>
      </c>
      <c r="O523" s="1" t="str">
        <f aca="false">IF(OR(C523="",M523=""),"",C523&amp;"|"&amp;COUNTIFS(C$3:C523,C523,M$3:M523,"&lt;&gt;"))</f>
        <v/>
      </c>
    </row>
    <row r="524" customFormat="false" ht="15" hidden="false" customHeight="false" outlineLevel="0" collapsed="false">
      <c r="B524" s="7"/>
      <c r="C524" s="5"/>
      <c r="D524" s="9" t="str">
        <f aca="false">IF(C524="","",IFERROR(VLOOKUP(C524,EQUIPOS!$B$3:$C$18,2,0),"NO EXISTE"))</f>
        <v/>
      </c>
      <c r="E524" s="9" t="str">
        <f aca="false">IF(C524="","",IFERROR(VLOOKUP(C524,EQUIPOS!$B$3:$F$18,5,0),""))</f>
        <v/>
      </c>
      <c r="F524" s="5" t="str">
        <f aca="false">IF(C524="","",IFERROR(VLOOKUP(C524,EQUIPOS!$B$3:$G$18,6,0),""))</f>
        <v/>
      </c>
      <c r="G524" s="8"/>
      <c r="H524" s="5"/>
      <c r="I524" s="5"/>
      <c r="J524" s="9"/>
      <c r="K524" s="17" t="str">
        <f aca="false">IF(H524="","",IFERROR(SUMIFS(BD_PLAN!$I$3:$I$312,BD_PLAN!$B$3:$B$312,E524,BD_PLAN!$C$3:$C$312,INDEX(BD_CICLO!$F$3:$F$54,MATCH(E524&amp;"|"&amp;H524,BD_CICLO!$G$3:$G$54,0))),""))</f>
        <v/>
      </c>
      <c r="L524" s="9"/>
      <c r="M524" s="9"/>
      <c r="N524" s="1" t="str">
        <f aca="false">IF(C524="","",C524&amp;"|"&amp;COUNTIF(C$3:C524,C524))</f>
        <v/>
      </c>
      <c r="O524" s="1" t="str">
        <f aca="false">IF(OR(C524="",M524=""),"",C524&amp;"|"&amp;COUNTIFS(C$3:C524,C524,M$3:M524,"&lt;&gt;"))</f>
        <v/>
      </c>
    </row>
    <row r="525" customFormat="false" ht="15" hidden="false" customHeight="false" outlineLevel="0" collapsed="false">
      <c r="B525" s="7"/>
      <c r="C525" s="5"/>
      <c r="D525" s="9" t="str">
        <f aca="false">IF(C525="","",IFERROR(VLOOKUP(C525,EQUIPOS!$B$3:$C$18,2,0),"NO EXISTE"))</f>
        <v/>
      </c>
      <c r="E525" s="9" t="str">
        <f aca="false">IF(C525="","",IFERROR(VLOOKUP(C525,EQUIPOS!$B$3:$F$18,5,0),""))</f>
        <v/>
      </c>
      <c r="F525" s="5" t="str">
        <f aca="false">IF(C525="","",IFERROR(VLOOKUP(C525,EQUIPOS!$B$3:$G$18,6,0),""))</f>
        <v/>
      </c>
      <c r="G525" s="8"/>
      <c r="H525" s="5"/>
      <c r="I525" s="5"/>
      <c r="J525" s="9"/>
      <c r="K525" s="17" t="str">
        <f aca="false">IF(H525="","",IFERROR(SUMIFS(BD_PLAN!$I$3:$I$312,BD_PLAN!$B$3:$B$312,E525,BD_PLAN!$C$3:$C$312,INDEX(BD_CICLO!$F$3:$F$54,MATCH(E525&amp;"|"&amp;H525,BD_CICLO!$G$3:$G$54,0))),""))</f>
        <v/>
      </c>
      <c r="L525" s="9"/>
      <c r="M525" s="9"/>
      <c r="N525" s="1" t="str">
        <f aca="false">IF(C525="","",C525&amp;"|"&amp;COUNTIF(C$3:C525,C525))</f>
        <v/>
      </c>
      <c r="O525" s="1" t="str">
        <f aca="false">IF(OR(C525="",M525=""),"",C525&amp;"|"&amp;COUNTIFS(C$3:C525,C525,M$3:M525,"&lt;&gt;"))</f>
        <v/>
      </c>
    </row>
    <row r="526" customFormat="false" ht="15" hidden="false" customHeight="false" outlineLevel="0" collapsed="false">
      <c r="B526" s="7"/>
      <c r="C526" s="5"/>
      <c r="D526" s="9" t="str">
        <f aca="false">IF(C526="","",IFERROR(VLOOKUP(C526,EQUIPOS!$B$3:$C$18,2,0),"NO EXISTE"))</f>
        <v/>
      </c>
      <c r="E526" s="9" t="str">
        <f aca="false">IF(C526="","",IFERROR(VLOOKUP(C526,EQUIPOS!$B$3:$F$18,5,0),""))</f>
        <v/>
      </c>
      <c r="F526" s="5" t="str">
        <f aca="false">IF(C526="","",IFERROR(VLOOKUP(C526,EQUIPOS!$B$3:$G$18,6,0),""))</f>
        <v/>
      </c>
      <c r="G526" s="8"/>
      <c r="H526" s="5"/>
      <c r="I526" s="5"/>
      <c r="J526" s="9"/>
      <c r="K526" s="17" t="str">
        <f aca="false">IF(H526="","",IFERROR(SUMIFS(BD_PLAN!$I$3:$I$312,BD_PLAN!$B$3:$B$312,E526,BD_PLAN!$C$3:$C$312,INDEX(BD_CICLO!$F$3:$F$54,MATCH(E526&amp;"|"&amp;H526,BD_CICLO!$G$3:$G$54,0))),""))</f>
        <v/>
      </c>
      <c r="L526" s="9"/>
      <c r="M526" s="9"/>
      <c r="N526" s="1" t="str">
        <f aca="false">IF(C526="","",C526&amp;"|"&amp;COUNTIF(C$3:C526,C526))</f>
        <v/>
      </c>
      <c r="O526" s="1" t="str">
        <f aca="false">IF(OR(C526="",M526=""),"",C526&amp;"|"&amp;COUNTIFS(C$3:C526,C526,M$3:M526,"&lt;&gt;"))</f>
        <v/>
      </c>
    </row>
    <row r="527" customFormat="false" ht="15" hidden="false" customHeight="false" outlineLevel="0" collapsed="false">
      <c r="B527" s="7"/>
      <c r="C527" s="5"/>
      <c r="D527" s="9" t="str">
        <f aca="false">IF(C527="","",IFERROR(VLOOKUP(C527,EQUIPOS!$B$3:$C$18,2,0),"NO EXISTE"))</f>
        <v/>
      </c>
      <c r="E527" s="9" t="str">
        <f aca="false">IF(C527="","",IFERROR(VLOOKUP(C527,EQUIPOS!$B$3:$F$18,5,0),""))</f>
        <v/>
      </c>
      <c r="F527" s="5" t="str">
        <f aca="false">IF(C527="","",IFERROR(VLOOKUP(C527,EQUIPOS!$B$3:$G$18,6,0),""))</f>
        <v/>
      </c>
      <c r="G527" s="8"/>
      <c r="H527" s="5"/>
      <c r="I527" s="5"/>
      <c r="J527" s="9"/>
      <c r="K527" s="17" t="str">
        <f aca="false">IF(H527="","",IFERROR(SUMIFS(BD_PLAN!$I$3:$I$312,BD_PLAN!$B$3:$B$312,E527,BD_PLAN!$C$3:$C$312,INDEX(BD_CICLO!$F$3:$F$54,MATCH(E527&amp;"|"&amp;H527,BD_CICLO!$G$3:$G$54,0))),""))</f>
        <v/>
      </c>
      <c r="L527" s="9"/>
      <c r="M527" s="9"/>
      <c r="N527" s="1" t="str">
        <f aca="false">IF(C527="","",C527&amp;"|"&amp;COUNTIF(C$3:C527,C527))</f>
        <v/>
      </c>
      <c r="O527" s="1" t="str">
        <f aca="false">IF(OR(C527="",M527=""),"",C527&amp;"|"&amp;COUNTIFS(C$3:C527,C527,M$3:M527,"&lt;&gt;"))</f>
        <v/>
      </c>
    </row>
    <row r="528" customFormat="false" ht="15" hidden="false" customHeight="false" outlineLevel="0" collapsed="false">
      <c r="B528" s="7"/>
      <c r="C528" s="5"/>
      <c r="D528" s="9" t="str">
        <f aca="false">IF(C528="","",IFERROR(VLOOKUP(C528,EQUIPOS!$B$3:$C$18,2,0),"NO EXISTE"))</f>
        <v/>
      </c>
      <c r="E528" s="9" t="str">
        <f aca="false">IF(C528="","",IFERROR(VLOOKUP(C528,EQUIPOS!$B$3:$F$18,5,0),""))</f>
        <v/>
      </c>
      <c r="F528" s="5" t="str">
        <f aca="false">IF(C528="","",IFERROR(VLOOKUP(C528,EQUIPOS!$B$3:$G$18,6,0),""))</f>
        <v/>
      </c>
      <c r="G528" s="8"/>
      <c r="H528" s="5"/>
      <c r="I528" s="5"/>
      <c r="J528" s="9"/>
      <c r="K528" s="17" t="str">
        <f aca="false">IF(H528="","",IFERROR(SUMIFS(BD_PLAN!$I$3:$I$312,BD_PLAN!$B$3:$B$312,E528,BD_PLAN!$C$3:$C$312,INDEX(BD_CICLO!$F$3:$F$54,MATCH(E528&amp;"|"&amp;H528,BD_CICLO!$G$3:$G$54,0))),""))</f>
        <v/>
      </c>
      <c r="L528" s="9"/>
      <c r="M528" s="9"/>
      <c r="N528" s="1" t="str">
        <f aca="false">IF(C528="","",C528&amp;"|"&amp;COUNTIF(C$3:C528,C528))</f>
        <v/>
      </c>
      <c r="O528" s="1" t="str">
        <f aca="false">IF(OR(C528="",M528=""),"",C528&amp;"|"&amp;COUNTIFS(C$3:C528,C528,M$3:M528,"&lt;&gt;"))</f>
        <v/>
      </c>
    </row>
    <row r="529" customFormat="false" ht="15" hidden="false" customHeight="false" outlineLevel="0" collapsed="false">
      <c r="B529" s="7"/>
      <c r="C529" s="5"/>
      <c r="D529" s="9" t="str">
        <f aca="false">IF(C529="","",IFERROR(VLOOKUP(C529,EQUIPOS!$B$3:$C$18,2,0),"NO EXISTE"))</f>
        <v/>
      </c>
      <c r="E529" s="9" t="str">
        <f aca="false">IF(C529="","",IFERROR(VLOOKUP(C529,EQUIPOS!$B$3:$F$18,5,0),""))</f>
        <v/>
      </c>
      <c r="F529" s="5" t="str">
        <f aca="false">IF(C529="","",IFERROR(VLOOKUP(C529,EQUIPOS!$B$3:$G$18,6,0),""))</f>
        <v/>
      </c>
      <c r="G529" s="8"/>
      <c r="H529" s="5"/>
      <c r="I529" s="5"/>
      <c r="J529" s="9"/>
      <c r="K529" s="17" t="str">
        <f aca="false">IF(H529="","",IFERROR(SUMIFS(BD_PLAN!$I$3:$I$312,BD_PLAN!$B$3:$B$312,E529,BD_PLAN!$C$3:$C$312,INDEX(BD_CICLO!$F$3:$F$54,MATCH(E529&amp;"|"&amp;H529,BD_CICLO!$G$3:$G$54,0))),""))</f>
        <v/>
      </c>
      <c r="L529" s="9"/>
      <c r="M529" s="9"/>
      <c r="N529" s="1" t="str">
        <f aca="false">IF(C529="","",C529&amp;"|"&amp;COUNTIF(C$3:C529,C529))</f>
        <v/>
      </c>
      <c r="O529" s="1" t="str">
        <f aca="false">IF(OR(C529="",M529=""),"",C529&amp;"|"&amp;COUNTIFS(C$3:C529,C529,M$3:M529,"&lt;&gt;"))</f>
        <v/>
      </c>
    </row>
    <row r="530" customFormat="false" ht="15" hidden="false" customHeight="false" outlineLevel="0" collapsed="false">
      <c r="B530" s="7"/>
      <c r="C530" s="5"/>
      <c r="D530" s="9" t="str">
        <f aca="false">IF(C530="","",IFERROR(VLOOKUP(C530,EQUIPOS!$B$3:$C$18,2,0),"NO EXISTE"))</f>
        <v/>
      </c>
      <c r="E530" s="9" t="str">
        <f aca="false">IF(C530="","",IFERROR(VLOOKUP(C530,EQUIPOS!$B$3:$F$18,5,0),""))</f>
        <v/>
      </c>
      <c r="F530" s="5" t="str">
        <f aca="false">IF(C530="","",IFERROR(VLOOKUP(C530,EQUIPOS!$B$3:$G$18,6,0),""))</f>
        <v/>
      </c>
      <c r="G530" s="8"/>
      <c r="H530" s="5"/>
      <c r="I530" s="5"/>
      <c r="J530" s="9"/>
      <c r="K530" s="17" t="str">
        <f aca="false">IF(H530="","",IFERROR(SUMIFS(BD_PLAN!$I$3:$I$312,BD_PLAN!$B$3:$B$312,E530,BD_PLAN!$C$3:$C$312,INDEX(BD_CICLO!$F$3:$F$54,MATCH(E530&amp;"|"&amp;H530,BD_CICLO!$G$3:$G$54,0))),""))</f>
        <v/>
      </c>
      <c r="L530" s="9"/>
      <c r="M530" s="9"/>
      <c r="N530" s="1" t="str">
        <f aca="false">IF(C530="","",C530&amp;"|"&amp;COUNTIF(C$3:C530,C530))</f>
        <v/>
      </c>
      <c r="O530" s="1" t="str">
        <f aca="false">IF(OR(C530="",M530=""),"",C530&amp;"|"&amp;COUNTIFS(C$3:C530,C530,M$3:M530,"&lt;&gt;"))</f>
        <v/>
      </c>
    </row>
    <row r="531" customFormat="false" ht="15" hidden="false" customHeight="false" outlineLevel="0" collapsed="false">
      <c r="B531" s="7"/>
      <c r="C531" s="5"/>
      <c r="D531" s="9" t="str">
        <f aca="false">IF(C531="","",IFERROR(VLOOKUP(C531,EQUIPOS!$B$3:$C$18,2,0),"NO EXISTE"))</f>
        <v/>
      </c>
      <c r="E531" s="9" t="str">
        <f aca="false">IF(C531="","",IFERROR(VLOOKUP(C531,EQUIPOS!$B$3:$F$18,5,0),""))</f>
        <v/>
      </c>
      <c r="F531" s="5" t="str">
        <f aca="false">IF(C531="","",IFERROR(VLOOKUP(C531,EQUIPOS!$B$3:$G$18,6,0),""))</f>
        <v/>
      </c>
      <c r="G531" s="8"/>
      <c r="H531" s="5"/>
      <c r="I531" s="5"/>
      <c r="J531" s="9"/>
      <c r="K531" s="17" t="str">
        <f aca="false">IF(H531="","",IFERROR(SUMIFS(BD_PLAN!$I$3:$I$312,BD_PLAN!$B$3:$B$312,E531,BD_PLAN!$C$3:$C$312,INDEX(BD_CICLO!$F$3:$F$54,MATCH(E531&amp;"|"&amp;H531,BD_CICLO!$G$3:$G$54,0))),""))</f>
        <v/>
      </c>
      <c r="L531" s="9"/>
      <c r="M531" s="9"/>
      <c r="N531" s="1" t="str">
        <f aca="false">IF(C531="","",C531&amp;"|"&amp;COUNTIF(C$3:C531,C531))</f>
        <v/>
      </c>
      <c r="O531" s="1" t="str">
        <f aca="false">IF(OR(C531="",M531=""),"",C531&amp;"|"&amp;COUNTIFS(C$3:C531,C531,M$3:M531,"&lt;&gt;"))</f>
        <v/>
      </c>
    </row>
    <row r="532" customFormat="false" ht="15" hidden="false" customHeight="false" outlineLevel="0" collapsed="false">
      <c r="B532" s="7"/>
      <c r="C532" s="5"/>
      <c r="D532" s="9" t="str">
        <f aca="false">IF(C532="","",IFERROR(VLOOKUP(C532,EQUIPOS!$B$3:$C$18,2,0),"NO EXISTE"))</f>
        <v/>
      </c>
      <c r="E532" s="9" t="str">
        <f aca="false">IF(C532="","",IFERROR(VLOOKUP(C532,EQUIPOS!$B$3:$F$18,5,0),""))</f>
        <v/>
      </c>
      <c r="F532" s="5" t="str">
        <f aca="false">IF(C532="","",IFERROR(VLOOKUP(C532,EQUIPOS!$B$3:$G$18,6,0),""))</f>
        <v/>
      </c>
      <c r="G532" s="8"/>
      <c r="H532" s="5"/>
      <c r="I532" s="5"/>
      <c r="J532" s="9"/>
      <c r="K532" s="17" t="str">
        <f aca="false">IF(H532="","",IFERROR(SUMIFS(BD_PLAN!$I$3:$I$312,BD_PLAN!$B$3:$B$312,E532,BD_PLAN!$C$3:$C$312,INDEX(BD_CICLO!$F$3:$F$54,MATCH(E532&amp;"|"&amp;H532,BD_CICLO!$G$3:$G$54,0))),""))</f>
        <v/>
      </c>
      <c r="L532" s="9"/>
      <c r="M532" s="9"/>
      <c r="N532" s="1" t="str">
        <f aca="false">IF(C532="","",C532&amp;"|"&amp;COUNTIF(C$3:C532,C532))</f>
        <v/>
      </c>
      <c r="O532" s="1" t="str">
        <f aca="false">IF(OR(C532="",M532=""),"",C532&amp;"|"&amp;COUNTIFS(C$3:C532,C532,M$3:M532,"&lt;&gt;"))</f>
        <v/>
      </c>
    </row>
    <row r="533" customFormat="false" ht="15" hidden="false" customHeight="false" outlineLevel="0" collapsed="false">
      <c r="B533" s="7"/>
      <c r="C533" s="5"/>
      <c r="D533" s="9" t="str">
        <f aca="false">IF(C533="","",IFERROR(VLOOKUP(C533,EQUIPOS!$B$3:$C$18,2,0),"NO EXISTE"))</f>
        <v/>
      </c>
      <c r="E533" s="9" t="str">
        <f aca="false">IF(C533="","",IFERROR(VLOOKUP(C533,EQUIPOS!$B$3:$F$18,5,0),""))</f>
        <v/>
      </c>
      <c r="F533" s="5" t="str">
        <f aca="false">IF(C533="","",IFERROR(VLOOKUP(C533,EQUIPOS!$B$3:$G$18,6,0),""))</f>
        <v/>
      </c>
      <c r="G533" s="8"/>
      <c r="H533" s="5"/>
      <c r="I533" s="5"/>
      <c r="J533" s="9"/>
      <c r="K533" s="17" t="str">
        <f aca="false">IF(H533="","",IFERROR(SUMIFS(BD_PLAN!$I$3:$I$312,BD_PLAN!$B$3:$B$312,E533,BD_PLAN!$C$3:$C$312,INDEX(BD_CICLO!$F$3:$F$54,MATCH(E533&amp;"|"&amp;H533,BD_CICLO!$G$3:$G$54,0))),""))</f>
        <v/>
      </c>
      <c r="L533" s="9"/>
      <c r="M533" s="9"/>
      <c r="N533" s="1" t="str">
        <f aca="false">IF(C533="","",C533&amp;"|"&amp;COUNTIF(C$3:C533,C533))</f>
        <v/>
      </c>
      <c r="O533" s="1" t="str">
        <f aca="false">IF(OR(C533="",M533=""),"",C533&amp;"|"&amp;COUNTIFS(C$3:C533,C533,M$3:M533,"&lt;&gt;"))</f>
        <v/>
      </c>
    </row>
    <row r="534" customFormat="false" ht="15" hidden="false" customHeight="false" outlineLevel="0" collapsed="false">
      <c r="B534" s="7"/>
      <c r="C534" s="5"/>
      <c r="D534" s="9" t="str">
        <f aca="false">IF(C534="","",IFERROR(VLOOKUP(C534,EQUIPOS!$B$3:$C$18,2,0),"NO EXISTE"))</f>
        <v/>
      </c>
      <c r="E534" s="9" t="str">
        <f aca="false">IF(C534="","",IFERROR(VLOOKUP(C534,EQUIPOS!$B$3:$F$18,5,0),""))</f>
        <v/>
      </c>
      <c r="F534" s="5" t="str">
        <f aca="false">IF(C534="","",IFERROR(VLOOKUP(C534,EQUIPOS!$B$3:$G$18,6,0),""))</f>
        <v/>
      </c>
      <c r="G534" s="8"/>
      <c r="H534" s="5"/>
      <c r="I534" s="5"/>
      <c r="J534" s="9"/>
      <c r="K534" s="17" t="str">
        <f aca="false">IF(H534="","",IFERROR(SUMIFS(BD_PLAN!$I$3:$I$312,BD_PLAN!$B$3:$B$312,E534,BD_PLAN!$C$3:$C$312,INDEX(BD_CICLO!$F$3:$F$54,MATCH(E534&amp;"|"&amp;H534,BD_CICLO!$G$3:$G$54,0))),""))</f>
        <v/>
      </c>
      <c r="L534" s="9"/>
      <c r="M534" s="9"/>
      <c r="N534" s="1" t="str">
        <f aca="false">IF(C534="","",C534&amp;"|"&amp;COUNTIF(C$3:C534,C534))</f>
        <v/>
      </c>
      <c r="O534" s="1" t="str">
        <f aca="false">IF(OR(C534="",M534=""),"",C534&amp;"|"&amp;COUNTIFS(C$3:C534,C534,M$3:M534,"&lt;&gt;"))</f>
        <v/>
      </c>
    </row>
    <row r="535" customFormat="false" ht="15" hidden="false" customHeight="false" outlineLevel="0" collapsed="false">
      <c r="B535" s="7"/>
      <c r="C535" s="5"/>
      <c r="D535" s="9" t="str">
        <f aca="false">IF(C535="","",IFERROR(VLOOKUP(C535,EQUIPOS!$B$3:$C$18,2,0),"NO EXISTE"))</f>
        <v/>
      </c>
      <c r="E535" s="9" t="str">
        <f aca="false">IF(C535="","",IFERROR(VLOOKUP(C535,EQUIPOS!$B$3:$F$18,5,0),""))</f>
        <v/>
      </c>
      <c r="F535" s="5" t="str">
        <f aca="false">IF(C535="","",IFERROR(VLOOKUP(C535,EQUIPOS!$B$3:$G$18,6,0),""))</f>
        <v/>
      </c>
      <c r="G535" s="8"/>
      <c r="H535" s="5"/>
      <c r="I535" s="5"/>
      <c r="J535" s="9"/>
      <c r="K535" s="17" t="str">
        <f aca="false">IF(H535="","",IFERROR(SUMIFS(BD_PLAN!$I$3:$I$312,BD_PLAN!$B$3:$B$312,E535,BD_PLAN!$C$3:$C$312,INDEX(BD_CICLO!$F$3:$F$54,MATCH(E535&amp;"|"&amp;H535,BD_CICLO!$G$3:$G$54,0))),""))</f>
        <v/>
      </c>
      <c r="L535" s="9"/>
      <c r="M535" s="9"/>
      <c r="N535" s="1" t="str">
        <f aca="false">IF(C535="","",C535&amp;"|"&amp;COUNTIF(C$3:C535,C535))</f>
        <v/>
      </c>
      <c r="O535" s="1" t="str">
        <f aca="false">IF(OR(C535="",M535=""),"",C535&amp;"|"&amp;COUNTIFS(C$3:C535,C535,M$3:M535,"&lt;&gt;"))</f>
        <v/>
      </c>
    </row>
    <row r="536" customFormat="false" ht="15" hidden="false" customHeight="false" outlineLevel="0" collapsed="false">
      <c r="B536" s="7"/>
      <c r="C536" s="5"/>
      <c r="D536" s="9" t="str">
        <f aca="false">IF(C536="","",IFERROR(VLOOKUP(C536,EQUIPOS!$B$3:$C$18,2,0),"NO EXISTE"))</f>
        <v/>
      </c>
      <c r="E536" s="9" t="str">
        <f aca="false">IF(C536="","",IFERROR(VLOOKUP(C536,EQUIPOS!$B$3:$F$18,5,0),""))</f>
        <v/>
      </c>
      <c r="F536" s="5" t="str">
        <f aca="false">IF(C536="","",IFERROR(VLOOKUP(C536,EQUIPOS!$B$3:$G$18,6,0),""))</f>
        <v/>
      </c>
      <c r="G536" s="8"/>
      <c r="H536" s="5"/>
      <c r="I536" s="5"/>
      <c r="J536" s="9"/>
      <c r="K536" s="17" t="str">
        <f aca="false">IF(H536="","",IFERROR(SUMIFS(BD_PLAN!$I$3:$I$312,BD_PLAN!$B$3:$B$312,E536,BD_PLAN!$C$3:$C$312,INDEX(BD_CICLO!$F$3:$F$54,MATCH(E536&amp;"|"&amp;H536,BD_CICLO!$G$3:$G$54,0))),""))</f>
        <v/>
      </c>
      <c r="L536" s="9"/>
      <c r="M536" s="9"/>
      <c r="N536" s="1" t="str">
        <f aca="false">IF(C536="","",C536&amp;"|"&amp;COUNTIF(C$3:C536,C536))</f>
        <v/>
      </c>
      <c r="O536" s="1" t="str">
        <f aca="false">IF(OR(C536="",M536=""),"",C536&amp;"|"&amp;COUNTIFS(C$3:C536,C536,M$3:M536,"&lt;&gt;"))</f>
        <v/>
      </c>
    </row>
    <row r="537" customFormat="false" ht="15" hidden="false" customHeight="false" outlineLevel="0" collapsed="false">
      <c r="B537" s="7"/>
      <c r="C537" s="5"/>
      <c r="D537" s="9" t="str">
        <f aca="false">IF(C537="","",IFERROR(VLOOKUP(C537,EQUIPOS!$B$3:$C$18,2,0),"NO EXISTE"))</f>
        <v/>
      </c>
      <c r="E537" s="9" t="str">
        <f aca="false">IF(C537="","",IFERROR(VLOOKUP(C537,EQUIPOS!$B$3:$F$18,5,0),""))</f>
        <v/>
      </c>
      <c r="F537" s="5" t="str">
        <f aca="false">IF(C537="","",IFERROR(VLOOKUP(C537,EQUIPOS!$B$3:$G$18,6,0),""))</f>
        <v/>
      </c>
      <c r="G537" s="8"/>
      <c r="H537" s="5"/>
      <c r="I537" s="5"/>
      <c r="J537" s="9"/>
      <c r="K537" s="17" t="str">
        <f aca="false">IF(H537="","",IFERROR(SUMIFS(BD_PLAN!$I$3:$I$312,BD_PLAN!$B$3:$B$312,E537,BD_PLAN!$C$3:$C$312,INDEX(BD_CICLO!$F$3:$F$54,MATCH(E537&amp;"|"&amp;H537,BD_CICLO!$G$3:$G$54,0))),""))</f>
        <v/>
      </c>
      <c r="L537" s="9"/>
      <c r="M537" s="9"/>
      <c r="N537" s="1" t="str">
        <f aca="false">IF(C537="","",C537&amp;"|"&amp;COUNTIF(C$3:C537,C537))</f>
        <v/>
      </c>
      <c r="O537" s="1" t="str">
        <f aca="false">IF(OR(C537="",M537=""),"",C537&amp;"|"&amp;COUNTIFS(C$3:C537,C537,M$3:M537,"&lt;&gt;"))</f>
        <v/>
      </c>
    </row>
    <row r="538" customFormat="false" ht="15" hidden="false" customHeight="false" outlineLevel="0" collapsed="false">
      <c r="B538" s="7"/>
      <c r="C538" s="5"/>
      <c r="D538" s="9" t="str">
        <f aca="false">IF(C538="","",IFERROR(VLOOKUP(C538,EQUIPOS!$B$3:$C$18,2,0),"NO EXISTE"))</f>
        <v/>
      </c>
      <c r="E538" s="9" t="str">
        <f aca="false">IF(C538="","",IFERROR(VLOOKUP(C538,EQUIPOS!$B$3:$F$18,5,0),""))</f>
        <v/>
      </c>
      <c r="F538" s="5" t="str">
        <f aca="false">IF(C538="","",IFERROR(VLOOKUP(C538,EQUIPOS!$B$3:$G$18,6,0),""))</f>
        <v/>
      </c>
      <c r="G538" s="8"/>
      <c r="H538" s="5"/>
      <c r="I538" s="5"/>
      <c r="J538" s="9"/>
      <c r="K538" s="17" t="str">
        <f aca="false">IF(H538="","",IFERROR(SUMIFS(BD_PLAN!$I$3:$I$312,BD_PLAN!$B$3:$B$312,E538,BD_PLAN!$C$3:$C$312,INDEX(BD_CICLO!$F$3:$F$54,MATCH(E538&amp;"|"&amp;H538,BD_CICLO!$G$3:$G$54,0))),""))</f>
        <v/>
      </c>
      <c r="L538" s="9"/>
      <c r="M538" s="9"/>
      <c r="N538" s="1" t="str">
        <f aca="false">IF(C538="","",C538&amp;"|"&amp;COUNTIF(C$3:C538,C538))</f>
        <v/>
      </c>
      <c r="O538" s="1" t="str">
        <f aca="false">IF(OR(C538="",M538=""),"",C538&amp;"|"&amp;COUNTIFS(C$3:C538,C538,M$3:M538,"&lt;&gt;"))</f>
        <v/>
      </c>
    </row>
    <row r="539" customFormat="false" ht="15" hidden="false" customHeight="false" outlineLevel="0" collapsed="false">
      <c r="B539" s="7"/>
      <c r="C539" s="5"/>
      <c r="D539" s="9" t="str">
        <f aca="false">IF(C539="","",IFERROR(VLOOKUP(C539,EQUIPOS!$B$3:$C$18,2,0),"NO EXISTE"))</f>
        <v/>
      </c>
      <c r="E539" s="9" t="str">
        <f aca="false">IF(C539="","",IFERROR(VLOOKUP(C539,EQUIPOS!$B$3:$F$18,5,0),""))</f>
        <v/>
      </c>
      <c r="F539" s="5" t="str">
        <f aca="false">IF(C539="","",IFERROR(VLOOKUP(C539,EQUIPOS!$B$3:$G$18,6,0),""))</f>
        <v/>
      </c>
      <c r="G539" s="8"/>
      <c r="H539" s="5"/>
      <c r="I539" s="5"/>
      <c r="J539" s="9"/>
      <c r="K539" s="17" t="str">
        <f aca="false">IF(H539="","",IFERROR(SUMIFS(BD_PLAN!$I$3:$I$312,BD_PLAN!$B$3:$B$312,E539,BD_PLAN!$C$3:$C$312,INDEX(BD_CICLO!$F$3:$F$54,MATCH(E539&amp;"|"&amp;H539,BD_CICLO!$G$3:$G$54,0))),""))</f>
        <v/>
      </c>
      <c r="L539" s="9"/>
      <c r="M539" s="9"/>
      <c r="N539" s="1" t="str">
        <f aca="false">IF(C539="","",C539&amp;"|"&amp;COUNTIF(C$3:C539,C539))</f>
        <v/>
      </c>
      <c r="O539" s="1" t="str">
        <f aca="false">IF(OR(C539="",M539=""),"",C539&amp;"|"&amp;COUNTIFS(C$3:C539,C539,M$3:M539,"&lt;&gt;"))</f>
        <v/>
      </c>
    </row>
    <row r="540" customFormat="false" ht="15" hidden="false" customHeight="false" outlineLevel="0" collapsed="false">
      <c r="B540" s="7"/>
      <c r="C540" s="5"/>
      <c r="D540" s="9" t="str">
        <f aca="false">IF(C540="","",IFERROR(VLOOKUP(C540,EQUIPOS!$B$3:$C$18,2,0),"NO EXISTE"))</f>
        <v/>
      </c>
      <c r="E540" s="9" t="str">
        <f aca="false">IF(C540="","",IFERROR(VLOOKUP(C540,EQUIPOS!$B$3:$F$18,5,0),""))</f>
        <v/>
      </c>
      <c r="F540" s="5" t="str">
        <f aca="false">IF(C540="","",IFERROR(VLOOKUP(C540,EQUIPOS!$B$3:$G$18,6,0),""))</f>
        <v/>
      </c>
      <c r="G540" s="8"/>
      <c r="H540" s="5"/>
      <c r="I540" s="5"/>
      <c r="J540" s="9"/>
      <c r="K540" s="17" t="str">
        <f aca="false">IF(H540="","",IFERROR(SUMIFS(BD_PLAN!$I$3:$I$312,BD_PLAN!$B$3:$B$312,E540,BD_PLAN!$C$3:$C$312,INDEX(BD_CICLO!$F$3:$F$54,MATCH(E540&amp;"|"&amp;H540,BD_CICLO!$G$3:$G$54,0))),""))</f>
        <v/>
      </c>
      <c r="L540" s="9"/>
      <c r="M540" s="9"/>
      <c r="N540" s="1" t="str">
        <f aca="false">IF(C540="","",C540&amp;"|"&amp;COUNTIF(C$3:C540,C540))</f>
        <v/>
      </c>
      <c r="O540" s="1" t="str">
        <f aca="false">IF(OR(C540="",M540=""),"",C540&amp;"|"&amp;COUNTIFS(C$3:C540,C540,M$3:M540,"&lt;&gt;"))</f>
        <v/>
      </c>
    </row>
    <row r="541" customFormat="false" ht="15" hidden="false" customHeight="false" outlineLevel="0" collapsed="false">
      <c r="B541" s="7"/>
      <c r="C541" s="5"/>
      <c r="D541" s="9" t="str">
        <f aca="false">IF(C541="","",IFERROR(VLOOKUP(C541,EQUIPOS!$B$3:$C$18,2,0),"NO EXISTE"))</f>
        <v/>
      </c>
      <c r="E541" s="9" t="str">
        <f aca="false">IF(C541="","",IFERROR(VLOOKUP(C541,EQUIPOS!$B$3:$F$18,5,0),""))</f>
        <v/>
      </c>
      <c r="F541" s="5" t="str">
        <f aca="false">IF(C541="","",IFERROR(VLOOKUP(C541,EQUIPOS!$B$3:$G$18,6,0),""))</f>
        <v/>
      </c>
      <c r="G541" s="8"/>
      <c r="H541" s="5"/>
      <c r="I541" s="5"/>
      <c r="J541" s="9"/>
      <c r="K541" s="17" t="str">
        <f aca="false">IF(H541="","",IFERROR(SUMIFS(BD_PLAN!$I$3:$I$312,BD_PLAN!$B$3:$B$312,E541,BD_PLAN!$C$3:$C$312,INDEX(BD_CICLO!$F$3:$F$54,MATCH(E541&amp;"|"&amp;H541,BD_CICLO!$G$3:$G$54,0))),""))</f>
        <v/>
      </c>
      <c r="L541" s="9"/>
      <c r="M541" s="9"/>
      <c r="N541" s="1" t="str">
        <f aca="false">IF(C541="","",C541&amp;"|"&amp;COUNTIF(C$3:C541,C541))</f>
        <v/>
      </c>
      <c r="O541" s="1" t="str">
        <f aca="false">IF(OR(C541="",M541=""),"",C541&amp;"|"&amp;COUNTIFS(C$3:C541,C541,M$3:M541,"&lt;&gt;"))</f>
        <v/>
      </c>
    </row>
    <row r="542" customFormat="false" ht="15" hidden="false" customHeight="false" outlineLevel="0" collapsed="false">
      <c r="B542" s="7"/>
      <c r="C542" s="5"/>
      <c r="D542" s="9" t="str">
        <f aca="false">IF(C542="","",IFERROR(VLOOKUP(C542,EQUIPOS!$B$3:$C$18,2,0),"NO EXISTE"))</f>
        <v/>
      </c>
      <c r="E542" s="9" t="str">
        <f aca="false">IF(C542="","",IFERROR(VLOOKUP(C542,EQUIPOS!$B$3:$F$18,5,0),""))</f>
        <v/>
      </c>
      <c r="F542" s="5" t="str">
        <f aca="false">IF(C542="","",IFERROR(VLOOKUP(C542,EQUIPOS!$B$3:$G$18,6,0),""))</f>
        <v/>
      </c>
      <c r="G542" s="8"/>
      <c r="H542" s="5"/>
      <c r="I542" s="5"/>
      <c r="J542" s="9"/>
      <c r="K542" s="17" t="str">
        <f aca="false">IF(H542="","",IFERROR(SUMIFS(BD_PLAN!$I$3:$I$312,BD_PLAN!$B$3:$B$312,E542,BD_PLAN!$C$3:$C$312,INDEX(BD_CICLO!$F$3:$F$54,MATCH(E542&amp;"|"&amp;H542,BD_CICLO!$G$3:$G$54,0))),""))</f>
        <v/>
      </c>
      <c r="L542" s="9"/>
      <c r="M542" s="9"/>
      <c r="N542" s="1" t="str">
        <f aca="false">IF(C542="","",C542&amp;"|"&amp;COUNTIF(C$3:C542,C542))</f>
        <v/>
      </c>
      <c r="O542" s="1" t="str">
        <f aca="false">IF(OR(C542="",M542=""),"",C542&amp;"|"&amp;COUNTIFS(C$3:C542,C542,M$3:M542,"&lt;&gt;"))</f>
        <v/>
      </c>
    </row>
    <row r="543" customFormat="false" ht="15" hidden="false" customHeight="false" outlineLevel="0" collapsed="false">
      <c r="B543" s="7"/>
      <c r="C543" s="5"/>
      <c r="D543" s="9" t="str">
        <f aca="false">IF(C543="","",IFERROR(VLOOKUP(C543,EQUIPOS!$B$3:$C$18,2,0),"NO EXISTE"))</f>
        <v/>
      </c>
      <c r="E543" s="9" t="str">
        <f aca="false">IF(C543="","",IFERROR(VLOOKUP(C543,EQUIPOS!$B$3:$F$18,5,0),""))</f>
        <v/>
      </c>
      <c r="F543" s="5" t="str">
        <f aca="false">IF(C543="","",IFERROR(VLOOKUP(C543,EQUIPOS!$B$3:$G$18,6,0),""))</f>
        <v/>
      </c>
      <c r="G543" s="8"/>
      <c r="H543" s="5"/>
      <c r="I543" s="5"/>
      <c r="J543" s="9"/>
      <c r="K543" s="17" t="str">
        <f aca="false">IF(H543="","",IFERROR(SUMIFS(BD_PLAN!$I$3:$I$312,BD_PLAN!$B$3:$B$312,E543,BD_PLAN!$C$3:$C$312,INDEX(BD_CICLO!$F$3:$F$54,MATCH(E543&amp;"|"&amp;H543,BD_CICLO!$G$3:$G$54,0))),""))</f>
        <v/>
      </c>
      <c r="L543" s="9"/>
      <c r="M543" s="9"/>
      <c r="N543" s="1" t="str">
        <f aca="false">IF(C543="","",C543&amp;"|"&amp;COUNTIF(C$3:C543,C543))</f>
        <v/>
      </c>
      <c r="O543" s="1" t="str">
        <f aca="false">IF(OR(C543="",M543=""),"",C543&amp;"|"&amp;COUNTIFS(C$3:C543,C543,M$3:M543,"&lt;&gt;"))</f>
        <v/>
      </c>
    </row>
    <row r="544" customFormat="false" ht="15" hidden="false" customHeight="false" outlineLevel="0" collapsed="false">
      <c r="B544" s="7"/>
      <c r="C544" s="5"/>
      <c r="D544" s="9" t="str">
        <f aca="false">IF(C544="","",IFERROR(VLOOKUP(C544,EQUIPOS!$B$3:$C$18,2,0),"NO EXISTE"))</f>
        <v/>
      </c>
      <c r="E544" s="9" t="str">
        <f aca="false">IF(C544="","",IFERROR(VLOOKUP(C544,EQUIPOS!$B$3:$F$18,5,0),""))</f>
        <v/>
      </c>
      <c r="F544" s="5" t="str">
        <f aca="false">IF(C544="","",IFERROR(VLOOKUP(C544,EQUIPOS!$B$3:$G$18,6,0),""))</f>
        <v/>
      </c>
      <c r="G544" s="8"/>
      <c r="H544" s="5"/>
      <c r="I544" s="5"/>
      <c r="J544" s="9"/>
      <c r="K544" s="17" t="str">
        <f aca="false">IF(H544="","",IFERROR(SUMIFS(BD_PLAN!$I$3:$I$312,BD_PLAN!$B$3:$B$312,E544,BD_PLAN!$C$3:$C$312,INDEX(BD_CICLO!$F$3:$F$54,MATCH(E544&amp;"|"&amp;H544,BD_CICLO!$G$3:$G$54,0))),""))</f>
        <v/>
      </c>
      <c r="L544" s="9"/>
      <c r="M544" s="9"/>
      <c r="N544" s="1" t="str">
        <f aca="false">IF(C544="","",C544&amp;"|"&amp;COUNTIF(C$3:C544,C544))</f>
        <v/>
      </c>
      <c r="O544" s="1" t="str">
        <f aca="false">IF(OR(C544="",M544=""),"",C544&amp;"|"&amp;COUNTIFS(C$3:C544,C544,M$3:M544,"&lt;&gt;"))</f>
        <v/>
      </c>
    </row>
    <row r="545" customFormat="false" ht="15" hidden="false" customHeight="false" outlineLevel="0" collapsed="false">
      <c r="B545" s="7"/>
      <c r="C545" s="5"/>
      <c r="D545" s="9" t="str">
        <f aca="false">IF(C545="","",IFERROR(VLOOKUP(C545,EQUIPOS!$B$3:$C$18,2,0),"NO EXISTE"))</f>
        <v/>
      </c>
      <c r="E545" s="9" t="str">
        <f aca="false">IF(C545="","",IFERROR(VLOOKUP(C545,EQUIPOS!$B$3:$F$18,5,0),""))</f>
        <v/>
      </c>
      <c r="F545" s="5" t="str">
        <f aca="false">IF(C545="","",IFERROR(VLOOKUP(C545,EQUIPOS!$B$3:$G$18,6,0),""))</f>
        <v/>
      </c>
      <c r="G545" s="8"/>
      <c r="H545" s="5"/>
      <c r="I545" s="5"/>
      <c r="J545" s="9"/>
      <c r="K545" s="17" t="str">
        <f aca="false">IF(H545="","",IFERROR(SUMIFS(BD_PLAN!$I$3:$I$312,BD_PLAN!$B$3:$B$312,E545,BD_PLAN!$C$3:$C$312,INDEX(BD_CICLO!$F$3:$F$54,MATCH(E545&amp;"|"&amp;H545,BD_CICLO!$G$3:$G$54,0))),""))</f>
        <v/>
      </c>
      <c r="L545" s="9"/>
      <c r="M545" s="9"/>
      <c r="N545" s="1" t="str">
        <f aca="false">IF(C545="","",C545&amp;"|"&amp;COUNTIF(C$3:C545,C545))</f>
        <v/>
      </c>
      <c r="O545" s="1" t="str">
        <f aca="false">IF(OR(C545="",M545=""),"",C545&amp;"|"&amp;COUNTIFS(C$3:C545,C545,M$3:M545,"&lt;&gt;"))</f>
        <v/>
      </c>
    </row>
    <row r="546" customFormat="false" ht="15" hidden="false" customHeight="false" outlineLevel="0" collapsed="false">
      <c r="B546" s="7"/>
      <c r="C546" s="5"/>
      <c r="D546" s="9" t="str">
        <f aca="false">IF(C546="","",IFERROR(VLOOKUP(C546,EQUIPOS!$B$3:$C$18,2,0),"NO EXISTE"))</f>
        <v/>
      </c>
      <c r="E546" s="9" t="str">
        <f aca="false">IF(C546="","",IFERROR(VLOOKUP(C546,EQUIPOS!$B$3:$F$18,5,0),""))</f>
        <v/>
      </c>
      <c r="F546" s="5" t="str">
        <f aca="false">IF(C546="","",IFERROR(VLOOKUP(C546,EQUIPOS!$B$3:$G$18,6,0),""))</f>
        <v/>
      </c>
      <c r="G546" s="8"/>
      <c r="H546" s="5"/>
      <c r="I546" s="5"/>
      <c r="J546" s="9"/>
      <c r="K546" s="17" t="str">
        <f aca="false">IF(H546="","",IFERROR(SUMIFS(BD_PLAN!$I$3:$I$312,BD_PLAN!$B$3:$B$312,E546,BD_PLAN!$C$3:$C$312,INDEX(BD_CICLO!$F$3:$F$54,MATCH(E546&amp;"|"&amp;H546,BD_CICLO!$G$3:$G$54,0))),""))</f>
        <v/>
      </c>
      <c r="L546" s="9"/>
      <c r="M546" s="9"/>
      <c r="N546" s="1" t="str">
        <f aca="false">IF(C546="","",C546&amp;"|"&amp;COUNTIF(C$3:C546,C546))</f>
        <v/>
      </c>
      <c r="O546" s="1" t="str">
        <f aca="false">IF(OR(C546="",M546=""),"",C546&amp;"|"&amp;COUNTIFS(C$3:C546,C546,M$3:M546,"&lt;&gt;"))</f>
        <v/>
      </c>
    </row>
    <row r="547" customFormat="false" ht="15" hidden="false" customHeight="false" outlineLevel="0" collapsed="false">
      <c r="B547" s="7"/>
      <c r="C547" s="5"/>
      <c r="D547" s="9" t="str">
        <f aca="false">IF(C547="","",IFERROR(VLOOKUP(C547,EQUIPOS!$B$3:$C$18,2,0),"NO EXISTE"))</f>
        <v/>
      </c>
      <c r="E547" s="9" t="str">
        <f aca="false">IF(C547="","",IFERROR(VLOOKUP(C547,EQUIPOS!$B$3:$F$18,5,0),""))</f>
        <v/>
      </c>
      <c r="F547" s="5" t="str">
        <f aca="false">IF(C547="","",IFERROR(VLOOKUP(C547,EQUIPOS!$B$3:$G$18,6,0),""))</f>
        <v/>
      </c>
      <c r="G547" s="8"/>
      <c r="H547" s="5"/>
      <c r="I547" s="5"/>
      <c r="J547" s="9"/>
      <c r="K547" s="17" t="str">
        <f aca="false">IF(H547="","",IFERROR(SUMIFS(BD_PLAN!$I$3:$I$312,BD_PLAN!$B$3:$B$312,E547,BD_PLAN!$C$3:$C$312,INDEX(BD_CICLO!$F$3:$F$54,MATCH(E547&amp;"|"&amp;H547,BD_CICLO!$G$3:$G$54,0))),""))</f>
        <v/>
      </c>
      <c r="L547" s="9"/>
      <c r="M547" s="9"/>
      <c r="N547" s="1" t="str">
        <f aca="false">IF(C547="","",C547&amp;"|"&amp;COUNTIF(C$3:C547,C547))</f>
        <v/>
      </c>
      <c r="O547" s="1" t="str">
        <f aca="false">IF(OR(C547="",M547=""),"",C547&amp;"|"&amp;COUNTIFS(C$3:C547,C547,M$3:M547,"&lt;&gt;"))</f>
        <v/>
      </c>
    </row>
    <row r="548" customFormat="false" ht="15" hidden="false" customHeight="false" outlineLevel="0" collapsed="false">
      <c r="B548" s="7"/>
      <c r="C548" s="5"/>
      <c r="D548" s="9" t="str">
        <f aca="false">IF(C548="","",IFERROR(VLOOKUP(C548,EQUIPOS!$B$3:$C$18,2,0),"NO EXISTE"))</f>
        <v/>
      </c>
      <c r="E548" s="9" t="str">
        <f aca="false">IF(C548="","",IFERROR(VLOOKUP(C548,EQUIPOS!$B$3:$F$18,5,0),""))</f>
        <v/>
      </c>
      <c r="F548" s="5" t="str">
        <f aca="false">IF(C548="","",IFERROR(VLOOKUP(C548,EQUIPOS!$B$3:$G$18,6,0),""))</f>
        <v/>
      </c>
      <c r="G548" s="8"/>
      <c r="H548" s="5"/>
      <c r="I548" s="5"/>
      <c r="J548" s="9"/>
      <c r="K548" s="17" t="str">
        <f aca="false">IF(H548="","",IFERROR(SUMIFS(BD_PLAN!$I$3:$I$312,BD_PLAN!$B$3:$B$312,E548,BD_PLAN!$C$3:$C$312,INDEX(BD_CICLO!$F$3:$F$54,MATCH(E548&amp;"|"&amp;H548,BD_CICLO!$G$3:$G$54,0))),""))</f>
        <v/>
      </c>
      <c r="L548" s="9"/>
      <c r="M548" s="9"/>
      <c r="N548" s="1" t="str">
        <f aca="false">IF(C548="","",C548&amp;"|"&amp;COUNTIF(C$3:C548,C548))</f>
        <v/>
      </c>
      <c r="O548" s="1" t="str">
        <f aca="false">IF(OR(C548="",M548=""),"",C548&amp;"|"&amp;COUNTIFS(C$3:C548,C548,M$3:M548,"&lt;&gt;"))</f>
        <v/>
      </c>
    </row>
    <row r="549" customFormat="false" ht="15" hidden="false" customHeight="false" outlineLevel="0" collapsed="false">
      <c r="B549" s="7"/>
      <c r="C549" s="5"/>
      <c r="D549" s="9" t="str">
        <f aca="false">IF(C549="","",IFERROR(VLOOKUP(C549,EQUIPOS!$B$3:$C$18,2,0),"NO EXISTE"))</f>
        <v/>
      </c>
      <c r="E549" s="9" t="str">
        <f aca="false">IF(C549="","",IFERROR(VLOOKUP(C549,EQUIPOS!$B$3:$F$18,5,0),""))</f>
        <v/>
      </c>
      <c r="F549" s="5" t="str">
        <f aca="false">IF(C549="","",IFERROR(VLOOKUP(C549,EQUIPOS!$B$3:$G$18,6,0),""))</f>
        <v/>
      </c>
      <c r="G549" s="8"/>
      <c r="H549" s="5"/>
      <c r="I549" s="5"/>
      <c r="J549" s="9"/>
      <c r="K549" s="17" t="str">
        <f aca="false">IF(H549="","",IFERROR(SUMIFS(BD_PLAN!$I$3:$I$312,BD_PLAN!$B$3:$B$312,E549,BD_PLAN!$C$3:$C$312,INDEX(BD_CICLO!$F$3:$F$54,MATCH(E549&amp;"|"&amp;H549,BD_CICLO!$G$3:$G$54,0))),""))</f>
        <v/>
      </c>
      <c r="L549" s="9"/>
      <c r="M549" s="9"/>
      <c r="N549" s="1" t="str">
        <f aca="false">IF(C549="","",C549&amp;"|"&amp;COUNTIF(C$3:C549,C549))</f>
        <v/>
      </c>
      <c r="O549" s="1" t="str">
        <f aca="false">IF(OR(C549="",M549=""),"",C549&amp;"|"&amp;COUNTIFS(C$3:C549,C549,M$3:M549,"&lt;&gt;"))</f>
        <v/>
      </c>
    </row>
    <row r="550" customFormat="false" ht="15" hidden="false" customHeight="false" outlineLevel="0" collapsed="false">
      <c r="B550" s="7"/>
      <c r="C550" s="5"/>
      <c r="D550" s="9" t="str">
        <f aca="false">IF(C550="","",IFERROR(VLOOKUP(C550,EQUIPOS!$B$3:$C$18,2,0),"NO EXISTE"))</f>
        <v/>
      </c>
      <c r="E550" s="9" t="str">
        <f aca="false">IF(C550="","",IFERROR(VLOOKUP(C550,EQUIPOS!$B$3:$F$18,5,0),""))</f>
        <v/>
      </c>
      <c r="F550" s="5" t="str">
        <f aca="false">IF(C550="","",IFERROR(VLOOKUP(C550,EQUIPOS!$B$3:$G$18,6,0),""))</f>
        <v/>
      </c>
      <c r="G550" s="8"/>
      <c r="H550" s="5"/>
      <c r="I550" s="5"/>
      <c r="J550" s="9"/>
      <c r="K550" s="17" t="str">
        <f aca="false">IF(H550="","",IFERROR(SUMIFS(BD_PLAN!$I$3:$I$312,BD_PLAN!$B$3:$B$312,E550,BD_PLAN!$C$3:$C$312,INDEX(BD_CICLO!$F$3:$F$54,MATCH(E550&amp;"|"&amp;H550,BD_CICLO!$G$3:$G$54,0))),""))</f>
        <v/>
      </c>
      <c r="L550" s="9"/>
      <c r="M550" s="9"/>
      <c r="N550" s="1" t="str">
        <f aca="false">IF(C550="","",C550&amp;"|"&amp;COUNTIF(C$3:C550,C550))</f>
        <v/>
      </c>
      <c r="O550" s="1" t="str">
        <f aca="false">IF(OR(C550="",M550=""),"",C550&amp;"|"&amp;COUNTIFS(C$3:C550,C550,M$3:M550,"&lt;&gt;"))</f>
        <v/>
      </c>
    </row>
    <row r="551" customFormat="false" ht="15" hidden="false" customHeight="false" outlineLevel="0" collapsed="false">
      <c r="B551" s="7"/>
      <c r="C551" s="5"/>
      <c r="D551" s="9" t="str">
        <f aca="false">IF(C551="","",IFERROR(VLOOKUP(C551,EQUIPOS!$B$3:$C$18,2,0),"NO EXISTE"))</f>
        <v/>
      </c>
      <c r="E551" s="9" t="str">
        <f aca="false">IF(C551="","",IFERROR(VLOOKUP(C551,EQUIPOS!$B$3:$F$18,5,0),""))</f>
        <v/>
      </c>
      <c r="F551" s="5" t="str">
        <f aca="false">IF(C551="","",IFERROR(VLOOKUP(C551,EQUIPOS!$B$3:$G$18,6,0),""))</f>
        <v/>
      </c>
      <c r="G551" s="8"/>
      <c r="H551" s="5"/>
      <c r="I551" s="5"/>
      <c r="J551" s="9"/>
      <c r="K551" s="17" t="str">
        <f aca="false">IF(H551="","",IFERROR(SUMIFS(BD_PLAN!$I$3:$I$312,BD_PLAN!$B$3:$B$312,E551,BD_PLAN!$C$3:$C$312,INDEX(BD_CICLO!$F$3:$F$54,MATCH(E551&amp;"|"&amp;H551,BD_CICLO!$G$3:$G$54,0))),""))</f>
        <v/>
      </c>
      <c r="L551" s="9"/>
      <c r="M551" s="9"/>
      <c r="N551" s="1" t="str">
        <f aca="false">IF(C551="","",C551&amp;"|"&amp;COUNTIF(C$3:C551,C551))</f>
        <v/>
      </c>
      <c r="O551" s="1" t="str">
        <f aca="false">IF(OR(C551="",M551=""),"",C551&amp;"|"&amp;COUNTIFS(C$3:C551,C551,M$3:M551,"&lt;&gt;"))</f>
        <v/>
      </c>
    </row>
    <row r="552" customFormat="false" ht="15" hidden="false" customHeight="false" outlineLevel="0" collapsed="false">
      <c r="B552" s="7"/>
      <c r="C552" s="5"/>
      <c r="D552" s="9" t="str">
        <f aca="false">IF(C552="","",IFERROR(VLOOKUP(C552,EQUIPOS!$B$3:$C$18,2,0),"NO EXISTE"))</f>
        <v/>
      </c>
      <c r="E552" s="9" t="str">
        <f aca="false">IF(C552="","",IFERROR(VLOOKUP(C552,EQUIPOS!$B$3:$F$18,5,0),""))</f>
        <v/>
      </c>
      <c r="F552" s="5" t="str">
        <f aca="false">IF(C552="","",IFERROR(VLOOKUP(C552,EQUIPOS!$B$3:$G$18,6,0),""))</f>
        <v/>
      </c>
      <c r="G552" s="8"/>
      <c r="H552" s="5"/>
      <c r="I552" s="5"/>
      <c r="J552" s="9"/>
      <c r="K552" s="17" t="str">
        <f aca="false">IF(H552="","",IFERROR(SUMIFS(BD_PLAN!$I$3:$I$312,BD_PLAN!$B$3:$B$312,E552,BD_PLAN!$C$3:$C$312,INDEX(BD_CICLO!$F$3:$F$54,MATCH(E552&amp;"|"&amp;H552,BD_CICLO!$G$3:$G$54,0))),""))</f>
        <v/>
      </c>
      <c r="L552" s="9"/>
      <c r="M552" s="9"/>
      <c r="N552" s="1" t="str">
        <f aca="false">IF(C552="","",C552&amp;"|"&amp;COUNTIF(C$3:C552,C552))</f>
        <v/>
      </c>
      <c r="O552" s="1" t="str">
        <f aca="false">IF(OR(C552="",M552=""),"",C552&amp;"|"&amp;COUNTIFS(C$3:C552,C552,M$3:M552,"&lt;&gt;"))</f>
        <v/>
      </c>
    </row>
    <row r="553" customFormat="false" ht="15" hidden="false" customHeight="false" outlineLevel="0" collapsed="false">
      <c r="B553" s="7"/>
      <c r="C553" s="5"/>
      <c r="D553" s="9" t="str">
        <f aca="false">IF(C553="","",IFERROR(VLOOKUP(C553,EQUIPOS!$B$3:$C$18,2,0),"NO EXISTE"))</f>
        <v/>
      </c>
      <c r="E553" s="9" t="str">
        <f aca="false">IF(C553="","",IFERROR(VLOOKUP(C553,EQUIPOS!$B$3:$F$18,5,0),""))</f>
        <v/>
      </c>
      <c r="F553" s="5" t="str">
        <f aca="false">IF(C553="","",IFERROR(VLOOKUP(C553,EQUIPOS!$B$3:$G$18,6,0),""))</f>
        <v/>
      </c>
      <c r="G553" s="8"/>
      <c r="H553" s="5"/>
      <c r="I553" s="5"/>
      <c r="J553" s="9"/>
      <c r="K553" s="17" t="str">
        <f aca="false">IF(H553="","",IFERROR(SUMIFS(BD_PLAN!$I$3:$I$312,BD_PLAN!$B$3:$B$312,E553,BD_PLAN!$C$3:$C$312,INDEX(BD_CICLO!$F$3:$F$54,MATCH(E553&amp;"|"&amp;H553,BD_CICLO!$G$3:$G$54,0))),""))</f>
        <v/>
      </c>
      <c r="L553" s="9"/>
      <c r="M553" s="9"/>
      <c r="N553" s="1" t="str">
        <f aca="false">IF(C553="","",C553&amp;"|"&amp;COUNTIF(C$3:C553,C553))</f>
        <v/>
      </c>
      <c r="O553" s="1" t="str">
        <f aca="false">IF(OR(C553="",M553=""),"",C553&amp;"|"&amp;COUNTIFS(C$3:C553,C553,M$3:M553,"&lt;&gt;"))</f>
        <v/>
      </c>
    </row>
    <row r="554" customFormat="false" ht="15" hidden="false" customHeight="false" outlineLevel="0" collapsed="false">
      <c r="B554" s="7"/>
      <c r="C554" s="5"/>
      <c r="D554" s="9" t="str">
        <f aca="false">IF(C554="","",IFERROR(VLOOKUP(C554,EQUIPOS!$B$3:$C$18,2,0),"NO EXISTE"))</f>
        <v/>
      </c>
      <c r="E554" s="9" t="str">
        <f aca="false">IF(C554="","",IFERROR(VLOOKUP(C554,EQUIPOS!$B$3:$F$18,5,0),""))</f>
        <v/>
      </c>
      <c r="F554" s="5" t="str">
        <f aca="false">IF(C554="","",IFERROR(VLOOKUP(C554,EQUIPOS!$B$3:$G$18,6,0),""))</f>
        <v/>
      </c>
      <c r="G554" s="8"/>
      <c r="H554" s="5"/>
      <c r="I554" s="5"/>
      <c r="J554" s="9"/>
      <c r="K554" s="17" t="str">
        <f aca="false">IF(H554="","",IFERROR(SUMIFS(BD_PLAN!$I$3:$I$312,BD_PLAN!$B$3:$B$312,E554,BD_PLAN!$C$3:$C$312,INDEX(BD_CICLO!$F$3:$F$54,MATCH(E554&amp;"|"&amp;H554,BD_CICLO!$G$3:$G$54,0))),""))</f>
        <v/>
      </c>
      <c r="L554" s="9"/>
      <c r="M554" s="9"/>
      <c r="N554" s="1" t="str">
        <f aca="false">IF(C554="","",C554&amp;"|"&amp;COUNTIF(C$3:C554,C554))</f>
        <v/>
      </c>
      <c r="O554" s="1" t="str">
        <f aca="false">IF(OR(C554="",M554=""),"",C554&amp;"|"&amp;COUNTIFS(C$3:C554,C554,M$3:M554,"&lt;&gt;"))</f>
        <v/>
      </c>
    </row>
    <row r="555" customFormat="false" ht="15" hidden="false" customHeight="false" outlineLevel="0" collapsed="false">
      <c r="B555" s="7"/>
      <c r="C555" s="5"/>
      <c r="D555" s="9" t="str">
        <f aca="false">IF(C555="","",IFERROR(VLOOKUP(C555,EQUIPOS!$B$3:$C$18,2,0),"NO EXISTE"))</f>
        <v/>
      </c>
      <c r="E555" s="9" t="str">
        <f aca="false">IF(C555="","",IFERROR(VLOOKUP(C555,EQUIPOS!$B$3:$F$18,5,0),""))</f>
        <v/>
      </c>
      <c r="F555" s="5" t="str">
        <f aca="false">IF(C555="","",IFERROR(VLOOKUP(C555,EQUIPOS!$B$3:$G$18,6,0),""))</f>
        <v/>
      </c>
      <c r="G555" s="8"/>
      <c r="H555" s="5"/>
      <c r="I555" s="5"/>
      <c r="J555" s="9"/>
      <c r="K555" s="17" t="str">
        <f aca="false">IF(H555="","",IFERROR(SUMIFS(BD_PLAN!$I$3:$I$312,BD_PLAN!$B$3:$B$312,E555,BD_PLAN!$C$3:$C$312,INDEX(BD_CICLO!$F$3:$F$54,MATCH(E555&amp;"|"&amp;H555,BD_CICLO!$G$3:$G$54,0))),""))</f>
        <v/>
      </c>
      <c r="L555" s="9"/>
      <c r="M555" s="9"/>
      <c r="N555" s="1" t="str">
        <f aca="false">IF(C555="","",C555&amp;"|"&amp;COUNTIF(C$3:C555,C555))</f>
        <v/>
      </c>
      <c r="O555" s="1" t="str">
        <f aca="false">IF(OR(C555="",M555=""),"",C555&amp;"|"&amp;COUNTIFS(C$3:C555,C555,M$3:M555,"&lt;&gt;"))</f>
        <v/>
      </c>
    </row>
    <row r="556" customFormat="false" ht="15" hidden="false" customHeight="false" outlineLevel="0" collapsed="false">
      <c r="B556" s="7"/>
      <c r="C556" s="5"/>
      <c r="D556" s="9" t="str">
        <f aca="false">IF(C556="","",IFERROR(VLOOKUP(C556,EQUIPOS!$B$3:$C$18,2,0),"NO EXISTE"))</f>
        <v/>
      </c>
      <c r="E556" s="9" t="str">
        <f aca="false">IF(C556="","",IFERROR(VLOOKUP(C556,EQUIPOS!$B$3:$F$18,5,0),""))</f>
        <v/>
      </c>
      <c r="F556" s="5" t="str">
        <f aca="false">IF(C556="","",IFERROR(VLOOKUP(C556,EQUIPOS!$B$3:$G$18,6,0),""))</f>
        <v/>
      </c>
      <c r="G556" s="8"/>
      <c r="H556" s="5"/>
      <c r="I556" s="5"/>
      <c r="J556" s="9"/>
      <c r="K556" s="17" t="str">
        <f aca="false">IF(H556="","",IFERROR(SUMIFS(BD_PLAN!$I$3:$I$312,BD_PLAN!$B$3:$B$312,E556,BD_PLAN!$C$3:$C$312,INDEX(BD_CICLO!$F$3:$F$54,MATCH(E556&amp;"|"&amp;H556,BD_CICLO!$G$3:$G$54,0))),""))</f>
        <v/>
      </c>
      <c r="L556" s="9"/>
      <c r="M556" s="9"/>
      <c r="N556" s="1" t="str">
        <f aca="false">IF(C556="","",C556&amp;"|"&amp;COUNTIF(C$3:C556,C556))</f>
        <v/>
      </c>
      <c r="O556" s="1" t="str">
        <f aca="false">IF(OR(C556="",M556=""),"",C556&amp;"|"&amp;COUNTIFS(C$3:C556,C556,M$3:M556,"&lt;&gt;"))</f>
        <v/>
      </c>
    </row>
    <row r="557" customFormat="false" ht="15" hidden="false" customHeight="false" outlineLevel="0" collapsed="false">
      <c r="B557" s="7"/>
      <c r="C557" s="5"/>
      <c r="D557" s="9" t="str">
        <f aca="false">IF(C557="","",IFERROR(VLOOKUP(C557,EQUIPOS!$B$3:$C$18,2,0),"NO EXISTE"))</f>
        <v/>
      </c>
      <c r="E557" s="9" t="str">
        <f aca="false">IF(C557="","",IFERROR(VLOOKUP(C557,EQUIPOS!$B$3:$F$18,5,0),""))</f>
        <v/>
      </c>
      <c r="F557" s="5" t="str">
        <f aca="false">IF(C557="","",IFERROR(VLOOKUP(C557,EQUIPOS!$B$3:$G$18,6,0),""))</f>
        <v/>
      </c>
      <c r="G557" s="8"/>
      <c r="H557" s="5"/>
      <c r="I557" s="5"/>
      <c r="J557" s="9"/>
      <c r="K557" s="17" t="str">
        <f aca="false">IF(H557="","",IFERROR(SUMIFS(BD_PLAN!$I$3:$I$312,BD_PLAN!$B$3:$B$312,E557,BD_PLAN!$C$3:$C$312,INDEX(BD_CICLO!$F$3:$F$54,MATCH(E557&amp;"|"&amp;H557,BD_CICLO!$G$3:$G$54,0))),""))</f>
        <v/>
      </c>
      <c r="L557" s="9"/>
      <c r="M557" s="9"/>
      <c r="N557" s="1" t="str">
        <f aca="false">IF(C557="","",C557&amp;"|"&amp;COUNTIF(C$3:C557,C557))</f>
        <v/>
      </c>
      <c r="O557" s="1" t="str">
        <f aca="false">IF(OR(C557="",M557=""),"",C557&amp;"|"&amp;COUNTIFS(C$3:C557,C557,M$3:M557,"&lt;&gt;"))</f>
        <v/>
      </c>
    </row>
    <row r="558" customFormat="false" ht="15" hidden="false" customHeight="false" outlineLevel="0" collapsed="false">
      <c r="B558" s="7"/>
      <c r="C558" s="5"/>
      <c r="D558" s="9" t="str">
        <f aca="false">IF(C558="","",IFERROR(VLOOKUP(C558,EQUIPOS!$B$3:$C$18,2,0),"NO EXISTE"))</f>
        <v/>
      </c>
      <c r="E558" s="9" t="str">
        <f aca="false">IF(C558="","",IFERROR(VLOOKUP(C558,EQUIPOS!$B$3:$F$18,5,0),""))</f>
        <v/>
      </c>
      <c r="F558" s="5" t="str">
        <f aca="false">IF(C558="","",IFERROR(VLOOKUP(C558,EQUIPOS!$B$3:$G$18,6,0),""))</f>
        <v/>
      </c>
      <c r="G558" s="8"/>
      <c r="H558" s="5"/>
      <c r="I558" s="5"/>
      <c r="J558" s="9"/>
      <c r="K558" s="17" t="str">
        <f aca="false">IF(H558="","",IFERROR(SUMIFS(BD_PLAN!$I$3:$I$312,BD_PLAN!$B$3:$B$312,E558,BD_PLAN!$C$3:$C$312,INDEX(BD_CICLO!$F$3:$F$54,MATCH(E558&amp;"|"&amp;H558,BD_CICLO!$G$3:$G$54,0))),""))</f>
        <v/>
      </c>
      <c r="L558" s="9"/>
      <c r="M558" s="9"/>
      <c r="N558" s="1" t="str">
        <f aca="false">IF(C558="","",C558&amp;"|"&amp;COUNTIF(C$3:C558,C558))</f>
        <v/>
      </c>
      <c r="O558" s="1" t="str">
        <f aca="false">IF(OR(C558="",M558=""),"",C558&amp;"|"&amp;COUNTIFS(C$3:C558,C558,M$3:M558,"&lt;&gt;"))</f>
        <v/>
      </c>
    </row>
    <row r="559" customFormat="false" ht="15" hidden="false" customHeight="false" outlineLevel="0" collapsed="false">
      <c r="B559" s="7"/>
      <c r="C559" s="5"/>
      <c r="D559" s="9" t="str">
        <f aca="false">IF(C559="","",IFERROR(VLOOKUP(C559,EQUIPOS!$B$3:$C$18,2,0),"NO EXISTE"))</f>
        <v/>
      </c>
      <c r="E559" s="9" t="str">
        <f aca="false">IF(C559="","",IFERROR(VLOOKUP(C559,EQUIPOS!$B$3:$F$18,5,0),""))</f>
        <v/>
      </c>
      <c r="F559" s="5" t="str">
        <f aca="false">IF(C559="","",IFERROR(VLOOKUP(C559,EQUIPOS!$B$3:$G$18,6,0),""))</f>
        <v/>
      </c>
      <c r="G559" s="8"/>
      <c r="H559" s="5"/>
      <c r="I559" s="5"/>
      <c r="J559" s="9"/>
      <c r="K559" s="17" t="str">
        <f aca="false">IF(H559="","",IFERROR(SUMIFS(BD_PLAN!$I$3:$I$312,BD_PLAN!$B$3:$B$312,E559,BD_PLAN!$C$3:$C$312,INDEX(BD_CICLO!$F$3:$F$54,MATCH(E559&amp;"|"&amp;H559,BD_CICLO!$G$3:$G$54,0))),""))</f>
        <v/>
      </c>
      <c r="L559" s="9"/>
      <c r="M559" s="9"/>
      <c r="N559" s="1" t="str">
        <f aca="false">IF(C559="","",C559&amp;"|"&amp;COUNTIF(C$3:C559,C559))</f>
        <v/>
      </c>
      <c r="O559" s="1" t="str">
        <f aca="false">IF(OR(C559="",M559=""),"",C559&amp;"|"&amp;COUNTIFS(C$3:C559,C559,M$3:M559,"&lt;&gt;"))</f>
        <v/>
      </c>
    </row>
    <row r="560" customFormat="false" ht="15" hidden="false" customHeight="false" outlineLevel="0" collapsed="false">
      <c r="B560" s="7"/>
      <c r="C560" s="5"/>
      <c r="D560" s="9" t="str">
        <f aca="false">IF(C560="","",IFERROR(VLOOKUP(C560,EQUIPOS!$B$3:$C$18,2,0),"NO EXISTE"))</f>
        <v/>
      </c>
      <c r="E560" s="9" t="str">
        <f aca="false">IF(C560="","",IFERROR(VLOOKUP(C560,EQUIPOS!$B$3:$F$18,5,0),""))</f>
        <v/>
      </c>
      <c r="F560" s="5" t="str">
        <f aca="false">IF(C560="","",IFERROR(VLOOKUP(C560,EQUIPOS!$B$3:$G$18,6,0),""))</f>
        <v/>
      </c>
      <c r="G560" s="8"/>
      <c r="H560" s="5"/>
      <c r="I560" s="5"/>
      <c r="J560" s="9"/>
      <c r="K560" s="17" t="str">
        <f aca="false">IF(H560="","",IFERROR(SUMIFS(BD_PLAN!$I$3:$I$312,BD_PLAN!$B$3:$B$312,E560,BD_PLAN!$C$3:$C$312,INDEX(BD_CICLO!$F$3:$F$54,MATCH(E560&amp;"|"&amp;H560,BD_CICLO!$G$3:$G$54,0))),""))</f>
        <v/>
      </c>
      <c r="L560" s="9"/>
      <c r="M560" s="9"/>
      <c r="N560" s="1" t="str">
        <f aca="false">IF(C560="","",C560&amp;"|"&amp;COUNTIF(C$3:C560,C560))</f>
        <v/>
      </c>
      <c r="O560" s="1" t="str">
        <f aca="false">IF(OR(C560="",M560=""),"",C560&amp;"|"&amp;COUNTIFS(C$3:C560,C560,M$3:M560,"&lt;&gt;"))</f>
        <v/>
      </c>
    </row>
    <row r="561" customFormat="false" ht="15" hidden="false" customHeight="false" outlineLevel="0" collapsed="false">
      <c r="B561" s="7"/>
      <c r="C561" s="5"/>
      <c r="D561" s="9" t="str">
        <f aca="false">IF(C561="","",IFERROR(VLOOKUP(C561,EQUIPOS!$B$3:$C$18,2,0),"NO EXISTE"))</f>
        <v/>
      </c>
      <c r="E561" s="9" t="str">
        <f aca="false">IF(C561="","",IFERROR(VLOOKUP(C561,EQUIPOS!$B$3:$F$18,5,0),""))</f>
        <v/>
      </c>
      <c r="F561" s="5" t="str">
        <f aca="false">IF(C561="","",IFERROR(VLOOKUP(C561,EQUIPOS!$B$3:$G$18,6,0),""))</f>
        <v/>
      </c>
      <c r="G561" s="8"/>
      <c r="H561" s="5"/>
      <c r="I561" s="5"/>
      <c r="J561" s="9"/>
      <c r="K561" s="17" t="str">
        <f aca="false">IF(H561="","",IFERROR(SUMIFS(BD_PLAN!$I$3:$I$312,BD_PLAN!$B$3:$B$312,E561,BD_PLAN!$C$3:$C$312,INDEX(BD_CICLO!$F$3:$F$54,MATCH(E561&amp;"|"&amp;H561,BD_CICLO!$G$3:$G$54,0))),""))</f>
        <v/>
      </c>
      <c r="L561" s="9"/>
      <c r="M561" s="9"/>
      <c r="N561" s="1" t="str">
        <f aca="false">IF(C561="","",C561&amp;"|"&amp;COUNTIF(C$3:C561,C561))</f>
        <v/>
      </c>
      <c r="O561" s="1" t="str">
        <f aca="false">IF(OR(C561="",M561=""),"",C561&amp;"|"&amp;COUNTIFS(C$3:C561,C561,M$3:M561,"&lt;&gt;"))</f>
        <v/>
      </c>
    </row>
    <row r="562" customFormat="false" ht="15" hidden="false" customHeight="false" outlineLevel="0" collapsed="false">
      <c r="B562" s="7"/>
      <c r="C562" s="5"/>
      <c r="D562" s="9" t="str">
        <f aca="false">IF(C562="","",IFERROR(VLOOKUP(C562,EQUIPOS!$B$3:$C$18,2,0),"NO EXISTE"))</f>
        <v/>
      </c>
      <c r="E562" s="9" t="str">
        <f aca="false">IF(C562="","",IFERROR(VLOOKUP(C562,EQUIPOS!$B$3:$F$18,5,0),""))</f>
        <v/>
      </c>
      <c r="F562" s="5" t="str">
        <f aca="false">IF(C562="","",IFERROR(VLOOKUP(C562,EQUIPOS!$B$3:$G$18,6,0),""))</f>
        <v/>
      </c>
      <c r="G562" s="8"/>
      <c r="H562" s="5"/>
      <c r="I562" s="5"/>
      <c r="J562" s="9"/>
      <c r="K562" s="17" t="str">
        <f aca="false">IF(H562="","",IFERROR(SUMIFS(BD_PLAN!$I$3:$I$312,BD_PLAN!$B$3:$B$312,E562,BD_PLAN!$C$3:$C$312,INDEX(BD_CICLO!$F$3:$F$54,MATCH(E562&amp;"|"&amp;H562,BD_CICLO!$G$3:$G$54,0))),""))</f>
        <v/>
      </c>
      <c r="L562" s="9"/>
      <c r="M562" s="9"/>
      <c r="N562" s="1" t="str">
        <f aca="false">IF(C562="","",C562&amp;"|"&amp;COUNTIF(C$3:C562,C562))</f>
        <v/>
      </c>
      <c r="O562" s="1" t="str">
        <f aca="false">IF(OR(C562="",M562=""),"",C562&amp;"|"&amp;COUNTIFS(C$3:C562,C562,M$3:M562,"&lt;&gt;"))</f>
        <v/>
      </c>
    </row>
    <row r="563" customFormat="false" ht="15" hidden="false" customHeight="false" outlineLevel="0" collapsed="false">
      <c r="B563" s="7"/>
      <c r="C563" s="5"/>
      <c r="D563" s="9" t="str">
        <f aca="false">IF(C563="","",IFERROR(VLOOKUP(C563,EQUIPOS!$B$3:$C$18,2,0),"NO EXISTE"))</f>
        <v/>
      </c>
      <c r="E563" s="9" t="str">
        <f aca="false">IF(C563="","",IFERROR(VLOOKUP(C563,EQUIPOS!$B$3:$F$18,5,0),""))</f>
        <v/>
      </c>
      <c r="F563" s="5" t="str">
        <f aca="false">IF(C563="","",IFERROR(VLOOKUP(C563,EQUIPOS!$B$3:$G$18,6,0),""))</f>
        <v/>
      </c>
      <c r="G563" s="8"/>
      <c r="H563" s="5"/>
      <c r="I563" s="5"/>
      <c r="J563" s="9"/>
      <c r="K563" s="17" t="str">
        <f aca="false">IF(H563="","",IFERROR(SUMIFS(BD_PLAN!$I$3:$I$312,BD_PLAN!$B$3:$B$312,E563,BD_PLAN!$C$3:$C$312,INDEX(BD_CICLO!$F$3:$F$54,MATCH(E563&amp;"|"&amp;H563,BD_CICLO!$G$3:$G$54,0))),""))</f>
        <v/>
      </c>
      <c r="L563" s="9"/>
      <c r="M563" s="9"/>
      <c r="N563" s="1" t="str">
        <f aca="false">IF(C563="","",C563&amp;"|"&amp;COUNTIF(C$3:C563,C563))</f>
        <v/>
      </c>
      <c r="O563" s="1" t="str">
        <f aca="false">IF(OR(C563="",M563=""),"",C563&amp;"|"&amp;COUNTIFS(C$3:C563,C563,M$3:M563,"&lt;&gt;"))</f>
        <v/>
      </c>
    </row>
    <row r="564" customFormat="false" ht="15" hidden="false" customHeight="false" outlineLevel="0" collapsed="false">
      <c r="B564" s="7"/>
      <c r="C564" s="5"/>
      <c r="D564" s="9" t="str">
        <f aca="false">IF(C564="","",IFERROR(VLOOKUP(C564,EQUIPOS!$B$3:$C$18,2,0),"NO EXISTE"))</f>
        <v/>
      </c>
      <c r="E564" s="9" t="str">
        <f aca="false">IF(C564="","",IFERROR(VLOOKUP(C564,EQUIPOS!$B$3:$F$18,5,0),""))</f>
        <v/>
      </c>
      <c r="F564" s="5" t="str">
        <f aca="false">IF(C564="","",IFERROR(VLOOKUP(C564,EQUIPOS!$B$3:$G$18,6,0),""))</f>
        <v/>
      </c>
      <c r="G564" s="8"/>
      <c r="H564" s="5"/>
      <c r="I564" s="5"/>
      <c r="J564" s="9"/>
      <c r="K564" s="17" t="str">
        <f aca="false">IF(H564="","",IFERROR(SUMIFS(BD_PLAN!$I$3:$I$312,BD_PLAN!$B$3:$B$312,E564,BD_PLAN!$C$3:$C$312,INDEX(BD_CICLO!$F$3:$F$54,MATCH(E564&amp;"|"&amp;H564,BD_CICLO!$G$3:$G$54,0))),""))</f>
        <v/>
      </c>
      <c r="L564" s="9"/>
      <c r="M564" s="9"/>
      <c r="N564" s="1" t="str">
        <f aca="false">IF(C564="","",C564&amp;"|"&amp;COUNTIF(C$3:C564,C564))</f>
        <v/>
      </c>
      <c r="O564" s="1" t="str">
        <f aca="false">IF(OR(C564="",M564=""),"",C564&amp;"|"&amp;COUNTIFS(C$3:C564,C564,M$3:M564,"&lt;&gt;"))</f>
        <v/>
      </c>
    </row>
    <row r="565" customFormat="false" ht="15" hidden="false" customHeight="false" outlineLevel="0" collapsed="false">
      <c r="B565" s="7"/>
      <c r="C565" s="5"/>
      <c r="D565" s="9" t="str">
        <f aca="false">IF(C565="","",IFERROR(VLOOKUP(C565,EQUIPOS!$B$3:$C$18,2,0),"NO EXISTE"))</f>
        <v/>
      </c>
      <c r="E565" s="9" t="str">
        <f aca="false">IF(C565="","",IFERROR(VLOOKUP(C565,EQUIPOS!$B$3:$F$18,5,0),""))</f>
        <v/>
      </c>
      <c r="F565" s="5" t="str">
        <f aca="false">IF(C565="","",IFERROR(VLOOKUP(C565,EQUIPOS!$B$3:$G$18,6,0),""))</f>
        <v/>
      </c>
      <c r="G565" s="8"/>
      <c r="H565" s="5"/>
      <c r="I565" s="5"/>
      <c r="J565" s="9"/>
      <c r="K565" s="17" t="str">
        <f aca="false">IF(H565="","",IFERROR(SUMIFS(BD_PLAN!$I$3:$I$312,BD_PLAN!$B$3:$B$312,E565,BD_PLAN!$C$3:$C$312,INDEX(BD_CICLO!$F$3:$F$54,MATCH(E565&amp;"|"&amp;H565,BD_CICLO!$G$3:$G$54,0))),""))</f>
        <v/>
      </c>
      <c r="L565" s="9"/>
      <c r="M565" s="9"/>
      <c r="N565" s="1" t="str">
        <f aca="false">IF(C565="","",C565&amp;"|"&amp;COUNTIF(C$3:C565,C565))</f>
        <v/>
      </c>
      <c r="O565" s="1" t="str">
        <f aca="false">IF(OR(C565="",M565=""),"",C565&amp;"|"&amp;COUNTIFS(C$3:C565,C565,M$3:M565,"&lt;&gt;"))</f>
        <v/>
      </c>
    </row>
    <row r="566" customFormat="false" ht="15" hidden="false" customHeight="false" outlineLevel="0" collapsed="false">
      <c r="B566" s="7"/>
      <c r="C566" s="5"/>
      <c r="D566" s="9" t="str">
        <f aca="false">IF(C566="","",IFERROR(VLOOKUP(C566,EQUIPOS!$B$3:$C$18,2,0),"NO EXISTE"))</f>
        <v/>
      </c>
      <c r="E566" s="9" t="str">
        <f aca="false">IF(C566="","",IFERROR(VLOOKUP(C566,EQUIPOS!$B$3:$F$18,5,0),""))</f>
        <v/>
      </c>
      <c r="F566" s="5" t="str">
        <f aca="false">IF(C566="","",IFERROR(VLOOKUP(C566,EQUIPOS!$B$3:$G$18,6,0),""))</f>
        <v/>
      </c>
      <c r="G566" s="8"/>
      <c r="H566" s="5"/>
      <c r="I566" s="5"/>
      <c r="J566" s="9"/>
      <c r="K566" s="17" t="str">
        <f aca="false">IF(H566="","",IFERROR(SUMIFS(BD_PLAN!$I$3:$I$312,BD_PLAN!$B$3:$B$312,E566,BD_PLAN!$C$3:$C$312,INDEX(BD_CICLO!$F$3:$F$54,MATCH(E566&amp;"|"&amp;H566,BD_CICLO!$G$3:$G$54,0))),""))</f>
        <v/>
      </c>
      <c r="L566" s="9"/>
      <c r="M566" s="9"/>
      <c r="N566" s="1" t="str">
        <f aca="false">IF(C566="","",C566&amp;"|"&amp;COUNTIF(C$3:C566,C566))</f>
        <v/>
      </c>
      <c r="O566" s="1" t="str">
        <f aca="false">IF(OR(C566="",M566=""),"",C566&amp;"|"&amp;COUNTIFS(C$3:C566,C566,M$3:M566,"&lt;&gt;"))</f>
        <v/>
      </c>
    </row>
    <row r="567" customFormat="false" ht="15" hidden="false" customHeight="false" outlineLevel="0" collapsed="false">
      <c r="B567" s="7"/>
      <c r="C567" s="5"/>
      <c r="D567" s="9" t="str">
        <f aca="false">IF(C567="","",IFERROR(VLOOKUP(C567,EQUIPOS!$B$3:$C$18,2,0),"NO EXISTE"))</f>
        <v/>
      </c>
      <c r="E567" s="9" t="str">
        <f aca="false">IF(C567="","",IFERROR(VLOOKUP(C567,EQUIPOS!$B$3:$F$18,5,0),""))</f>
        <v/>
      </c>
      <c r="F567" s="5" t="str">
        <f aca="false">IF(C567="","",IFERROR(VLOOKUP(C567,EQUIPOS!$B$3:$G$18,6,0),""))</f>
        <v/>
      </c>
      <c r="G567" s="8"/>
      <c r="H567" s="5"/>
      <c r="I567" s="5"/>
      <c r="J567" s="9"/>
      <c r="K567" s="17" t="str">
        <f aca="false">IF(H567="","",IFERROR(SUMIFS(BD_PLAN!$I$3:$I$312,BD_PLAN!$B$3:$B$312,E567,BD_PLAN!$C$3:$C$312,INDEX(BD_CICLO!$F$3:$F$54,MATCH(E567&amp;"|"&amp;H567,BD_CICLO!$G$3:$G$54,0))),""))</f>
        <v/>
      </c>
      <c r="L567" s="9"/>
      <c r="M567" s="9"/>
      <c r="N567" s="1" t="str">
        <f aca="false">IF(C567="","",C567&amp;"|"&amp;COUNTIF(C$3:C567,C567))</f>
        <v/>
      </c>
      <c r="O567" s="1" t="str">
        <f aca="false">IF(OR(C567="",M567=""),"",C567&amp;"|"&amp;COUNTIFS(C$3:C567,C567,M$3:M567,"&lt;&gt;"))</f>
        <v/>
      </c>
    </row>
    <row r="568" customFormat="false" ht="15" hidden="false" customHeight="false" outlineLevel="0" collapsed="false">
      <c r="B568" s="7"/>
      <c r="C568" s="5"/>
      <c r="D568" s="9" t="str">
        <f aca="false">IF(C568="","",IFERROR(VLOOKUP(C568,EQUIPOS!$B$3:$C$18,2,0),"NO EXISTE"))</f>
        <v/>
      </c>
      <c r="E568" s="9" t="str">
        <f aca="false">IF(C568="","",IFERROR(VLOOKUP(C568,EQUIPOS!$B$3:$F$18,5,0),""))</f>
        <v/>
      </c>
      <c r="F568" s="5" t="str">
        <f aca="false">IF(C568="","",IFERROR(VLOOKUP(C568,EQUIPOS!$B$3:$G$18,6,0),""))</f>
        <v/>
      </c>
      <c r="G568" s="8"/>
      <c r="H568" s="5"/>
      <c r="I568" s="5"/>
      <c r="J568" s="9"/>
      <c r="K568" s="17" t="str">
        <f aca="false">IF(H568="","",IFERROR(SUMIFS(BD_PLAN!$I$3:$I$312,BD_PLAN!$B$3:$B$312,E568,BD_PLAN!$C$3:$C$312,INDEX(BD_CICLO!$F$3:$F$54,MATCH(E568&amp;"|"&amp;H568,BD_CICLO!$G$3:$G$54,0))),""))</f>
        <v/>
      </c>
      <c r="L568" s="9"/>
      <c r="M568" s="9"/>
      <c r="N568" s="1" t="str">
        <f aca="false">IF(C568="","",C568&amp;"|"&amp;COUNTIF(C$3:C568,C568))</f>
        <v/>
      </c>
      <c r="O568" s="1" t="str">
        <f aca="false">IF(OR(C568="",M568=""),"",C568&amp;"|"&amp;COUNTIFS(C$3:C568,C568,M$3:M568,"&lt;&gt;"))</f>
        <v/>
      </c>
    </row>
    <row r="569" customFormat="false" ht="15" hidden="false" customHeight="false" outlineLevel="0" collapsed="false">
      <c r="B569" s="7"/>
      <c r="C569" s="5"/>
      <c r="D569" s="9" t="str">
        <f aca="false">IF(C569="","",IFERROR(VLOOKUP(C569,EQUIPOS!$B$3:$C$18,2,0),"NO EXISTE"))</f>
        <v/>
      </c>
      <c r="E569" s="9" t="str">
        <f aca="false">IF(C569="","",IFERROR(VLOOKUP(C569,EQUIPOS!$B$3:$F$18,5,0),""))</f>
        <v/>
      </c>
      <c r="F569" s="5" t="str">
        <f aca="false">IF(C569="","",IFERROR(VLOOKUP(C569,EQUIPOS!$B$3:$G$18,6,0),""))</f>
        <v/>
      </c>
      <c r="G569" s="8"/>
      <c r="H569" s="5"/>
      <c r="I569" s="5"/>
      <c r="J569" s="9"/>
      <c r="K569" s="17" t="str">
        <f aca="false">IF(H569="","",IFERROR(SUMIFS(BD_PLAN!$I$3:$I$312,BD_PLAN!$B$3:$B$312,E569,BD_PLAN!$C$3:$C$312,INDEX(BD_CICLO!$F$3:$F$54,MATCH(E569&amp;"|"&amp;H569,BD_CICLO!$G$3:$G$54,0))),""))</f>
        <v/>
      </c>
      <c r="L569" s="9"/>
      <c r="M569" s="9"/>
      <c r="N569" s="1" t="str">
        <f aca="false">IF(C569="","",C569&amp;"|"&amp;COUNTIF(C$3:C569,C569))</f>
        <v/>
      </c>
      <c r="O569" s="1" t="str">
        <f aca="false">IF(OR(C569="",M569=""),"",C569&amp;"|"&amp;COUNTIFS(C$3:C569,C569,M$3:M569,"&lt;&gt;"))</f>
        <v/>
      </c>
    </row>
    <row r="570" customFormat="false" ht="15" hidden="false" customHeight="false" outlineLevel="0" collapsed="false">
      <c r="B570" s="7"/>
      <c r="C570" s="5"/>
      <c r="D570" s="9" t="str">
        <f aca="false">IF(C570="","",IFERROR(VLOOKUP(C570,EQUIPOS!$B$3:$C$18,2,0),"NO EXISTE"))</f>
        <v/>
      </c>
      <c r="E570" s="9" t="str">
        <f aca="false">IF(C570="","",IFERROR(VLOOKUP(C570,EQUIPOS!$B$3:$F$18,5,0),""))</f>
        <v/>
      </c>
      <c r="F570" s="5" t="str">
        <f aca="false">IF(C570="","",IFERROR(VLOOKUP(C570,EQUIPOS!$B$3:$G$18,6,0),""))</f>
        <v/>
      </c>
      <c r="G570" s="8"/>
      <c r="H570" s="5"/>
      <c r="I570" s="5"/>
      <c r="J570" s="9"/>
      <c r="K570" s="17" t="str">
        <f aca="false">IF(H570="","",IFERROR(SUMIFS(BD_PLAN!$I$3:$I$312,BD_PLAN!$B$3:$B$312,E570,BD_PLAN!$C$3:$C$312,INDEX(BD_CICLO!$F$3:$F$54,MATCH(E570&amp;"|"&amp;H570,BD_CICLO!$G$3:$G$54,0))),""))</f>
        <v/>
      </c>
      <c r="L570" s="9"/>
      <c r="M570" s="9"/>
      <c r="N570" s="1" t="str">
        <f aca="false">IF(C570="","",C570&amp;"|"&amp;COUNTIF(C$3:C570,C570))</f>
        <v/>
      </c>
      <c r="O570" s="1" t="str">
        <f aca="false">IF(OR(C570="",M570=""),"",C570&amp;"|"&amp;COUNTIFS(C$3:C570,C570,M$3:M570,"&lt;&gt;"))</f>
        <v/>
      </c>
    </row>
    <row r="571" customFormat="false" ht="15" hidden="false" customHeight="false" outlineLevel="0" collapsed="false">
      <c r="B571" s="7"/>
      <c r="C571" s="5"/>
      <c r="D571" s="9" t="str">
        <f aca="false">IF(C571="","",IFERROR(VLOOKUP(C571,EQUIPOS!$B$3:$C$18,2,0),"NO EXISTE"))</f>
        <v/>
      </c>
      <c r="E571" s="9" t="str">
        <f aca="false">IF(C571="","",IFERROR(VLOOKUP(C571,EQUIPOS!$B$3:$F$18,5,0),""))</f>
        <v/>
      </c>
      <c r="F571" s="5" t="str">
        <f aca="false">IF(C571="","",IFERROR(VLOOKUP(C571,EQUIPOS!$B$3:$G$18,6,0),""))</f>
        <v/>
      </c>
      <c r="G571" s="8"/>
      <c r="H571" s="5"/>
      <c r="I571" s="5"/>
      <c r="J571" s="9"/>
      <c r="K571" s="17" t="str">
        <f aca="false">IF(H571="","",IFERROR(SUMIFS(BD_PLAN!$I$3:$I$312,BD_PLAN!$B$3:$B$312,E571,BD_PLAN!$C$3:$C$312,INDEX(BD_CICLO!$F$3:$F$54,MATCH(E571&amp;"|"&amp;H571,BD_CICLO!$G$3:$G$54,0))),""))</f>
        <v/>
      </c>
      <c r="L571" s="9"/>
      <c r="M571" s="9"/>
      <c r="N571" s="1" t="str">
        <f aca="false">IF(C571="","",C571&amp;"|"&amp;COUNTIF(C$3:C571,C571))</f>
        <v/>
      </c>
      <c r="O571" s="1" t="str">
        <f aca="false">IF(OR(C571="",M571=""),"",C571&amp;"|"&amp;COUNTIFS(C$3:C571,C571,M$3:M571,"&lt;&gt;"))</f>
        <v/>
      </c>
    </row>
    <row r="572" customFormat="false" ht="15" hidden="false" customHeight="false" outlineLevel="0" collapsed="false">
      <c r="B572" s="7"/>
      <c r="C572" s="5"/>
      <c r="D572" s="9" t="str">
        <f aca="false">IF(C572="","",IFERROR(VLOOKUP(C572,EQUIPOS!$B$3:$C$18,2,0),"NO EXISTE"))</f>
        <v/>
      </c>
      <c r="E572" s="9" t="str">
        <f aca="false">IF(C572="","",IFERROR(VLOOKUP(C572,EQUIPOS!$B$3:$F$18,5,0),""))</f>
        <v/>
      </c>
      <c r="F572" s="5" t="str">
        <f aca="false">IF(C572="","",IFERROR(VLOOKUP(C572,EQUIPOS!$B$3:$G$18,6,0),""))</f>
        <v/>
      </c>
      <c r="G572" s="8"/>
      <c r="H572" s="5"/>
      <c r="I572" s="5"/>
      <c r="J572" s="9"/>
      <c r="K572" s="17" t="str">
        <f aca="false">IF(H572="","",IFERROR(SUMIFS(BD_PLAN!$I$3:$I$312,BD_PLAN!$B$3:$B$312,E572,BD_PLAN!$C$3:$C$312,INDEX(BD_CICLO!$F$3:$F$54,MATCH(E572&amp;"|"&amp;H572,BD_CICLO!$G$3:$G$54,0))),""))</f>
        <v/>
      </c>
      <c r="L572" s="9"/>
      <c r="M572" s="9"/>
      <c r="N572" s="1" t="str">
        <f aca="false">IF(C572="","",C572&amp;"|"&amp;COUNTIF(C$3:C572,C572))</f>
        <v/>
      </c>
      <c r="O572" s="1" t="str">
        <f aca="false">IF(OR(C572="",M572=""),"",C572&amp;"|"&amp;COUNTIFS(C$3:C572,C572,M$3:M572,"&lt;&gt;"))</f>
        <v/>
      </c>
    </row>
    <row r="573" customFormat="false" ht="15" hidden="false" customHeight="false" outlineLevel="0" collapsed="false">
      <c r="B573" s="7"/>
      <c r="C573" s="5"/>
      <c r="D573" s="9" t="str">
        <f aca="false">IF(C573="","",IFERROR(VLOOKUP(C573,EQUIPOS!$B$3:$C$18,2,0),"NO EXISTE"))</f>
        <v/>
      </c>
      <c r="E573" s="9" t="str">
        <f aca="false">IF(C573="","",IFERROR(VLOOKUP(C573,EQUIPOS!$B$3:$F$18,5,0),""))</f>
        <v/>
      </c>
      <c r="F573" s="5" t="str">
        <f aca="false">IF(C573="","",IFERROR(VLOOKUP(C573,EQUIPOS!$B$3:$G$18,6,0),""))</f>
        <v/>
      </c>
      <c r="G573" s="8"/>
      <c r="H573" s="5"/>
      <c r="I573" s="5"/>
      <c r="J573" s="9"/>
      <c r="K573" s="17" t="str">
        <f aca="false">IF(H573="","",IFERROR(SUMIFS(BD_PLAN!$I$3:$I$312,BD_PLAN!$B$3:$B$312,E573,BD_PLAN!$C$3:$C$312,INDEX(BD_CICLO!$F$3:$F$54,MATCH(E573&amp;"|"&amp;H573,BD_CICLO!$G$3:$G$54,0))),""))</f>
        <v/>
      </c>
      <c r="L573" s="9"/>
      <c r="M573" s="9"/>
      <c r="N573" s="1" t="str">
        <f aca="false">IF(C573="","",C573&amp;"|"&amp;COUNTIF(C$3:C573,C573))</f>
        <v/>
      </c>
      <c r="O573" s="1" t="str">
        <f aca="false">IF(OR(C573="",M573=""),"",C573&amp;"|"&amp;COUNTIFS(C$3:C573,C573,M$3:M573,"&lt;&gt;"))</f>
        <v/>
      </c>
    </row>
    <row r="574" customFormat="false" ht="15" hidden="false" customHeight="false" outlineLevel="0" collapsed="false">
      <c r="B574" s="7"/>
      <c r="C574" s="5"/>
      <c r="D574" s="9" t="str">
        <f aca="false">IF(C574="","",IFERROR(VLOOKUP(C574,EQUIPOS!$B$3:$C$18,2,0),"NO EXISTE"))</f>
        <v/>
      </c>
      <c r="E574" s="9" t="str">
        <f aca="false">IF(C574="","",IFERROR(VLOOKUP(C574,EQUIPOS!$B$3:$F$18,5,0),""))</f>
        <v/>
      </c>
      <c r="F574" s="5" t="str">
        <f aca="false">IF(C574="","",IFERROR(VLOOKUP(C574,EQUIPOS!$B$3:$G$18,6,0),""))</f>
        <v/>
      </c>
      <c r="G574" s="8"/>
      <c r="H574" s="5"/>
      <c r="I574" s="5"/>
      <c r="J574" s="9"/>
      <c r="K574" s="17" t="str">
        <f aca="false">IF(H574="","",IFERROR(SUMIFS(BD_PLAN!$I$3:$I$312,BD_PLAN!$B$3:$B$312,E574,BD_PLAN!$C$3:$C$312,INDEX(BD_CICLO!$F$3:$F$54,MATCH(E574&amp;"|"&amp;H574,BD_CICLO!$G$3:$G$54,0))),""))</f>
        <v/>
      </c>
      <c r="L574" s="9"/>
      <c r="M574" s="9"/>
      <c r="N574" s="1" t="str">
        <f aca="false">IF(C574="","",C574&amp;"|"&amp;COUNTIF(C$3:C574,C574))</f>
        <v/>
      </c>
      <c r="O574" s="1" t="str">
        <f aca="false">IF(OR(C574="",M574=""),"",C574&amp;"|"&amp;COUNTIFS(C$3:C574,C574,M$3:M574,"&lt;&gt;"))</f>
        <v/>
      </c>
    </row>
    <row r="575" customFormat="false" ht="15" hidden="false" customHeight="false" outlineLevel="0" collapsed="false">
      <c r="B575" s="7"/>
      <c r="C575" s="5"/>
      <c r="D575" s="9" t="str">
        <f aca="false">IF(C575="","",IFERROR(VLOOKUP(C575,EQUIPOS!$B$3:$C$18,2,0),"NO EXISTE"))</f>
        <v/>
      </c>
      <c r="E575" s="9" t="str">
        <f aca="false">IF(C575="","",IFERROR(VLOOKUP(C575,EQUIPOS!$B$3:$F$18,5,0),""))</f>
        <v/>
      </c>
      <c r="F575" s="5" t="str">
        <f aca="false">IF(C575="","",IFERROR(VLOOKUP(C575,EQUIPOS!$B$3:$G$18,6,0),""))</f>
        <v/>
      </c>
      <c r="G575" s="8"/>
      <c r="H575" s="5"/>
      <c r="I575" s="5"/>
      <c r="J575" s="9"/>
      <c r="K575" s="17" t="str">
        <f aca="false">IF(H575="","",IFERROR(SUMIFS(BD_PLAN!$I$3:$I$312,BD_PLAN!$B$3:$B$312,E575,BD_PLAN!$C$3:$C$312,INDEX(BD_CICLO!$F$3:$F$54,MATCH(E575&amp;"|"&amp;H575,BD_CICLO!$G$3:$G$54,0))),""))</f>
        <v/>
      </c>
      <c r="L575" s="9"/>
      <c r="M575" s="9"/>
      <c r="N575" s="1" t="str">
        <f aca="false">IF(C575="","",C575&amp;"|"&amp;COUNTIF(C$3:C575,C575))</f>
        <v/>
      </c>
      <c r="O575" s="1" t="str">
        <f aca="false">IF(OR(C575="",M575=""),"",C575&amp;"|"&amp;COUNTIFS(C$3:C575,C575,M$3:M575,"&lt;&gt;"))</f>
        <v/>
      </c>
    </row>
    <row r="576" customFormat="false" ht="15" hidden="false" customHeight="false" outlineLevel="0" collapsed="false">
      <c r="B576" s="7"/>
      <c r="C576" s="5"/>
      <c r="D576" s="9" t="str">
        <f aca="false">IF(C576="","",IFERROR(VLOOKUP(C576,EQUIPOS!$B$3:$C$18,2,0),"NO EXISTE"))</f>
        <v/>
      </c>
      <c r="E576" s="9" t="str">
        <f aca="false">IF(C576="","",IFERROR(VLOOKUP(C576,EQUIPOS!$B$3:$F$18,5,0),""))</f>
        <v/>
      </c>
      <c r="F576" s="5" t="str">
        <f aca="false">IF(C576="","",IFERROR(VLOOKUP(C576,EQUIPOS!$B$3:$G$18,6,0),""))</f>
        <v/>
      </c>
      <c r="G576" s="8"/>
      <c r="H576" s="5"/>
      <c r="I576" s="5"/>
      <c r="J576" s="9"/>
      <c r="K576" s="17" t="str">
        <f aca="false">IF(H576="","",IFERROR(SUMIFS(BD_PLAN!$I$3:$I$312,BD_PLAN!$B$3:$B$312,E576,BD_PLAN!$C$3:$C$312,INDEX(BD_CICLO!$F$3:$F$54,MATCH(E576&amp;"|"&amp;H576,BD_CICLO!$G$3:$G$54,0))),""))</f>
        <v/>
      </c>
      <c r="L576" s="9"/>
      <c r="M576" s="9"/>
      <c r="N576" s="1" t="str">
        <f aca="false">IF(C576="","",C576&amp;"|"&amp;COUNTIF(C$3:C576,C576))</f>
        <v/>
      </c>
      <c r="O576" s="1" t="str">
        <f aca="false">IF(OR(C576="",M576=""),"",C576&amp;"|"&amp;COUNTIFS(C$3:C576,C576,M$3:M576,"&lt;&gt;"))</f>
        <v/>
      </c>
    </row>
    <row r="577" customFormat="false" ht="15" hidden="false" customHeight="false" outlineLevel="0" collapsed="false">
      <c r="B577" s="7"/>
      <c r="C577" s="5"/>
      <c r="D577" s="9" t="str">
        <f aca="false">IF(C577="","",IFERROR(VLOOKUP(C577,EQUIPOS!$B$3:$C$18,2,0),"NO EXISTE"))</f>
        <v/>
      </c>
      <c r="E577" s="9" t="str">
        <f aca="false">IF(C577="","",IFERROR(VLOOKUP(C577,EQUIPOS!$B$3:$F$18,5,0),""))</f>
        <v/>
      </c>
      <c r="F577" s="5" t="str">
        <f aca="false">IF(C577="","",IFERROR(VLOOKUP(C577,EQUIPOS!$B$3:$G$18,6,0),""))</f>
        <v/>
      </c>
      <c r="G577" s="8"/>
      <c r="H577" s="5"/>
      <c r="I577" s="5"/>
      <c r="J577" s="9"/>
      <c r="K577" s="17" t="str">
        <f aca="false">IF(H577="","",IFERROR(SUMIFS(BD_PLAN!$I$3:$I$312,BD_PLAN!$B$3:$B$312,E577,BD_PLAN!$C$3:$C$312,INDEX(BD_CICLO!$F$3:$F$54,MATCH(E577&amp;"|"&amp;H577,BD_CICLO!$G$3:$G$54,0))),""))</f>
        <v/>
      </c>
      <c r="L577" s="9"/>
      <c r="M577" s="9"/>
      <c r="N577" s="1" t="str">
        <f aca="false">IF(C577="","",C577&amp;"|"&amp;COUNTIF(C$3:C577,C577))</f>
        <v/>
      </c>
      <c r="O577" s="1" t="str">
        <f aca="false">IF(OR(C577="",M577=""),"",C577&amp;"|"&amp;COUNTIFS(C$3:C577,C577,M$3:M577,"&lt;&gt;"))</f>
        <v/>
      </c>
    </row>
    <row r="578" customFormat="false" ht="15" hidden="false" customHeight="false" outlineLevel="0" collapsed="false">
      <c r="B578" s="7"/>
      <c r="C578" s="5"/>
      <c r="D578" s="9" t="str">
        <f aca="false">IF(C578="","",IFERROR(VLOOKUP(C578,EQUIPOS!$B$3:$C$18,2,0),"NO EXISTE"))</f>
        <v/>
      </c>
      <c r="E578" s="9" t="str">
        <f aca="false">IF(C578="","",IFERROR(VLOOKUP(C578,EQUIPOS!$B$3:$F$18,5,0),""))</f>
        <v/>
      </c>
      <c r="F578" s="5" t="str">
        <f aca="false">IF(C578="","",IFERROR(VLOOKUP(C578,EQUIPOS!$B$3:$G$18,6,0),""))</f>
        <v/>
      </c>
      <c r="G578" s="8"/>
      <c r="H578" s="5"/>
      <c r="I578" s="5"/>
      <c r="J578" s="9"/>
      <c r="K578" s="17" t="str">
        <f aca="false">IF(H578="","",IFERROR(SUMIFS(BD_PLAN!$I$3:$I$312,BD_PLAN!$B$3:$B$312,E578,BD_PLAN!$C$3:$C$312,INDEX(BD_CICLO!$F$3:$F$54,MATCH(E578&amp;"|"&amp;H578,BD_CICLO!$G$3:$G$54,0))),""))</f>
        <v/>
      </c>
      <c r="L578" s="9"/>
      <c r="M578" s="9"/>
      <c r="N578" s="1" t="str">
        <f aca="false">IF(C578="","",C578&amp;"|"&amp;COUNTIF(C$3:C578,C578))</f>
        <v/>
      </c>
      <c r="O578" s="1" t="str">
        <f aca="false">IF(OR(C578="",M578=""),"",C578&amp;"|"&amp;COUNTIFS(C$3:C578,C578,M$3:M578,"&lt;&gt;"))</f>
        <v/>
      </c>
    </row>
    <row r="579" customFormat="false" ht="15" hidden="false" customHeight="false" outlineLevel="0" collapsed="false">
      <c r="B579" s="7"/>
      <c r="C579" s="5"/>
      <c r="D579" s="9" t="str">
        <f aca="false">IF(C579="","",IFERROR(VLOOKUP(C579,EQUIPOS!$B$3:$C$18,2,0),"NO EXISTE"))</f>
        <v/>
      </c>
      <c r="E579" s="9" t="str">
        <f aca="false">IF(C579="","",IFERROR(VLOOKUP(C579,EQUIPOS!$B$3:$F$18,5,0),""))</f>
        <v/>
      </c>
      <c r="F579" s="5" t="str">
        <f aca="false">IF(C579="","",IFERROR(VLOOKUP(C579,EQUIPOS!$B$3:$G$18,6,0),""))</f>
        <v/>
      </c>
      <c r="G579" s="8"/>
      <c r="H579" s="5"/>
      <c r="I579" s="5"/>
      <c r="J579" s="9"/>
      <c r="K579" s="17" t="str">
        <f aca="false">IF(H579="","",IFERROR(SUMIFS(BD_PLAN!$I$3:$I$312,BD_PLAN!$B$3:$B$312,E579,BD_PLAN!$C$3:$C$312,INDEX(BD_CICLO!$F$3:$F$54,MATCH(E579&amp;"|"&amp;H579,BD_CICLO!$G$3:$G$54,0))),""))</f>
        <v/>
      </c>
      <c r="L579" s="9"/>
      <c r="M579" s="9"/>
      <c r="N579" s="1" t="str">
        <f aca="false">IF(C579="","",C579&amp;"|"&amp;COUNTIF(C$3:C579,C579))</f>
        <v/>
      </c>
      <c r="O579" s="1" t="str">
        <f aca="false">IF(OR(C579="",M579=""),"",C579&amp;"|"&amp;COUNTIFS(C$3:C579,C579,M$3:M579,"&lt;&gt;"))</f>
        <v/>
      </c>
    </row>
    <row r="580" customFormat="false" ht="15" hidden="false" customHeight="false" outlineLevel="0" collapsed="false">
      <c r="B580" s="7"/>
      <c r="C580" s="5"/>
      <c r="D580" s="9" t="str">
        <f aca="false">IF(C580="","",IFERROR(VLOOKUP(C580,EQUIPOS!$B$3:$C$18,2,0),"NO EXISTE"))</f>
        <v/>
      </c>
      <c r="E580" s="9" t="str">
        <f aca="false">IF(C580="","",IFERROR(VLOOKUP(C580,EQUIPOS!$B$3:$F$18,5,0),""))</f>
        <v/>
      </c>
      <c r="F580" s="5" t="str">
        <f aca="false">IF(C580="","",IFERROR(VLOOKUP(C580,EQUIPOS!$B$3:$G$18,6,0),""))</f>
        <v/>
      </c>
      <c r="G580" s="8"/>
      <c r="H580" s="5"/>
      <c r="I580" s="5"/>
      <c r="J580" s="9"/>
      <c r="K580" s="17" t="str">
        <f aca="false">IF(H580="","",IFERROR(SUMIFS(BD_PLAN!$I$3:$I$312,BD_PLAN!$B$3:$B$312,E580,BD_PLAN!$C$3:$C$312,INDEX(BD_CICLO!$F$3:$F$54,MATCH(E580&amp;"|"&amp;H580,BD_CICLO!$G$3:$G$54,0))),""))</f>
        <v/>
      </c>
      <c r="L580" s="9"/>
      <c r="M580" s="9"/>
      <c r="N580" s="1" t="str">
        <f aca="false">IF(C580="","",C580&amp;"|"&amp;COUNTIF(C$3:C580,C580))</f>
        <v/>
      </c>
      <c r="O580" s="1" t="str">
        <f aca="false">IF(OR(C580="",M580=""),"",C580&amp;"|"&amp;COUNTIFS(C$3:C580,C580,M$3:M580,"&lt;&gt;"))</f>
        <v/>
      </c>
    </row>
    <row r="581" customFormat="false" ht="15" hidden="false" customHeight="false" outlineLevel="0" collapsed="false">
      <c r="B581" s="7"/>
      <c r="C581" s="5"/>
      <c r="D581" s="9" t="str">
        <f aca="false">IF(C581="","",IFERROR(VLOOKUP(C581,EQUIPOS!$B$3:$C$18,2,0),"NO EXISTE"))</f>
        <v/>
      </c>
      <c r="E581" s="9" t="str">
        <f aca="false">IF(C581="","",IFERROR(VLOOKUP(C581,EQUIPOS!$B$3:$F$18,5,0),""))</f>
        <v/>
      </c>
      <c r="F581" s="5" t="str">
        <f aca="false">IF(C581="","",IFERROR(VLOOKUP(C581,EQUIPOS!$B$3:$G$18,6,0),""))</f>
        <v/>
      </c>
      <c r="G581" s="8"/>
      <c r="H581" s="5"/>
      <c r="I581" s="5"/>
      <c r="J581" s="9"/>
      <c r="K581" s="17" t="str">
        <f aca="false">IF(H581="","",IFERROR(SUMIFS(BD_PLAN!$I$3:$I$312,BD_PLAN!$B$3:$B$312,E581,BD_PLAN!$C$3:$C$312,INDEX(BD_CICLO!$F$3:$F$54,MATCH(E581&amp;"|"&amp;H581,BD_CICLO!$G$3:$G$54,0))),""))</f>
        <v/>
      </c>
      <c r="L581" s="9"/>
      <c r="M581" s="9"/>
      <c r="N581" s="1" t="str">
        <f aca="false">IF(C581="","",C581&amp;"|"&amp;COUNTIF(C$3:C581,C581))</f>
        <v/>
      </c>
      <c r="O581" s="1" t="str">
        <f aca="false">IF(OR(C581="",M581=""),"",C581&amp;"|"&amp;COUNTIFS(C$3:C581,C581,M$3:M581,"&lt;&gt;"))</f>
        <v/>
      </c>
    </row>
    <row r="582" customFormat="false" ht="15" hidden="false" customHeight="false" outlineLevel="0" collapsed="false">
      <c r="B582" s="7"/>
      <c r="C582" s="5"/>
      <c r="D582" s="9" t="str">
        <f aca="false">IF(C582="","",IFERROR(VLOOKUP(C582,EQUIPOS!$B$3:$C$18,2,0),"NO EXISTE"))</f>
        <v/>
      </c>
      <c r="E582" s="9" t="str">
        <f aca="false">IF(C582="","",IFERROR(VLOOKUP(C582,EQUIPOS!$B$3:$F$18,5,0),""))</f>
        <v/>
      </c>
      <c r="F582" s="5" t="str">
        <f aca="false">IF(C582="","",IFERROR(VLOOKUP(C582,EQUIPOS!$B$3:$G$18,6,0),""))</f>
        <v/>
      </c>
      <c r="G582" s="8"/>
      <c r="H582" s="5"/>
      <c r="I582" s="5"/>
      <c r="J582" s="9"/>
      <c r="K582" s="17" t="str">
        <f aca="false">IF(H582="","",IFERROR(SUMIFS(BD_PLAN!$I$3:$I$312,BD_PLAN!$B$3:$B$312,E582,BD_PLAN!$C$3:$C$312,INDEX(BD_CICLO!$F$3:$F$54,MATCH(E582&amp;"|"&amp;H582,BD_CICLO!$G$3:$G$54,0))),""))</f>
        <v/>
      </c>
      <c r="L582" s="9"/>
      <c r="M582" s="9"/>
      <c r="N582" s="1" t="str">
        <f aca="false">IF(C582="","",C582&amp;"|"&amp;COUNTIF(C$3:C582,C582))</f>
        <v/>
      </c>
      <c r="O582" s="1" t="str">
        <f aca="false">IF(OR(C582="",M582=""),"",C582&amp;"|"&amp;COUNTIFS(C$3:C582,C582,M$3:M582,"&lt;&gt;"))</f>
        <v/>
      </c>
    </row>
    <row r="583" customFormat="false" ht="15" hidden="false" customHeight="false" outlineLevel="0" collapsed="false">
      <c r="B583" s="7"/>
      <c r="C583" s="5"/>
      <c r="D583" s="9" t="str">
        <f aca="false">IF(C583="","",IFERROR(VLOOKUP(C583,EQUIPOS!$B$3:$C$18,2,0),"NO EXISTE"))</f>
        <v/>
      </c>
      <c r="E583" s="9" t="str">
        <f aca="false">IF(C583="","",IFERROR(VLOOKUP(C583,EQUIPOS!$B$3:$F$18,5,0),""))</f>
        <v/>
      </c>
      <c r="F583" s="5" t="str">
        <f aca="false">IF(C583="","",IFERROR(VLOOKUP(C583,EQUIPOS!$B$3:$G$18,6,0),""))</f>
        <v/>
      </c>
      <c r="G583" s="8"/>
      <c r="H583" s="5"/>
      <c r="I583" s="5"/>
      <c r="J583" s="9"/>
      <c r="K583" s="17" t="str">
        <f aca="false">IF(H583="","",IFERROR(SUMIFS(BD_PLAN!$I$3:$I$312,BD_PLAN!$B$3:$B$312,E583,BD_PLAN!$C$3:$C$312,INDEX(BD_CICLO!$F$3:$F$54,MATCH(E583&amp;"|"&amp;H583,BD_CICLO!$G$3:$G$54,0))),""))</f>
        <v/>
      </c>
      <c r="L583" s="9"/>
      <c r="M583" s="9"/>
      <c r="N583" s="1" t="str">
        <f aca="false">IF(C583="","",C583&amp;"|"&amp;COUNTIF(C$3:C583,C583))</f>
        <v/>
      </c>
      <c r="O583" s="1" t="str">
        <f aca="false">IF(OR(C583="",M583=""),"",C583&amp;"|"&amp;COUNTIFS(C$3:C583,C583,M$3:M583,"&lt;&gt;"))</f>
        <v/>
      </c>
    </row>
    <row r="584" customFormat="false" ht="15" hidden="false" customHeight="false" outlineLevel="0" collapsed="false">
      <c r="B584" s="7"/>
      <c r="C584" s="5"/>
      <c r="D584" s="9" t="str">
        <f aca="false">IF(C584="","",IFERROR(VLOOKUP(C584,EQUIPOS!$B$3:$C$18,2,0),"NO EXISTE"))</f>
        <v/>
      </c>
      <c r="E584" s="9" t="str">
        <f aca="false">IF(C584="","",IFERROR(VLOOKUP(C584,EQUIPOS!$B$3:$F$18,5,0),""))</f>
        <v/>
      </c>
      <c r="F584" s="5" t="str">
        <f aca="false">IF(C584="","",IFERROR(VLOOKUP(C584,EQUIPOS!$B$3:$G$18,6,0),""))</f>
        <v/>
      </c>
      <c r="G584" s="8"/>
      <c r="H584" s="5"/>
      <c r="I584" s="5"/>
      <c r="J584" s="9"/>
      <c r="K584" s="17" t="str">
        <f aca="false">IF(H584="","",IFERROR(SUMIFS(BD_PLAN!$I$3:$I$312,BD_PLAN!$B$3:$B$312,E584,BD_PLAN!$C$3:$C$312,INDEX(BD_CICLO!$F$3:$F$54,MATCH(E584&amp;"|"&amp;H584,BD_CICLO!$G$3:$G$54,0))),""))</f>
        <v/>
      </c>
      <c r="L584" s="9"/>
      <c r="M584" s="9"/>
      <c r="N584" s="1" t="str">
        <f aca="false">IF(C584="","",C584&amp;"|"&amp;COUNTIF(C$3:C584,C584))</f>
        <v/>
      </c>
      <c r="O584" s="1" t="str">
        <f aca="false">IF(OR(C584="",M584=""),"",C584&amp;"|"&amp;COUNTIFS(C$3:C584,C584,M$3:M584,"&lt;&gt;"))</f>
        <v/>
      </c>
    </row>
    <row r="585" customFormat="false" ht="15" hidden="false" customHeight="false" outlineLevel="0" collapsed="false">
      <c r="B585" s="7"/>
      <c r="C585" s="5"/>
      <c r="D585" s="9" t="str">
        <f aca="false">IF(C585="","",IFERROR(VLOOKUP(C585,EQUIPOS!$B$3:$C$18,2,0),"NO EXISTE"))</f>
        <v/>
      </c>
      <c r="E585" s="9" t="str">
        <f aca="false">IF(C585="","",IFERROR(VLOOKUP(C585,EQUIPOS!$B$3:$F$18,5,0),""))</f>
        <v/>
      </c>
      <c r="F585" s="5" t="str">
        <f aca="false">IF(C585="","",IFERROR(VLOOKUP(C585,EQUIPOS!$B$3:$G$18,6,0),""))</f>
        <v/>
      </c>
      <c r="G585" s="8"/>
      <c r="H585" s="5"/>
      <c r="I585" s="5"/>
      <c r="J585" s="9"/>
      <c r="K585" s="17" t="str">
        <f aca="false">IF(H585="","",IFERROR(SUMIFS(BD_PLAN!$I$3:$I$312,BD_PLAN!$B$3:$B$312,E585,BD_PLAN!$C$3:$C$312,INDEX(BD_CICLO!$F$3:$F$54,MATCH(E585&amp;"|"&amp;H585,BD_CICLO!$G$3:$G$54,0))),""))</f>
        <v/>
      </c>
      <c r="L585" s="9"/>
      <c r="M585" s="9"/>
      <c r="N585" s="1" t="str">
        <f aca="false">IF(C585="","",C585&amp;"|"&amp;COUNTIF(C$3:C585,C585))</f>
        <v/>
      </c>
      <c r="O585" s="1" t="str">
        <f aca="false">IF(OR(C585="",M585=""),"",C585&amp;"|"&amp;COUNTIFS(C$3:C585,C585,M$3:M585,"&lt;&gt;"))</f>
        <v/>
      </c>
    </row>
    <row r="586" customFormat="false" ht="15" hidden="false" customHeight="false" outlineLevel="0" collapsed="false">
      <c r="B586" s="7"/>
      <c r="C586" s="5"/>
      <c r="D586" s="9" t="str">
        <f aca="false">IF(C586="","",IFERROR(VLOOKUP(C586,EQUIPOS!$B$3:$C$18,2,0),"NO EXISTE"))</f>
        <v/>
      </c>
      <c r="E586" s="9" t="str">
        <f aca="false">IF(C586="","",IFERROR(VLOOKUP(C586,EQUIPOS!$B$3:$F$18,5,0),""))</f>
        <v/>
      </c>
      <c r="F586" s="5" t="str">
        <f aca="false">IF(C586="","",IFERROR(VLOOKUP(C586,EQUIPOS!$B$3:$G$18,6,0),""))</f>
        <v/>
      </c>
      <c r="G586" s="8"/>
      <c r="H586" s="5"/>
      <c r="I586" s="5"/>
      <c r="J586" s="9"/>
      <c r="K586" s="17" t="str">
        <f aca="false">IF(H586="","",IFERROR(SUMIFS(BD_PLAN!$I$3:$I$312,BD_PLAN!$B$3:$B$312,E586,BD_PLAN!$C$3:$C$312,INDEX(BD_CICLO!$F$3:$F$54,MATCH(E586&amp;"|"&amp;H586,BD_CICLO!$G$3:$G$54,0))),""))</f>
        <v/>
      </c>
      <c r="L586" s="9"/>
      <c r="M586" s="9"/>
      <c r="N586" s="1" t="str">
        <f aca="false">IF(C586="","",C586&amp;"|"&amp;COUNTIF(C$3:C586,C586))</f>
        <v/>
      </c>
      <c r="O586" s="1" t="str">
        <f aca="false">IF(OR(C586="",M586=""),"",C586&amp;"|"&amp;COUNTIFS(C$3:C586,C586,M$3:M586,"&lt;&gt;"))</f>
        <v/>
      </c>
    </row>
    <row r="587" customFormat="false" ht="15" hidden="false" customHeight="false" outlineLevel="0" collapsed="false">
      <c r="B587" s="7"/>
      <c r="C587" s="5"/>
      <c r="D587" s="9" t="str">
        <f aca="false">IF(C587="","",IFERROR(VLOOKUP(C587,EQUIPOS!$B$3:$C$18,2,0),"NO EXISTE"))</f>
        <v/>
      </c>
      <c r="E587" s="9" t="str">
        <f aca="false">IF(C587="","",IFERROR(VLOOKUP(C587,EQUIPOS!$B$3:$F$18,5,0),""))</f>
        <v/>
      </c>
      <c r="F587" s="5" t="str">
        <f aca="false">IF(C587="","",IFERROR(VLOOKUP(C587,EQUIPOS!$B$3:$G$18,6,0),""))</f>
        <v/>
      </c>
      <c r="G587" s="8"/>
      <c r="H587" s="5"/>
      <c r="I587" s="5"/>
      <c r="J587" s="9"/>
      <c r="K587" s="17" t="str">
        <f aca="false">IF(H587="","",IFERROR(SUMIFS(BD_PLAN!$I$3:$I$312,BD_PLAN!$B$3:$B$312,E587,BD_PLAN!$C$3:$C$312,INDEX(BD_CICLO!$F$3:$F$54,MATCH(E587&amp;"|"&amp;H587,BD_CICLO!$G$3:$G$54,0))),""))</f>
        <v/>
      </c>
      <c r="L587" s="9"/>
      <c r="M587" s="9"/>
      <c r="N587" s="1" t="str">
        <f aca="false">IF(C587="","",C587&amp;"|"&amp;COUNTIF(C$3:C587,C587))</f>
        <v/>
      </c>
      <c r="O587" s="1" t="str">
        <f aca="false">IF(OR(C587="",M587=""),"",C587&amp;"|"&amp;COUNTIFS(C$3:C587,C587,M$3:M587,"&lt;&gt;"))</f>
        <v/>
      </c>
    </row>
    <row r="588" customFormat="false" ht="15" hidden="false" customHeight="false" outlineLevel="0" collapsed="false">
      <c r="B588" s="7"/>
      <c r="C588" s="5"/>
      <c r="D588" s="9" t="str">
        <f aca="false">IF(C588="","",IFERROR(VLOOKUP(C588,EQUIPOS!$B$3:$C$18,2,0),"NO EXISTE"))</f>
        <v/>
      </c>
      <c r="E588" s="9" t="str">
        <f aca="false">IF(C588="","",IFERROR(VLOOKUP(C588,EQUIPOS!$B$3:$F$18,5,0),""))</f>
        <v/>
      </c>
      <c r="F588" s="5" t="str">
        <f aca="false">IF(C588="","",IFERROR(VLOOKUP(C588,EQUIPOS!$B$3:$G$18,6,0),""))</f>
        <v/>
      </c>
      <c r="G588" s="8"/>
      <c r="H588" s="5"/>
      <c r="I588" s="5"/>
      <c r="J588" s="9"/>
      <c r="K588" s="17" t="str">
        <f aca="false">IF(H588="","",IFERROR(SUMIFS(BD_PLAN!$I$3:$I$312,BD_PLAN!$B$3:$B$312,E588,BD_PLAN!$C$3:$C$312,INDEX(BD_CICLO!$F$3:$F$54,MATCH(E588&amp;"|"&amp;H588,BD_CICLO!$G$3:$G$54,0))),""))</f>
        <v/>
      </c>
      <c r="L588" s="9"/>
      <c r="M588" s="9"/>
      <c r="N588" s="1" t="str">
        <f aca="false">IF(C588="","",C588&amp;"|"&amp;COUNTIF(C$3:C588,C588))</f>
        <v/>
      </c>
      <c r="O588" s="1" t="str">
        <f aca="false">IF(OR(C588="",M588=""),"",C588&amp;"|"&amp;COUNTIFS(C$3:C588,C588,M$3:M588,"&lt;&gt;"))</f>
        <v/>
      </c>
    </row>
    <row r="589" customFormat="false" ht="15" hidden="false" customHeight="false" outlineLevel="0" collapsed="false">
      <c r="B589" s="7"/>
      <c r="C589" s="5"/>
      <c r="D589" s="9" t="str">
        <f aca="false">IF(C589="","",IFERROR(VLOOKUP(C589,EQUIPOS!$B$3:$C$18,2,0),"NO EXISTE"))</f>
        <v/>
      </c>
      <c r="E589" s="9" t="str">
        <f aca="false">IF(C589="","",IFERROR(VLOOKUP(C589,EQUIPOS!$B$3:$F$18,5,0),""))</f>
        <v/>
      </c>
      <c r="F589" s="5" t="str">
        <f aca="false">IF(C589="","",IFERROR(VLOOKUP(C589,EQUIPOS!$B$3:$G$18,6,0),""))</f>
        <v/>
      </c>
      <c r="G589" s="8"/>
      <c r="H589" s="5"/>
      <c r="I589" s="5"/>
      <c r="J589" s="9"/>
      <c r="K589" s="17" t="str">
        <f aca="false">IF(H589="","",IFERROR(SUMIFS(BD_PLAN!$I$3:$I$312,BD_PLAN!$B$3:$B$312,E589,BD_PLAN!$C$3:$C$312,INDEX(BD_CICLO!$F$3:$F$54,MATCH(E589&amp;"|"&amp;H589,BD_CICLO!$G$3:$G$54,0))),""))</f>
        <v/>
      </c>
      <c r="L589" s="9"/>
      <c r="M589" s="9"/>
      <c r="N589" s="1" t="str">
        <f aca="false">IF(C589="","",C589&amp;"|"&amp;COUNTIF(C$3:C589,C589))</f>
        <v/>
      </c>
      <c r="O589" s="1" t="str">
        <f aca="false">IF(OR(C589="",M589=""),"",C589&amp;"|"&amp;COUNTIFS(C$3:C589,C589,M$3:M589,"&lt;&gt;"))</f>
        <v/>
      </c>
    </row>
    <row r="590" customFormat="false" ht="15" hidden="false" customHeight="false" outlineLevel="0" collapsed="false">
      <c r="B590" s="7"/>
      <c r="C590" s="5"/>
      <c r="D590" s="9" t="str">
        <f aca="false">IF(C590="","",IFERROR(VLOOKUP(C590,EQUIPOS!$B$3:$C$18,2,0),"NO EXISTE"))</f>
        <v/>
      </c>
      <c r="E590" s="9" t="str">
        <f aca="false">IF(C590="","",IFERROR(VLOOKUP(C590,EQUIPOS!$B$3:$F$18,5,0),""))</f>
        <v/>
      </c>
      <c r="F590" s="5" t="str">
        <f aca="false">IF(C590="","",IFERROR(VLOOKUP(C590,EQUIPOS!$B$3:$G$18,6,0),""))</f>
        <v/>
      </c>
      <c r="G590" s="8"/>
      <c r="H590" s="5"/>
      <c r="I590" s="5"/>
      <c r="J590" s="9"/>
      <c r="K590" s="17" t="str">
        <f aca="false">IF(H590="","",IFERROR(SUMIFS(BD_PLAN!$I$3:$I$312,BD_PLAN!$B$3:$B$312,E590,BD_PLAN!$C$3:$C$312,INDEX(BD_CICLO!$F$3:$F$54,MATCH(E590&amp;"|"&amp;H590,BD_CICLO!$G$3:$G$54,0))),""))</f>
        <v/>
      </c>
      <c r="L590" s="9"/>
      <c r="M590" s="9"/>
      <c r="N590" s="1" t="str">
        <f aca="false">IF(C590="","",C590&amp;"|"&amp;COUNTIF(C$3:C590,C590))</f>
        <v/>
      </c>
      <c r="O590" s="1" t="str">
        <f aca="false">IF(OR(C590="",M590=""),"",C590&amp;"|"&amp;COUNTIFS(C$3:C590,C590,M$3:M590,"&lt;&gt;"))</f>
        <v/>
      </c>
    </row>
    <row r="591" customFormat="false" ht="15" hidden="false" customHeight="false" outlineLevel="0" collapsed="false">
      <c r="B591" s="7"/>
      <c r="C591" s="5"/>
      <c r="D591" s="9" t="str">
        <f aca="false">IF(C591="","",IFERROR(VLOOKUP(C591,EQUIPOS!$B$3:$C$18,2,0),"NO EXISTE"))</f>
        <v/>
      </c>
      <c r="E591" s="9" t="str">
        <f aca="false">IF(C591="","",IFERROR(VLOOKUP(C591,EQUIPOS!$B$3:$F$18,5,0),""))</f>
        <v/>
      </c>
      <c r="F591" s="5" t="str">
        <f aca="false">IF(C591="","",IFERROR(VLOOKUP(C591,EQUIPOS!$B$3:$G$18,6,0),""))</f>
        <v/>
      </c>
      <c r="G591" s="8"/>
      <c r="H591" s="5"/>
      <c r="I591" s="5"/>
      <c r="J591" s="9"/>
      <c r="K591" s="17" t="str">
        <f aca="false">IF(H591="","",IFERROR(SUMIFS(BD_PLAN!$I$3:$I$312,BD_PLAN!$B$3:$B$312,E591,BD_PLAN!$C$3:$C$312,INDEX(BD_CICLO!$F$3:$F$54,MATCH(E591&amp;"|"&amp;H591,BD_CICLO!$G$3:$G$54,0))),""))</f>
        <v/>
      </c>
      <c r="L591" s="9"/>
      <c r="M591" s="9"/>
      <c r="N591" s="1" t="str">
        <f aca="false">IF(C591="","",C591&amp;"|"&amp;COUNTIF(C$3:C591,C591))</f>
        <v/>
      </c>
      <c r="O591" s="1" t="str">
        <f aca="false">IF(OR(C591="",M591=""),"",C591&amp;"|"&amp;COUNTIFS(C$3:C591,C591,M$3:M591,"&lt;&gt;"))</f>
        <v/>
      </c>
    </row>
    <row r="592" customFormat="false" ht="15" hidden="false" customHeight="false" outlineLevel="0" collapsed="false">
      <c r="B592" s="7"/>
      <c r="C592" s="5"/>
      <c r="D592" s="9" t="str">
        <f aca="false">IF(C592="","",IFERROR(VLOOKUP(C592,EQUIPOS!$B$3:$C$18,2,0),"NO EXISTE"))</f>
        <v/>
      </c>
      <c r="E592" s="9" t="str">
        <f aca="false">IF(C592="","",IFERROR(VLOOKUP(C592,EQUIPOS!$B$3:$F$18,5,0),""))</f>
        <v/>
      </c>
      <c r="F592" s="5" t="str">
        <f aca="false">IF(C592="","",IFERROR(VLOOKUP(C592,EQUIPOS!$B$3:$G$18,6,0),""))</f>
        <v/>
      </c>
      <c r="G592" s="8"/>
      <c r="H592" s="5"/>
      <c r="I592" s="5"/>
      <c r="J592" s="9"/>
      <c r="K592" s="17" t="str">
        <f aca="false">IF(H592="","",IFERROR(SUMIFS(BD_PLAN!$I$3:$I$312,BD_PLAN!$B$3:$B$312,E592,BD_PLAN!$C$3:$C$312,INDEX(BD_CICLO!$F$3:$F$54,MATCH(E592&amp;"|"&amp;H592,BD_CICLO!$G$3:$G$54,0))),""))</f>
        <v/>
      </c>
      <c r="L592" s="9"/>
      <c r="M592" s="9"/>
      <c r="N592" s="1" t="str">
        <f aca="false">IF(C592="","",C592&amp;"|"&amp;COUNTIF(C$3:C592,C592))</f>
        <v/>
      </c>
      <c r="O592" s="1" t="str">
        <f aca="false">IF(OR(C592="",M592=""),"",C592&amp;"|"&amp;COUNTIFS(C$3:C592,C592,M$3:M592,"&lt;&gt;"))</f>
        <v/>
      </c>
    </row>
    <row r="593" customFormat="false" ht="15" hidden="false" customHeight="false" outlineLevel="0" collapsed="false">
      <c r="B593" s="7"/>
      <c r="C593" s="5"/>
      <c r="D593" s="9" t="str">
        <f aca="false">IF(C593="","",IFERROR(VLOOKUP(C593,EQUIPOS!$B$3:$C$18,2,0),"NO EXISTE"))</f>
        <v/>
      </c>
      <c r="E593" s="9" t="str">
        <f aca="false">IF(C593="","",IFERROR(VLOOKUP(C593,EQUIPOS!$B$3:$F$18,5,0),""))</f>
        <v/>
      </c>
      <c r="F593" s="5" t="str">
        <f aca="false">IF(C593="","",IFERROR(VLOOKUP(C593,EQUIPOS!$B$3:$G$18,6,0),""))</f>
        <v/>
      </c>
      <c r="G593" s="8"/>
      <c r="H593" s="5"/>
      <c r="I593" s="5"/>
      <c r="J593" s="9"/>
      <c r="K593" s="17" t="str">
        <f aca="false">IF(H593="","",IFERROR(SUMIFS(BD_PLAN!$I$3:$I$312,BD_PLAN!$B$3:$B$312,E593,BD_PLAN!$C$3:$C$312,INDEX(BD_CICLO!$F$3:$F$54,MATCH(E593&amp;"|"&amp;H593,BD_CICLO!$G$3:$G$54,0))),""))</f>
        <v/>
      </c>
      <c r="L593" s="9"/>
      <c r="M593" s="9"/>
      <c r="N593" s="1" t="str">
        <f aca="false">IF(C593="","",C593&amp;"|"&amp;COUNTIF(C$3:C593,C593))</f>
        <v/>
      </c>
      <c r="O593" s="1" t="str">
        <f aca="false">IF(OR(C593="",M593=""),"",C593&amp;"|"&amp;COUNTIFS(C$3:C593,C593,M$3:M593,"&lt;&gt;"))</f>
        <v/>
      </c>
    </row>
    <row r="594" customFormat="false" ht="15" hidden="false" customHeight="false" outlineLevel="0" collapsed="false">
      <c r="B594" s="7"/>
      <c r="C594" s="5"/>
      <c r="D594" s="9" t="str">
        <f aca="false">IF(C594="","",IFERROR(VLOOKUP(C594,EQUIPOS!$B$3:$C$18,2,0),"NO EXISTE"))</f>
        <v/>
      </c>
      <c r="E594" s="9" t="str">
        <f aca="false">IF(C594="","",IFERROR(VLOOKUP(C594,EQUIPOS!$B$3:$F$18,5,0),""))</f>
        <v/>
      </c>
      <c r="F594" s="5" t="str">
        <f aca="false">IF(C594="","",IFERROR(VLOOKUP(C594,EQUIPOS!$B$3:$G$18,6,0),""))</f>
        <v/>
      </c>
      <c r="G594" s="8"/>
      <c r="H594" s="5"/>
      <c r="I594" s="5"/>
      <c r="J594" s="9"/>
      <c r="K594" s="17" t="str">
        <f aca="false">IF(H594="","",IFERROR(SUMIFS(BD_PLAN!$I$3:$I$312,BD_PLAN!$B$3:$B$312,E594,BD_PLAN!$C$3:$C$312,INDEX(BD_CICLO!$F$3:$F$54,MATCH(E594&amp;"|"&amp;H594,BD_CICLO!$G$3:$G$54,0))),""))</f>
        <v/>
      </c>
      <c r="L594" s="9"/>
      <c r="M594" s="9"/>
      <c r="N594" s="1" t="str">
        <f aca="false">IF(C594="","",C594&amp;"|"&amp;COUNTIF(C$3:C594,C594))</f>
        <v/>
      </c>
      <c r="O594" s="1" t="str">
        <f aca="false">IF(OR(C594="",M594=""),"",C594&amp;"|"&amp;COUNTIFS(C$3:C594,C594,M$3:M594,"&lt;&gt;"))</f>
        <v/>
      </c>
    </row>
    <row r="595" customFormat="false" ht="15" hidden="false" customHeight="false" outlineLevel="0" collapsed="false">
      <c r="B595" s="7"/>
      <c r="C595" s="5"/>
      <c r="D595" s="9" t="str">
        <f aca="false">IF(C595="","",IFERROR(VLOOKUP(C595,EQUIPOS!$B$3:$C$18,2,0),"NO EXISTE"))</f>
        <v/>
      </c>
      <c r="E595" s="9" t="str">
        <f aca="false">IF(C595="","",IFERROR(VLOOKUP(C595,EQUIPOS!$B$3:$F$18,5,0),""))</f>
        <v/>
      </c>
      <c r="F595" s="5" t="str">
        <f aca="false">IF(C595="","",IFERROR(VLOOKUP(C595,EQUIPOS!$B$3:$G$18,6,0),""))</f>
        <v/>
      </c>
      <c r="G595" s="8"/>
      <c r="H595" s="5"/>
      <c r="I595" s="5"/>
      <c r="J595" s="9"/>
      <c r="K595" s="17" t="str">
        <f aca="false">IF(H595="","",IFERROR(SUMIFS(BD_PLAN!$I$3:$I$312,BD_PLAN!$B$3:$B$312,E595,BD_PLAN!$C$3:$C$312,INDEX(BD_CICLO!$F$3:$F$54,MATCH(E595&amp;"|"&amp;H595,BD_CICLO!$G$3:$G$54,0))),""))</f>
        <v/>
      </c>
      <c r="L595" s="9"/>
      <c r="M595" s="9"/>
      <c r="N595" s="1" t="str">
        <f aca="false">IF(C595="","",C595&amp;"|"&amp;COUNTIF(C$3:C595,C595))</f>
        <v/>
      </c>
      <c r="O595" s="1" t="str">
        <f aca="false">IF(OR(C595="",M595=""),"",C595&amp;"|"&amp;COUNTIFS(C$3:C595,C595,M$3:M595,"&lt;&gt;"))</f>
        <v/>
      </c>
    </row>
    <row r="596" customFormat="false" ht="15" hidden="false" customHeight="false" outlineLevel="0" collapsed="false">
      <c r="B596" s="7"/>
      <c r="C596" s="5"/>
      <c r="D596" s="9" t="str">
        <f aca="false">IF(C596="","",IFERROR(VLOOKUP(C596,EQUIPOS!$B$3:$C$18,2,0),"NO EXISTE"))</f>
        <v/>
      </c>
      <c r="E596" s="9" t="str">
        <f aca="false">IF(C596="","",IFERROR(VLOOKUP(C596,EQUIPOS!$B$3:$F$18,5,0),""))</f>
        <v/>
      </c>
      <c r="F596" s="5" t="str">
        <f aca="false">IF(C596="","",IFERROR(VLOOKUP(C596,EQUIPOS!$B$3:$G$18,6,0),""))</f>
        <v/>
      </c>
      <c r="G596" s="8"/>
      <c r="H596" s="5"/>
      <c r="I596" s="5"/>
      <c r="J596" s="9"/>
      <c r="K596" s="17" t="str">
        <f aca="false">IF(H596="","",IFERROR(SUMIFS(BD_PLAN!$I$3:$I$312,BD_PLAN!$B$3:$B$312,E596,BD_PLAN!$C$3:$C$312,INDEX(BD_CICLO!$F$3:$F$54,MATCH(E596&amp;"|"&amp;H596,BD_CICLO!$G$3:$G$54,0))),""))</f>
        <v/>
      </c>
      <c r="L596" s="9"/>
      <c r="M596" s="9"/>
      <c r="N596" s="1" t="str">
        <f aca="false">IF(C596="","",C596&amp;"|"&amp;COUNTIF(C$3:C596,C596))</f>
        <v/>
      </c>
      <c r="O596" s="1" t="str">
        <f aca="false">IF(OR(C596="",M596=""),"",C596&amp;"|"&amp;COUNTIFS(C$3:C596,C596,M$3:M596,"&lt;&gt;"))</f>
        <v/>
      </c>
    </row>
    <row r="597" customFormat="false" ht="15" hidden="false" customHeight="false" outlineLevel="0" collapsed="false">
      <c r="B597" s="7"/>
      <c r="C597" s="5"/>
      <c r="D597" s="9" t="str">
        <f aca="false">IF(C597="","",IFERROR(VLOOKUP(C597,EQUIPOS!$B$3:$C$18,2,0),"NO EXISTE"))</f>
        <v/>
      </c>
      <c r="E597" s="9" t="str">
        <f aca="false">IF(C597="","",IFERROR(VLOOKUP(C597,EQUIPOS!$B$3:$F$18,5,0),""))</f>
        <v/>
      </c>
      <c r="F597" s="5" t="str">
        <f aca="false">IF(C597="","",IFERROR(VLOOKUP(C597,EQUIPOS!$B$3:$G$18,6,0),""))</f>
        <v/>
      </c>
      <c r="G597" s="8"/>
      <c r="H597" s="5"/>
      <c r="I597" s="5"/>
      <c r="J597" s="9"/>
      <c r="K597" s="17" t="str">
        <f aca="false">IF(H597="","",IFERROR(SUMIFS(BD_PLAN!$I$3:$I$312,BD_PLAN!$B$3:$B$312,E597,BD_PLAN!$C$3:$C$312,INDEX(BD_CICLO!$F$3:$F$54,MATCH(E597&amp;"|"&amp;H597,BD_CICLO!$G$3:$G$54,0))),""))</f>
        <v/>
      </c>
      <c r="L597" s="9"/>
      <c r="M597" s="9"/>
      <c r="N597" s="1" t="str">
        <f aca="false">IF(C597="","",C597&amp;"|"&amp;COUNTIF(C$3:C597,C597))</f>
        <v/>
      </c>
      <c r="O597" s="1" t="str">
        <f aca="false">IF(OR(C597="",M597=""),"",C597&amp;"|"&amp;COUNTIFS(C$3:C597,C597,M$3:M597,"&lt;&gt;"))</f>
        <v/>
      </c>
    </row>
    <row r="598" customFormat="false" ht="15" hidden="false" customHeight="false" outlineLevel="0" collapsed="false">
      <c r="B598" s="7"/>
      <c r="C598" s="5"/>
      <c r="D598" s="9" t="str">
        <f aca="false">IF(C598="","",IFERROR(VLOOKUP(C598,EQUIPOS!$B$3:$C$18,2,0),"NO EXISTE"))</f>
        <v/>
      </c>
      <c r="E598" s="9" t="str">
        <f aca="false">IF(C598="","",IFERROR(VLOOKUP(C598,EQUIPOS!$B$3:$F$18,5,0),""))</f>
        <v/>
      </c>
      <c r="F598" s="5" t="str">
        <f aca="false">IF(C598="","",IFERROR(VLOOKUP(C598,EQUIPOS!$B$3:$G$18,6,0),""))</f>
        <v/>
      </c>
      <c r="G598" s="8"/>
      <c r="H598" s="5"/>
      <c r="I598" s="5"/>
      <c r="J598" s="9"/>
      <c r="K598" s="17" t="str">
        <f aca="false">IF(H598="","",IFERROR(SUMIFS(BD_PLAN!$I$3:$I$312,BD_PLAN!$B$3:$B$312,E598,BD_PLAN!$C$3:$C$312,INDEX(BD_CICLO!$F$3:$F$54,MATCH(E598&amp;"|"&amp;H598,BD_CICLO!$G$3:$G$54,0))),""))</f>
        <v/>
      </c>
      <c r="L598" s="9"/>
      <c r="M598" s="9"/>
      <c r="N598" s="1" t="str">
        <f aca="false">IF(C598="","",C598&amp;"|"&amp;COUNTIF(C$3:C598,C598))</f>
        <v/>
      </c>
      <c r="O598" s="1" t="str">
        <f aca="false">IF(OR(C598="",M598=""),"",C598&amp;"|"&amp;COUNTIFS(C$3:C598,C598,M$3:M598,"&lt;&gt;"))</f>
        <v/>
      </c>
    </row>
    <row r="599" customFormat="false" ht="15" hidden="false" customHeight="false" outlineLevel="0" collapsed="false">
      <c r="B599" s="7"/>
      <c r="C599" s="5"/>
      <c r="D599" s="9" t="str">
        <f aca="false">IF(C599="","",IFERROR(VLOOKUP(C599,EQUIPOS!$B$3:$C$18,2,0),"NO EXISTE"))</f>
        <v/>
      </c>
      <c r="E599" s="9" t="str">
        <f aca="false">IF(C599="","",IFERROR(VLOOKUP(C599,EQUIPOS!$B$3:$F$18,5,0),""))</f>
        <v/>
      </c>
      <c r="F599" s="5" t="str">
        <f aca="false">IF(C599="","",IFERROR(VLOOKUP(C599,EQUIPOS!$B$3:$G$18,6,0),""))</f>
        <v/>
      </c>
      <c r="G599" s="8"/>
      <c r="H599" s="5"/>
      <c r="I599" s="5"/>
      <c r="J599" s="9"/>
      <c r="K599" s="17" t="str">
        <f aca="false">IF(H599="","",IFERROR(SUMIFS(BD_PLAN!$I$3:$I$312,BD_PLAN!$B$3:$B$312,E599,BD_PLAN!$C$3:$C$312,INDEX(BD_CICLO!$F$3:$F$54,MATCH(E599&amp;"|"&amp;H599,BD_CICLO!$G$3:$G$54,0))),""))</f>
        <v/>
      </c>
      <c r="L599" s="9"/>
      <c r="M599" s="9"/>
      <c r="N599" s="1" t="str">
        <f aca="false">IF(C599="","",C599&amp;"|"&amp;COUNTIF(C$3:C599,C599))</f>
        <v/>
      </c>
      <c r="O599" s="1" t="str">
        <f aca="false">IF(OR(C599="",M599=""),"",C599&amp;"|"&amp;COUNTIFS(C$3:C599,C599,M$3:M599,"&lt;&gt;"))</f>
        <v/>
      </c>
    </row>
    <row r="600" customFormat="false" ht="15" hidden="false" customHeight="false" outlineLevel="0" collapsed="false">
      <c r="B600" s="7"/>
      <c r="C600" s="5"/>
      <c r="D600" s="9" t="str">
        <f aca="false">IF(C600="","",IFERROR(VLOOKUP(C600,EQUIPOS!$B$3:$C$18,2,0),"NO EXISTE"))</f>
        <v/>
      </c>
      <c r="E600" s="9" t="str">
        <f aca="false">IF(C600="","",IFERROR(VLOOKUP(C600,EQUIPOS!$B$3:$F$18,5,0),""))</f>
        <v/>
      </c>
      <c r="F600" s="5" t="str">
        <f aca="false">IF(C600="","",IFERROR(VLOOKUP(C600,EQUIPOS!$B$3:$G$18,6,0),""))</f>
        <v/>
      </c>
      <c r="G600" s="8"/>
      <c r="H600" s="5"/>
      <c r="I600" s="5"/>
      <c r="J600" s="9"/>
      <c r="K600" s="17" t="str">
        <f aca="false">IF(H600="","",IFERROR(SUMIFS(BD_PLAN!$I$3:$I$312,BD_PLAN!$B$3:$B$312,E600,BD_PLAN!$C$3:$C$312,INDEX(BD_CICLO!$F$3:$F$54,MATCH(E600&amp;"|"&amp;H600,BD_CICLO!$G$3:$G$54,0))),""))</f>
        <v/>
      </c>
      <c r="L600" s="9"/>
      <c r="M600" s="9"/>
      <c r="N600" s="1" t="str">
        <f aca="false">IF(C600="","",C600&amp;"|"&amp;COUNTIF(C$3:C600,C600))</f>
        <v/>
      </c>
      <c r="O600" s="1" t="str">
        <f aca="false">IF(OR(C600="",M600=""),"",C600&amp;"|"&amp;COUNTIFS(C$3:C600,C600,M$3:M600,"&lt;&gt;"))</f>
        <v/>
      </c>
    </row>
    <row r="601" customFormat="false" ht="15" hidden="false" customHeight="false" outlineLevel="0" collapsed="false">
      <c r="B601" s="7"/>
      <c r="C601" s="5"/>
      <c r="D601" s="9" t="str">
        <f aca="false">IF(C601="","",IFERROR(VLOOKUP(C601,EQUIPOS!$B$3:$C$18,2,0),"NO EXISTE"))</f>
        <v/>
      </c>
      <c r="E601" s="9" t="str">
        <f aca="false">IF(C601="","",IFERROR(VLOOKUP(C601,EQUIPOS!$B$3:$F$18,5,0),""))</f>
        <v/>
      </c>
      <c r="F601" s="5" t="str">
        <f aca="false">IF(C601="","",IFERROR(VLOOKUP(C601,EQUIPOS!$B$3:$G$18,6,0),""))</f>
        <v/>
      </c>
      <c r="G601" s="8"/>
      <c r="H601" s="5"/>
      <c r="I601" s="5"/>
      <c r="J601" s="9"/>
      <c r="K601" s="17" t="str">
        <f aca="false">IF(H601="","",IFERROR(SUMIFS(BD_PLAN!$I$3:$I$312,BD_PLAN!$B$3:$B$312,E601,BD_PLAN!$C$3:$C$312,INDEX(BD_CICLO!$F$3:$F$54,MATCH(E601&amp;"|"&amp;H601,BD_CICLO!$G$3:$G$54,0))),""))</f>
        <v/>
      </c>
      <c r="L601" s="9"/>
      <c r="M601" s="9"/>
      <c r="N601" s="1" t="str">
        <f aca="false">IF(C601="","",C601&amp;"|"&amp;COUNTIF(C$3:C601,C601))</f>
        <v/>
      </c>
      <c r="O601" s="1" t="str">
        <f aca="false">IF(OR(C601="",M601=""),"",C601&amp;"|"&amp;COUNTIFS(C$3:C601,C601,M$3:M601,"&lt;&gt;"))</f>
        <v/>
      </c>
    </row>
    <row r="602" customFormat="false" ht="15" hidden="false" customHeight="false" outlineLevel="0" collapsed="false">
      <c r="B602" s="7"/>
      <c r="C602" s="5"/>
      <c r="D602" s="9" t="str">
        <f aca="false">IF(C602="","",IFERROR(VLOOKUP(C602,EQUIPOS!$B$3:$C$18,2,0),"NO EXISTE"))</f>
        <v/>
      </c>
      <c r="E602" s="9" t="str">
        <f aca="false">IF(C602="","",IFERROR(VLOOKUP(C602,EQUIPOS!$B$3:$F$18,5,0),""))</f>
        <v/>
      </c>
      <c r="F602" s="5" t="str">
        <f aca="false">IF(C602="","",IFERROR(VLOOKUP(C602,EQUIPOS!$B$3:$G$18,6,0),""))</f>
        <v/>
      </c>
      <c r="G602" s="8"/>
      <c r="H602" s="5"/>
      <c r="I602" s="5"/>
      <c r="J602" s="9"/>
      <c r="K602" s="17" t="str">
        <f aca="false">IF(H602="","",IFERROR(SUMIFS(BD_PLAN!$I$3:$I$312,BD_PLAN!$B$3:$B$312,E602,BD_PLAN!$C$3:$C$312,INDEX(BD_CICLO!$F$3:$F$54,MATCH(E602&amp;"|"&amp;H602,BD_CICLO!$G$3:$G$54,0))),""))</f>
        <v/>
      </c>
      <c r="L602" s="9"/>
      <c r="M602" s="9"/>
      <c r="N602" s="1" t="str">
        <f aca="false">IF(C602="","",C602&amp;"|"&amp;COUNTIF(C$3:C602,C602))</f>
        <v/>
      </c>
      <c r="O602" s="1" t="str">
        <f aca="false">IF(OR(C602="",M602=""),"",C602&amp;"|"&amp;COUNTIFS(C$3:C602,C602,M$3:M602,"&lt;&gt;"))</f>
        <v/>
      </c>
    </row>
    <row r="603" customFormat="false" ht="15" hidden="false" customHeight="false" outlineLevel="0" collapsed="false">
      <c r="B603" s="7"/>
      <c r="C603" s="5"/>
      <c r="D603" s="9" t="str">
        <f aca="false">IF(C603="","",IFERROR(VLOOKUP(C603,EQUIPOS!$B$3:$C$18,2,0),"NO EXISTE"))</f>
        <v/>
      </c>
      <c r="E603" s="9" t="str">
        <f aca="false">IF(C603="","",IFERROR(VLOOKUP(C603,EQUIPOS!$B$3:$F$18,5,0),""))</f>
        <v/>
      </c>
      <c r="F603" s="5" t="str">
        <f aca="false">IF(C603="","",IFERROR(VLOOKUP(C603,EQUIPOS!$B$3:$G$18,6,0),""))</f>
        <v/>
      </c>
      <c r="G603" s="8"/>
      <c r="H603" s="5"/>
      <c r="I603" s="5"/>
      <c r="J603" s="9"/>
      <c r="K603" s="17" t="str">
        <f aca="false">IF(H603="","",IFERROR(SUMIFS(BD_PLAN!$I$3:$I$312,BD_PLAN!$B$3:$B$312,E603,BD_PLAN!$C$3:$C$312,INDEX(BD_CICLO!$F$3:$F$54,MATCH(E603&amp;"|"&amp;H603,BD_CICLO!$G$3:$G$54,0))),""))</f>
        <v/>
      </c>
      <c r="L603" s="9"/>
      <c r="M603" s="9"/>
      <c r="N603" s="1" t="str">
        <f aca="false">IF(C603="","",C603&amp;"|"&amp;COUNTIF(C$3:C603,C603))</f>
        <v/>
      </c>
      <c r="O603" s="1" t="str">
        <f aca="false">IF(OR(C603="",M603=""),"",C603&amp;"|"&amp;COUNTIFS(C$3:C603,C603,M$3:M603,"&lt;&gt;"))</f>
        <v/>
      </c>
    </row>
    <row r="604" customFormat="false" ht="15" hidden="false" customHeight="false" outlineLevel="0" collapsed="false">
      <c r="B604" s="7"/>
      <c r="C604" s="5"/>
      <c r="D604" s="9" t="str">
        <f aca="false">IF(C604="","",IFERROR(VLOOKUP(C604,EQUIPOS!$B$3:$C$18,2,0),"NO EXISTE"))</f>
        <v/>
      </c>
      <c r="E604" s="9" t="str">
        <f aca="false">IF(C604="","",IFERROR(VLOOKUP(C604,EQUIPOS!$B$3:$F$18,5,0),""))</f>
        <v/>
      </c>
      <c r="F604" s="5" t="str">
        <f aca="false">IF(C604="","",IFERROR(VLOOKUP(C604,EQUIPOS!$B$3:$G$18,6,0),""))</f>
        <v/>
      </c>
      <c r="G604" s="8"/>
      <c r="H604" s="5"/>
      <c r="I604" s="5"/>
      <c r="J604" s="9"/>
      <c r="K604" s="17" t="str">
        <f aca="false">IF(H604="","",IFERROR(SUMIFS(BD_PLAN!$I$3:$I$312,BD_PLAN!$B$3:$B$312,E604,BD_PLAN!$C$3:$C$312,INDEX(BD_CICLO!$F$3:$F$54,MATCH(E604&amp;"|"&amp;H604,BD_CICLO!$G$3:$G$54,0))),""))</f>
        <v/>
      </c>
      <c r="L604" s="9"/>
      <c r="M604" s="9"/>
      <c r="N604" s="1" t="str">
        <f aca="false">IF(C604="","",C604&amp;"|"&amp;COUNTIF(C$3:C604,C604))</f>
        <v/>
      </c>
      <c r="O604" s="1" t="str">
        <f aca="false">IF(OR(C604="",M604=""),"",C604&amp;"|"&amp;COUNTIFS(C$3:C604,C604,M$3:M604,"&lt;&gt;"))</f>
        <v/>
      </c>
    </row>
    <row r="605" customFormat="false" ht="15" hidden="false" customHeight="false" outlineLevel="0" collapsed="false">
      <c r="B605" s="7"/>
      <c r="C605" s="5"/>
      <c r="D605" s="9" t="str">
        <f aca="false">IF(C605="","",IFERROR(VLOOKUP(C605,EQUIPOS!$B$3:$C$18,2,0),"NO EXISTE"))</f>
        <v/>
      </c>
      <c r="E605" s="9" t="str">
        <f aca="false">IF(C605="","",IFERROR(VLOOKUP(C605,EQUIPOS!$B$3:$F$18,5,0),""))</f>
        <v/>
      </c>
      <c r="F605" s="5" t="str">
        <f aca="false">IF(C605="","",IFERROR(VLOOKUP(C605,EQUIPOS!$B$3:$G$18,6,0),""))</f>
        <v/>
      </c>
      <c r="G605" s="8"/>
      <c r="H605" s="5"/>
      <c r="I605" s="5"/>
      <c r="J605" s="9"/>
      <c r="K605" s="17" t="str">
        <f aca="false">IF(H605="","",IFERROR(SUMIFS(BD_PLAN!$I$3:$I$312,BD_PLAN!$B$3:$B$312,E605,BD_PLAN!$C$3:$C$312,INDEX(BD_CICLO!$F$3:$F$54,MATCH(E605&amp;"|"&amp;H605,BD_CICLO!$G$3:$G$54,0))),""))</f>
        <v/>
      </c>
      <c r="L605" s="9"/>
      <c r="M605" s="9"/>
      <c r="N605" s="1" t="str">
        <f aca="false">IF(C605="","",C605&amp;"|"&amp;COUNTIF(C$3:C605,C605))</f>
        <v/>
      </c>
      <c r="O605" s="1" t="str">
        <f aca="false">IF(OR(C605="",M605=""),"",C605&amp;"|"&amp;COUNTIFS(C$3:C605,C605,M$3:M605,"&lt;&gt;"))</f>
        <v/>
      </c>
    </row>
    <row r="606" customFormat="false" ht="15" hidden="false" customHeight="false" outlineLevel="0" collapsed="false">
      <c r="B606" s="7"/>
      <c r="C606" s="5"/>
      <c r="D606" s="9" t="str">
        <f aca="false">IF(C606="","",IFERROR(VLOOKUP(C606,EQUIPOS!$B$3:$C$18,2,0),"NO EXISTE"))</f>
        <v/>
      </c>
      <c r="E606" s="9" t="str">
        <f aca="false">IF(C606="","",IFERROR(VLOOKUP(C606,EQUIPOS!$B$3:$F$18,5,0),""))</f>
        <v/>
      </c>
      <c r="F606" s="5" t="str">
        <f aca="false">IF(C606="","",IFERROR(VLOOKUP(C606,EQUIPOS!$B$3:$G$18,6,0),""))</f>
        <v/>
      </c>
      <c r="G606" s="8"/>
      <c r="H606" s="5"/>
      <c r="I606" s="5"/>
      <c r="J606" s="9"/>
      <c r="K606" s="17" t="str">
        <f aca="false">IF(H606="","",IFERROR(SUMIFS(BD_PLAN!$I$3:$I$312,BD_PLAN!$B$3:$B$312,E606,BD_PLAN!$C$3:$C$312,INDEX(BD_CICLO!$F$3:$F$54,MATCH(E606&amp;"|"&amp;H606,BD_CICLO!$G$3:$G$54,0))),""))</f>
        <v/>
      </c>
      <c r="L606" s="9"/>
      <c r="M606" s="9"/>
      <c r="N606" s="1" t="str">
        <f aca="false">IF(C606="","",C606&amp;"|"&amp;COUNTIF(C$3:C606,C606))</f>
        <v/>
      </c>
      <c r="O606" s="1" t="str">
        <f aca="false">IF(OR(C606="",M606=""),"",C606&amp;"|"&amp;COUNTIFS(C$3:C606,C606,M$3:M606,"&lt;&gt;"))</f>
        <v/>
      </c>
    </row>
    <row r="607" customFormat="false" ht="15" hidden="false" customHeight="false" outlineLevel="0" collapsed="false">
      <c r="B607" s="7"/>
      <c r="C607" s="5"/>
      <c r="D607" s="9" t="str">
        <f aca="false">IF(C607="","",IFERROR(VLOOKUP(C607,EQUIPOS!$B$3:$C$18,2,0),"NO EXISTE"))</f>
        <v/>
      </c>
      <c r="E607" s="9" t="str">
        <f aca="false">IF(C607="","",IFERROR(VLOOKUP(C607,EQUIPOS!$B$3:$F$18,5,0),""))</f>
        <v/>
      </c>
      <c r="F607" s="5" t="str">
        <f aca="false">IF(C607="","",IFERROR(VLOOKUP(C607,EQUIPOS!$B$3:$G$18,6,0),""))</f>
        <v/>
      </c>
      <c r="G607" s="8"/>
      <c r="H607" s="5"/>
      <c r="I607" s="5"/>
      <c r="J607" s="9"/>
      <c r="K607" s="17" t="str">
        <f aca="false">IF(H607="","",IFERROR(SUMIFS(BD_PLAN!$I$3:$I$312,BD_PLAN!$B$3:$B$312,E607,BD_PLAN!$C$3:$C$312,INDEX(BD_CICLO!$F$3:$F$54,MATCH(E607&amp;"|"&amp;H607,BD_CICLO!$G$3:$G$54,0))),""))</f>
        <v/>
      </c>
      <c r="L607" s="9"/>
      <c r="M607" s="9"/>
      <c r="N607" s="1" t="str">
        <f aca="false">IF(C607="","",C607&amp;"|"&amp;COUNTIF(C$3:C607,C607))</f>
        <v/>
      </c>
      <c r="O607" s="1" t="str">
        <f aca="false">IF(OR(C607="",M607=""),"",C607&amp;"|"&amp;COUNTIFS(C$3:C607,C607,M$3:M607,"&lt;&gt;"))</f>
        <v/>
      </c>
    </row>
    <row r="608" customFormat="false" ht="15" hidden="false" customHeight="false" outlineLevel="0" collapsed="false">
      <c r="B608" s="7"/>
      <c r="C608" s="5"/>
      <c r="D608" s="9" t="str">
        <f aca="false">IF(C608="","",IFERROR(VLOOKUP(C608,EQUIPOS!$B$3:$C$18,2,0),"NO EXISTE"))</f>
        <v/>
      </c>
      <c r="E608" s="9" t="str">
        <f aca="false">IF(C608="","",IFERROR(VLOOKUP(C608,EQUIPOS!$B$3:$F$18,5,0),""))</f>
        <v/>
      </c>
      <c r="F608" s="5" t="str">
        <f aca="false">IF(C608="","",IFERROR(VLOOKUP(C608,EQUIPOS!$B$3:$G$18,6,0),""))</f>
        <v/>
      </c>
      <c r="G608" s="8"/>
      <c r="H608" s="5"/>
      <c r="I608" s="5"/>
      <c r="J608" s="9"/>
      <c r="K608" s="17" t="str">
        <f aca="false">IF(H608="","",IFERROR(SUMIFS(BD_PLAN!$I$3:$I$312,BD_PLAN!$B$3:$B$312,E608,BD_PLAN!$C$3:$C$312,INDEX(BD_CICLO!$F$3:$F$54,MATCH(E608&amp;"|"&amp;H608,BD_CICLO!$G$3:$G$54,0))),""))</f>
        <v/>
      </c>
      <c r="L608" s="9"/>
      <c r="M608" s="9"/>
      <c r="N608" s="1" t="str">
        <f aca="false">IF(C608="","",C608&amp;"|"&amp;COUNTIF(C$3:C608,C608))</f>
        <v/>
      </c>
      <c r="O608" s="1" t="str">
        <f aca="false">IF(OR(C608="",M608=""),"",C608&amp;"|"&amp;COUNTIFS(C$3:C608,C608,M$3:M608,"&lt;&gt;"))</f>
        <v/>
      </c>
    </row>
    <row r="609" customFormat="false" ht="15" hidden="false" customHeight="false" outlineLevel="0" collapsed="false">
      <c r="B609" s="7"/>
      <c r="C609" s="5"/>
      <c r="D609" s="9" t="str">
        <f aca="false">IF(C609="","",IFERROR(VLOOKUP(C609,EQUIPOS!$B$3:$C$18,2,0),"NO EXISTE"))</f>
        <v/>
      </c>
      <c r="E609" s="9" t="str">
        <f aca="false">IF(C609="","",IFERROR(VLOOKUP(C609,EQUIPOS!$B$3:$F$18,5,0),""))</f>
        <v/>
      </c>
      <c r="F609" s="5" t="str">
        <f aca="false">IF(C609="","",IFERROR(VLOOKUP(C609,EQUIPOS!$B$3:$G$18,6,0),""))</f>
        <v/>
      </c>
      <c r="G609" s="8"/>
      <c r="H609" s="5"/>
      <c r="I609" s="5"/>
      <c r="J609" s="9"/>
      <c r="K609" s="17" t="str">
        <f aca="false">IF(H609="","",IFERROR(SUMIFS(BD_PLAN!$I$3:$I$312,BD_PLAN!$B$3:$B$312,E609,BD_PLAN!$C$3:$C$312,INDEX(BD_CICLO!$F$3:$F$54,MATCH(E609&amp;"|"&amp;H609,BD_CICLO!$G$3:$G$54,0))),""))</f>
        <v/>
      </c>
      <c r="L609" s="9"/>
      <c r="M609" s="9"/>
      <c r="N609" s="1" t="str">
        <f aca="false">IF(C609="","",C609&amp;"|"&amp;COUNTIF(C$3:C609,C609))</f>
        <v/>
      </c>
      <c r="O609" s="1" t="str">
        <f aca="false">IF(OR(C609="",M609=""),"",C609&amp;"|"&amp;COUNTIFS(C$3:C609,C609,M$3:M609,"&lt;&gt;"))</f>
        <v/>
      </c>
    </row>
    <row r="610" customFormat="false" ht="15" hidden="false" customHeight="false" outlineLevel="0" collapsed="false">
      <c r="B610" s="7"/>
      <c r="C610" s="5"/>
      <c r="D610" s="9" t="str">
        <f aca="false">IF(C610="","",IFERROR(VLOOKUP(C610,EQUIPOS!$B$3:$C$18,2,0),"NO EXISTE"))</f>
        <v/>
      </c>
      <c r="E610" s="9" t="str">
        <f aca="false">IF(C610="","",IFERROR(VLOOKUP(C610,EQUIPOS!$B$3:$F$18,5,0),""))</f>
        <v/>
      </c>
      <c r="F610" s="5" t="str">
        <f aca="false">IF(C610="","",IFERROR(VLOOKUP(C610,EQUIPOS!$B$3:$G$18,6,0),""))</f>
        <v/>
      </c>
      <c r="G610" s="8"/>
      <c r="H610" s="5"/>
      <c r="I610" s="5"/>
      <c r="J610" s="9"/>
      <c r="K610" s="17" t="str">
        <f aca="false">IF(H610="","",IFERROR(SUMIFS(BD_PLAN!$I$3:$I$312,BD_PLAN!$B$3:$B$312,E610,BD_PLAN!$C$3:$C$312,INDEX(BD_CICLO!$F$3:$F$54,MATCH(E610&amp;"|"&amp;H610,BD_CICLO!$G$3:$G$54,0))),""))</f>
        <v/>
      </c>
      <c r="L610" s="9"/>
      <c r="M610" s="9"/>
      <c r="N610" s="1" t="str">
        <f aca="false">IF(C610="","",C610&amp;"|"&amp;COUNTIF(C$3:C610,C610))</f>
        <v/>
      </c>
      <c r="O610" s="1" t="str">
        <f aca="false">IF(OR(C610="",M610=""),"",C610&amp;"|"&amp;COUNTIFS(C$3:C610,C610,M$3:M610,"&lt;&gt;"))</f>
        <v/>
      </c>
    </row>
    <row r="611" customFormat="false" ht="15" hidden="false" customHeight="false" outlineLevel="0" collapsed="false">
      <c r="B611" s="7"/>
      <c r="C611" s="5"/>
      <c r="D611" s="9" t="str">
        <f aca="false">IF(C611="","",IFERROR(VLOOKUP(C611,EQUIPOS!$B$3:$C$18,2,0),"NO EXISTE"))</f>
        <v/>
      </c>
      <c r="E611" s="9" t="str">
        <f aca="false">IF(C611="","",IFERROR(VLOOKUP(C611,EQUIPOS!$B$3:$F$18,5,0),""))</f>
        <v/>
      </c>
      <c r="F611" s="5" t="str">
        <f aca="false">IF(C611="","",IFERROR(VLOOKUP(C611,EQUIPOS!$B$3:$G$18,6,0),""))</f>
        <v/>
      </c>
      <c r="G611" s="8"/>
      <c r="H611" s="5"/>
      <c r="I611" s="5"/>
      <c r="J611" s="9"/>
      <c r="K611" s="17" t="str">
        <f aca="false">IF(H611="","",IFERROR(SUMIFS(BD_PLAN!$I$3:$I$312,BD_PLAN!$B$3:$B$312,E611,BD_PLAN!$C$3:$C$312,INDEX(BD_CICLO!$F$3:$F$54,MATCH(E611&amp;"|"&amp;H611,BD_CICLO!$G$3:$G$54,0))),""))</f>
        <v/>
      </c>
      <c r="L611" s="9"/>
      <c r="M611" s="9"/>
      <c r="N611" s="1" t="str">
        <f aca="false">IF(C611="","",C611&amp;"|"&amp;COUNTIF(C$3:C611,C611))</f>
        <v/>
      </c>
      <c r="O611" s="1" t="str">
        <f aca="false">IF(OR(C611="",M611=""),"",C611&amp;"|"&amp;COUNTIFS(C$3:C611,C611,M$3:M611,"&lt;&gt;"))</f>
        <v/>
      </c>
    </row>
    <row r="612" customFormat="false" ht="15" hidden="false" customHeight="false" outlineLevel="0" collapsed="false">
      <c r="B612" s="7"/>
      <c r="C612" s="5"/>
      <c r="D612" s="9" t="str">
        <f aca="false">IF(C612="","",IFERROR(VLOOKUP(C612,EQUIPOS!$B$3:$C$18,2,0),"NO EXISTE"))</f>
        <v/>
      </c>
      <c r="E612" s="9" t="str">
        <f aca="false">IF(C612="","",IFERROR(VLOOKUP(C612,EQUIPOS!$B$3:$F$18,5,0),""))</f>
        <v/>
      </c>
      <c r="F612" s="5" t="str">
        <f aca="false">IF(C612="","",IFERROR(VLOOKUP(C612,EQUIPOS!$B$3:$G$18,6,0),""))</f>
        <v/>
      </c>
      <c r="G612" s="8"/>
      <c r="H612" s="5"/>
      <c r="I612" s="5"/>
      <c r="J612" s="9"/>
      <c r="K612" s="17" t="str">
        <f aca="false">IF(H612="","",IFERROR(SUMIFS(BD_PLAN!$I$3:$I$312,BD_PLAN!$B$3:$B$312,E612,BD_PLAN!$C$3:$C$312,INDEX(BD_CICLO!$F$3:$F$54,MATCH(E612&amp;"|"&amp;H612,BD_CICLO!$G$3:$G$54,0))),""))</f>
        <v/>
      </c>
      <c r="L612" s="9"/>
      <c r="M612" s="9"/>
      <c r="N612" s="1" t="str">
        <f aca="false">IF(C612="","",C612&amp;"|"&amp;COUNTIF(C$3:C612,C612))</f>
        <v/>
      </c>
      <c r="O612" s="1" t="str">
        <f aca="false">IF(OR(C612="",M612=""),"",C612&amp;"|"&amp;COUNTIFS(C$3:C612,C612,M$3:M612,"&lt;&gt;"))</f>
        <v/>
      </c>
    </row>
    <row r="613" customFormat="false" ht="15" hidden="false" customHeight="false" outlineLevel="0" collapsed="false">
      <c r="B613" s="7"/>
      <c r="C613" s="5"/>
      <c r="D613" s="9" t="str">
        <f aca="false">IF(C613="","",IFERROR(VLOOKUP(C613,EQUIPOS!$B$3:$C$18,2,0),"NO EXISTE"))</f>
        <v/>
      </c>
      <c r="E613" s="9" t="str">
        <f aca="false">IF(C613="","",IFERROR(VLOOKUP(C613,EQUIPOS!$B$3:$F$18,5,0),""))</f>
        <v/>
      </c>
      <c r="F613" s="5" t="str">
        <f aca="false">IF(C613="","",IFERROR(VLOOKUP(C613,EQUIPOS!$B$3:$G$18,6,0),""))</f>
        <v/>
      </c>
      <c r="G613" s="8"/>
      <c r="H613" s="5"/>
      <c r="I613" s="5"/>
      <c r="J613" s="9"/>
      <c r="K613" s="17" t="str">
        <f aca="false">IF(H613="","",IFERROR(SUMIFS(BD_PLAN!$I$3:$I$312,BD_PLAN!$B$3:$B$312,E613,BD_PLAN!$C$3:$C$312,INDEX(BD_CICLO!$F$3:$F$54,MATCH(E613&amp;"|"&amp;H613,BD_CICLO!$G$3:$G$54,0))),""))</f>
        <v/>
      </c>
      <c r="L613" s="9"/>
      <c r="M613" s="9"/>
      <c r="N613" s="1" t="str">
        <f aca="false">IF(C613="","",C613&amp;"|"&amp;COUNTIF(C$3:C613,C613))</f>
        <v/>
      </c>
      <c r="O613" s="1" t="str">
        <f aca="false">IF(OR(C613="",M613=""),"",C613&amp;"|"&amp;COUNTIFS(C$3:C613,C613,M$3:M613,"&lt;&gt;"))</f>
        <v/>
      </c>
    </row>
    <row r="614" customFormat="false" ht="15" hidden="false" customHeight="false" outlineLevel="0" collapsed="false">
      <c r="B614" s="7"/>
      <c r="C614" s="5"/>
      <c r="D614" s="9" t="str">
        <f aca="false">IF(C614="","",IFERROR(VLOOKUP(C614,EQUIPOS!$B$3:$C$18,2,0),"NO EXISTE"))</f>
        <v/>
      </c>
      <c r="E614" s="9" t="str">
        <f aca="false">IF(C614="","",IFERROR(VLOOKUP(C614,EQUIPOS!$B$3:$F$18,5,0),""))</f>
        <v/>
      </c>
      <c r="F614" s="5" t="str">
        <f aca="false">IF(C614="","",IFERROR(VLOOKUP(C614,EQUIPOS!$B$3:$G$18,6,0),""))</f>
        <v/>
      </c>
      <c r="G614" s="8"/>
      <c r="H614" s="5"/>
      <c r="I614" s="5"/>
      <c r="J614" s="9"/>
      <c r="K614" s="17" t="str">
        <f aca="false">IF(H614="","",IFERROR(SUMIFS(BD_PLAN!$I$3:$I$312,BD_PLAN!$B$3:$B$312,E614,BD_PLAN!$C$3:$C$312,INDEX(BD_CICLO!$F$3:$F$54,MATCH(E614&amp;"|"&amp;H614,BD_CICLO!$G$3:$G$54,0))),""))</f>
        <v/>
      </c>
      <c r="L614" s="9"/>
      <c r="M614" s="9"/>
      <c r="N614" s="1" t="str">
        <f aca="false">IF(C614="","",C614&amp;"|"&amp;COUNTIF(C$3:C614,C614))</f>
        <v/>
      </c>
      <c r="O614" s="1" t="str">
        <f aca="false">IF(OR(C614="",M614=""),"",C614&amp;"|"&amp;COUNTIFS(C$3:C614,C614,M$3:M614,"&lt;&gt;"))</f>
        <v/>
      </c>
    </row>
    <row r="615" customFormat="false" ht="15" hidden="false" customHeight="false" outlineLevel="0" collapsed="false">
      <c r="B615" s="7"/>
      <c r="C615" s="5"/>
      <c r="D615" s="9" t="str">
        <f aca="false">IF(C615="","",IFERROR(VLOOKUP(C615,EQUIPOS!$B$3:$C$18,2,0),"NO EXISTE"))</f>
        <v/>
      </c>
      <c r="E615" s="9" t="str">
        <f aca="false">IF(C615="","",IFERROR(VLOOKUP(C615,EQUIPOS!$B$3:$F$18,5,0),""))</f>
        <v/>
      </c>
      <c r="F615" s="5" t="str">
        <f aca="false">IF(C615="","",IFERROR(VLOOKUP(C615,EQUIPOS!$B$3:$G$18,6,0),""))</f>
        <v/>
      </c>
      <c r="G615" s="8"/>
      <c r="H615" s="5"/>
      <c r="I615" s="5"/>
      <c r="J615" s="9"/>
      <c r="K615" s="17" t="str">
        <f aca="false">IF(H615="","",IFERROR(SUMIFS(BD_PLAN!$I$3:$I$312,BD_PLAN!$B$3:$B$312,E615,BD_PLAN!$C$3:$C$312,INDEX(BD_CICLO!$F$3:$F$54,MATCH(E615&amp;"|"&amp;H615,BD_CICLO!$G$3:$G$54,0))),""))</f>
        <v/>
      </c>
      <c r="L615" s="9"/>
      <c r="M615" s="9"/>
      <c r="N615" s="1" t="str">
        <f aca="false">IF(C615="","",C615&amp;"|"&amp;COUNTIF(C$3:C615,C615))</f>
        <v/>
      </c>
      <c r="O615" s="1" t="str">
        <f aca="false">IF(OR(C615="",M615=""),"",C615&amp;"|"&amp;COUNTIFS(C$3:C615,C615,M$3:M615,"&lt;&gt;"))</f>
        <v/>
      </c>
    </row>
    <row r="616" customFormat="false" ht="15" hidden="false" customHeight="false" outlineLevel="0" collapsed="false">
      <c r="B616" s="7"/>
      <c r="C616" s="5"/>
      <c r="D616" s="9" t="str">
        <f aca="false">IF(C616="","",IFERROR(VLOOKUP(C616,EQUIPOS!$B$3:$C$18,2,0),"NO EXISTE"))</f>
        <v/>
      </c>
      <c r="E616" s="9" t="str">
        <f aca="false">IF(C616="","",IFERROR(VLOOKUP(C616,EQUIPOS!$B$3:$F$18,5,0),""))</f>
        <v/>
      </c>
      <c r="F616" s="5" t="str">
        <f aca="false">IF(C616="","",IFERROR(VLOOKUP(C616,EQUIPOS!$B$3:$G$18,6,0),""))</f>
        <v/>
      </c>
      <c r="G616" s="8"/>
      <c r="H616" s="5"/>
      <c r="I616" s="5"/>
      <c r="J616" s="9"/>
      <c r="K616" s="17" t="str">
        <f aca="false">IF(H616="","",IFERROR(SUMIFS(BD_PLAN!$I$3:$I$312,BD_PLAN!$B$3:$B$312,E616,BD_PLAN!$C$3:$C$312,INDEX(BD_CICLO!$F$3:$F$54,MATCH(E616&amp;"|"&amp;H616,BD_CICLO!$G$3:$G$54,0))),""))</f>
        <v/>
      </c>
      <c r="L616" s="9"/>
      <c r="M616" s="9"/>
      <c r="N616" s="1" t="str">
        <f aca="false">IF(C616="","",C616&amp;"|"&amp;COUNTIF(C$3:C616,C616))</f>
        <v/>
      </c>
      <c r="O616" s="1" t="str">
        <f aca="false">IF(OR(C616="",M616=""),"",C616&amp;"|"&amp;COUNTIFS(C$3:C616,C616,M$3:M616,"&lt;&gt;"))</f>
        <v/>
      </c>
    </row>
    <row r="617" customFormat="false" ht="15" hidden="false" customHeight="false" outlineLevel="0" collapsed="false">
      <c r="B617" s="7"/>
      <c r="C617" s="5"/>
      <c r="D617" s="9" t="str">
        <f aca="false">IF(C617="","",IFERROR(VLOOKUP(C617,EQUIPOS!$B$3:$C$18,2,0),"NO EXISTE"))</f>
        <v/>
      </c>
      <c r="E617" s="9" t="str">
        <f aca="false">IF(C617="","",IFERROR(VLOOKUP(C617,EQUIPOS!$B$3:$F$18,5,0),""))</f>
        <v/>
      </c>
      <c r="F617" s="5" t="str">
        <f aca="false">IF(C617="","",IFERROR(VLOOKUP(C617,EQUIPOS!$B$3:$G$18,6,0),""))</f>
        <v/>
      </c>
      <c r="G617" s="8"/>
      <c r="H617" s="5"/>
      <c r="I617" s="5"/>
      <c r="J617" s="9"/>
      <c r="K617" s="17" t="str">
        <f aca="false">IF(H617="","",IFERROR(SUMIFS(BD_PLAN!$I$3:$I$312,BD_PLAN!$B$3:$B$312,E617,BD_PLAN!$C$3:$C$312,INDEX(BD_CICLO!$F$3:$F$54,MATCH(E617&amp;"|"&amp;H617,BD_CICLO!$G$3:$G$54,0))),""))</f>
        <v/>
      </c>
      <c r="L617" s="9"/>
      <c r="M617" s="9"/>
      <c r="N617" s="1" t="str">
        <f aca="false">IF(C617="","",C617&amp;"|"&amp;COUNTIF(C$3:C617,C617))</f>
        <v/>
      </c>
      <c r="O617" s="1" t="str">
        <f aca="false">IF(OR(C617="",M617=""),"",C617&amp;"|"&amp;COUNTIFS(C$3:C617,C617,M$3:M617,"&lt;&gt;"))</f>
        <v/>
      </c>
    </row>
    <row r="618" customFormat="false" ht="15" hidden="false" customHeight="false" outlineLevel="0" collapsed="false">
      <c r="B618" s="7"/>
      <c r="C618" s="5"/>
      <c r="D618" s="9" t="str">
        <f aca="false">IF(C618="","",IFERROR(VLOOKUP(C618,EQUIPOS!$B$3:$C$18,2,0),"NO EXISTE"))</f>
        <v/>
      </c>
      <c r="E618" s="9" t="str">
        <f aca="false">IF(C618="","",IFERROR(VLOOKUP(C618,EQUIPOS!$B$3:$F$18,5,0),""))</f>
        <v/>
      </c>
      <c r="F618" s="5" t="str">
        <f aca="false">IF(C618="","",IFERROR(VLOOKUP(C618,EQUIPOS!$B$3:$G$18,6,0),""))</f>
        <v/>
      </c>
      <c r="G618" s="8"/>
      <c r="H618" s="5"/>
      <c r="I618" s="5"/>
      <c r="J618" s="9"/>
      <c r="K618" s="17" t="str">
        <f aca="false">IF(H618="","",IFERROR(SUMIFS(BD_PLAN!$I$3:$I$312,BD_PLAN!$B$3:$B$312,E618,BD_PLAN!$C$3:$C$312,INDEX(BD_CICLO!$F$3:$F$54,MATCH(E618&amp;"|"&amp;H618,BD_CICLO!$G$3:$G$54,0))),""))</f>
        <v/>
      </c>
      <c r="L618" s="9"/>
      <c r="M618" s="9"/>
      <c r="N618" s="1" t="str">
        <f aca="false">IF(C618="","",C618&amp;"|"&amp;COUNTIF(C$3:C618,C618))</f>
        <v/>
      </c>
      <c r="O618" s="1" t="str">
        <f aca="false">IF(OR(C618="",M618=""),"",C618&amp;"|"&amp;COUNTIFS(C$3:C618,C618,M$3:M618,"&lt;&gt;"))</f>
        <v/>
      </c>
    </row>
    <row r="619" customFormat="false" ht="15" hidden="false" customHeight="false" outlineLevel="0" collapsed="false">
      <c r="B619" s="7"/>
      <c r="C619" s="5"/>
      <c r="D619" s="9" t="str">
        <f aca="false">IF(C619="","",IFERROR(VLOOKUP(C619,EQUIPOS!$B$3:$C$18,2,0),"NO EXISTE"))</f>
        <v/>
      </c>
      <c r="E619" s="9" t="str">
        <f aca="false">IF(C619="","",IFERROR(VLOOKUP(C619,EQUIPOS!$B$3:$F$18,5,0),""))</f>
        <v/>
      </c>
      <c r="F619" s="5" t="str">
        <f aca="false">IF(C619="","",IFERROR(VLOOKUP(C619,EQUIPOS!$B$3:$G$18,6,0),""))</f>
        <v/>
      </c>
      <c r="G619" s="8"/>
      <c r="H619" s="5"/>
      <c r="I619" s="5"/>
      <c r="J619" s="9"/>
      <c r="K619" s="17" t="str">
        <f aca="false">IF(H619="","",IFERROR(SUMIFS(BD_PLAN!$I$3:$I$312,BD_PLAN!$B$3:$B$312,E619,BD_PLAN!$C$3:$C$312,INDEX(BD_CICLO!$F$3:$F$54,MATCH(E619&amp;"|"&amp;H619,BD_CICLO!$G$3:$G$54,0))),""))</f>
        <v/>
      </c>
      <c r="L619" s="9"/>
      <c r="M619" s="9"/>
      <c r="N619" s="1" t="str">
        <f aca="false">IF(C619="","",C619&amp;"|"&amp;COUNTIF(C$3:C619,C619))</f>
        <v/>
      </c>
      <c r="O619" s="1" t="str">
        <f aca="false">IF(OR(C619="",M619=""),"",C619&amp;"|"&amp;COUNTIFS(C$3:C619,C619,M$3:M619,"&lt;&gt;"))</f>
        <v/>
      </c>
    </row>
    <row r="620" customFormat="false" ht="15" hidden="false" customHeight="false" outlineLevel="0" collapsed="false">
      <c r="B620" s="7"/>
      <c r="C620" s="5"/>
      <c r="D620" s="9" t="str">
        <f aca="false">IF(C620="","",IFERROR(VLOOKUP(C620,EQUIPOS!$B$3:$C$18,2,0),"NO EXISTE"))</f>
        <v/>
      </c>
      <c r="E620" s="9" t="str">
        <f aca="false">IF(C620="","",IFERROR(VLOOKUP(C620,EQUIPOS!$B$3:$F$18,5,0),""))</f>
        <v/>
      </c>
      <c r="F620" s="5" t="str">
        <f aca="false">IF(C620="","",IFERROR(VLOOKUP(C620,EQUIPOS!$B$3:$G$18,6,0),""))</f>
        <v/>
      </c>
      <c r="G620" s="8"/>
      <c r="H620" s="5"/>
      <c r="I620" s="5"/>
      <c r="J620" s="9"/>
      <c r="K620" s="17" t="str">
        <f aca="false">IF(H620="","",IFERROR(SUMIFS(BD_PLAN!$I$3:$I$312,BD_PLAN!$B$3:$B$312,E620,BD_PLAN!$C$3:$C$312,INDEX(BD_CICLO!$F$3:$F$54,MATCH(E620&amp;"|"&amp;H620,BD_CICLO!$G$3:$G$54,0))),""))</f>
        <v/>
      </c>
      <c r="L620" s="9"/>
      <c r="M620" s="9"/>
      <c r="N620" s="1" t="str">
        <f aca="false">IF(C620="","",C620&amp;"|"&amp;COUNTIF(C$3:C620,C620))</f>
        <v/>
      </c>
      <c r="O620" s="1" t="str">
        <f aca="false">IF(OR(C620="",M620=""),"",C620&amp;"|"&amp;COUNTIFS(C$3:C620,C620,M$3:M620,"&lt;&gt;"))</f>
        <v/>
      </c>
    </row>
    <row r="621" customFormat="false" ht="15" hidden="false" customHeight="false" outlineLevel="0" collapsed="false">
      <c r="B621" s="7"/>
      <c r="C621" s="5"/>
      <c r="D621" s="9" t="str">
        <f aca="false">IF(C621="","",IFERROR(VLOOKUP(C621,EQUIPOS!$B$3:$C$18,2,0),"NO EXISTE"))</f>
        <v/>
      </c>
      <c r="E621" s="9" t="str">
        <f aca="false">IF(C621="","",IFERROR(VLOOKUP(C621,EQUIPOS!$B$3:$F$18,5,0),""))</f>
        <v/>
      </c>
      <c r="F621" s="5" t="str">
        <f aca="false">IF(C621="","",IFERROR(VLOOKUP(C621,EQUIPOS!$B$3:$G$18,6,0),""))</f>
        <v/>
      </c>
      <c r="G621" s="8"/>
      <c r="H621" s="5"/>
      <c r="I621" s="5"/>
      <c r="J621" s="9"/>
      <c r="K621" s="17" t="str">
        <f aca="false">IF(H621="","",IFERROR(SUMIFS(BD_PLAN!$I$3:$I$312,BD_PLAN!$B$3:$B$312,E621,BD_PLAN!$C$3:$C$312,INDEX(BD_CICLO!$F$3:$F$54,MATCH(E621&amp;"|"&amp;H621,BD_CICLO!$G$3:$G$54,0))),""))</f>
        <v/>
      </c>
      <c r="L621" s="9"/>
      <c r="M621" s="9"/>
      <c r="N621" s="1" t="str">
        <f aca="false">IF(C621="","",C621&amp;"|"&amp;COUNTIF(C$3:C621,C621))</f>
        <v/>
      </c>
      <c r="O621" s="1" t="str">
        <f aca="false">IF(OR(C621="",M621=""),"",C621&amp;"|"&amp;COUNTIFS(C$3:C621,C621,M$3:M621,"&lt;&gt;"))</f>
        <v/>
      </c>
    </row>
    <row r="622" customFormat="false" ht="15" hidden="false" customHeight="false" outlineLevel="0" collapsed="false">
      <c r="B622" s="7"/>
      <c r="C622" s="5"/>
      <c r="D622" s="9" t="str">
        <f aca="false">IF(C622="","",IFERROR(VLOOKUP(C622,EQUIPOS!$B$3:$C$18,2,0),"NO EXISTE"))</f>
        <v/>
      </c>
      <c r="E622" s="9" t="str">
        <f aca="false">IF(C622="","",IFERROR(VLOOKUP(C622,EQUIPOS!$B$3:$F$18,5,0),""))</f>
        <v/>
      </c>
      <c r="F622" s="5" t="str">
        <f aca="false">IF(C622="","",IFERROR(VLOOKUP(C622,EQUIPOS!$B$3:$G$18,6,0),""))</f>
        <v/>
      </c>
      <c r="G622" s="8"/>
      <c r="H622" s="5"/>
      <c r="I622" s="5"/>
      <c r="J622" s="9"/>
      <c r="K622" s="17" t="str">
        <f aca="false">IF(H622="","",IFERROR(SUMIFS(BD_PLAN!$I$3:$I$312,BD_PLAN!$B$3:$B$312,E622,BD_PLAN!$C$3:$C$312,INDEX(BD_CICLO!$F$3:$F$54,MATCH(E622&amp;"|"&amp;H622,BD_CICLO!$G$3:$G$54,0))),""))</f>
        <v/>
      </c>
      <c r="L622" s="9"/>
      <c r="M622" s="9"/>
      <c r="N622" s="1" t="str">
        <f aca="false">IF(C622="","",C622&amp;"|"&amp;COUNTIF(C$3:C622,C622))</f>
        <v/>
      </c>
      <c r="O622" s="1" t="str">
        <f aca="false">IF(OR(C622="",M622=""),"",C622&amp;"|"&amp;COUNTIFS(C$3:C622,C622,M$3:M622,"&lt;&gt;"))</f>
        <v/>
      </c>
    </row>
    <row r="623" customFormat="false" ht="15" hidden="false" customHeight="false" outlineLevel="0" collapsed="false">
      <c r="B623" s="7"/>
      <c r="C623" s="5"/>
      <c r="D623" s="9" t="str">
        <f aca="false">IF(C623="","",IFERROR(VLOOKUP(C623,EQUIPOS!$B$3:$C$18,2,0),"NO EXISTE"))</f>
        <v/>
      </c>
      <c r="E623" s="9" t="str">
        <f aca="false">IF(C623="","",IFERROR(VLOOKUP(C623,EQUIPOS!$B$3:$F$18,5,0),""))</f>
        <v/>
      </c>
      <c r="F623" s="5" t="str">
        <f aca="false">IF(C623="","",IFERROR(VLOOKUP(C623,EQUIPOS!$B$3:$G$18,6,0),""))</f>
        <v/>
      </c>
      <c r="G623" s="8"/>
      <c r="H623" s="5"/>
      <c r="I623" s="5"/>
      <c r="J623" s="9"/>
      <c r="K623" s="17" t="str">
        <f aca="false">IF(H623="","",IFERROR(SUMIFS(BD_PLAN!$I$3:$I$312,BD_PLAN!$B$3:$B$312,E623,BD_PLAN!$C$3:$C$312,INDEX(BD_CICLO!$F$3:$F$54,MATCH(E623&amp;"|"&amp;H623,BD_CICLO!$G$3:$G$54,0))),""))</f>
        <v/>
      </c>
      <c r="L623" s="9"/>
      <c r="M623" s="9"/>
      <c r="N623" s="1" t="str">
        <f aca="false">IF(C623="","",C623&amp;"|"&amp;COUNTIF(C$3:C623,C623))</f>
        <v/>
      </c>
      <c r="O623" s="1" t="str">
        <f aca="false">IF(OR(C623="",M623=""),"",C623&amp;"|"&amp;COUNTIFS(C$3:C623,C623,M$3:M623,"&lt;&gt;"))</f>
        <v/>
      </c>
    </row>
    <row r="624" customFormat="false" ht="15" hidden="false" customHeight="false" outlineLevel="0" collapsed="false">
      <c r="B624" s="7"/>
      <c r="C624" s="5"/>
      <c r="D624" s="9" t="str">
        <f aca="false">IF(C624="","",IFERROR(VLOOKUP(C624,EQUIPOS!$B$3:$C$18,2,0),"NO EXISTE"))</f>
        <v/>
      </c>
      <c r="E624" s="9" t="str">
        <f aca="false">IF(C624="","",IFERROR(VLOOKUP(C624,EQUIPOS!$B$3:$F$18,5,0),""))</f>
        <v/>
      </c>
      <c r="F624" s="5" t="str">
        <f aca="false">IF(C624="","",IFERROR(VLOOKUP(C624,EQUIPOS!$B$3:$G$18,6,0),""))</f>
        <v/>
      </c>
      <c r="G624" s="8"/>
      <c r="H624" s="5"/>
      <c r="I624" s="5"/>
      <c r="J624" s="9"/>
      <c r="K624" s="17" t="str">
        <f aca="false">IF(H624="","",IFERROR(SUMIFS(BD_PLAN!$I$3:$I$312,BD_PLAN!$B$3:$B$312,E624,BD_PLAN!$C$3:$C$312,INDEX(BD_CICLO!$F$3:$F$54,MATCH(E624&amp;"|"&amp;H624,BD_CICLO!$G$3:$G$54,0))),""))</f>
        <v/>
      </c>
      <c r="L624" s="9"/>
      <c r="M624" s="9"/>
      <c r="N624" s="1" t="str">
        <f aca="false">IF(C624="","",C624&amp;"|"&amp;COUNTIF(C$3:C624,C624))</f>
        <v/>
      </c>
      <c r="O624" s="1" t="str">
        <f aca="false">IF(OR(C624="",M624=""),"",C624&amp;"|"&amp;COUNTIFS(C$3:C624,C624,M$3:M624,"&lt;&gt;"))</f>
        <v/>
      </c>
    </row>
    <row r="625" customFormat="false" ht="15" hidden="false" customHeight="false" outlineLevel="0" collapsed="false">
      <c r="B625" s="7"/>
      <c r="C625" s="5"/>
      <c r="D625" s="9" t="str">
        <f aca="false">IF(C625="","",IFERROR(VLOOKUP(C625,EQUIPOS!$B$3:$C$18,2,0),"NO EXISTE"))</f>
        <v/>
      </c>
      <c r="E625" s="9" t="str">
        <f aca="false">IF(C625="","",IFERROR(VLOOKUP(C625,EQUIPOS!$B$3:$F$18,5,0),""))</f>
        <v/>
      </c>
      <c r="F625" s="5" t="str">
        <f aca="false">IF(C625="","",IFERROR(VLOOKUP(C625,EQUIPOS!$B$3:$G$18,6,0),""))</f>
        <v/>
      </c>
      <c r="G625" s="8"/>
      <c r="H625" s="5"/>
      <c r="I625" s="5"/>
      <c r="J625" s="9"/>
      <c r="K625" s="17" t="str">
        <f aca="false">IF(H625="","",IFERROR(SUMIFS(BD_PLAN!$I$3:$I$312,BD_PLAN!$B$3:$B$312,E625,BD_PLAN!$C$3:$C$312,INDEX(BD_CICLO!$F$3:$F$54,MATCH(E625&amp;"|"&amp;H625,BD_CICLO!$G$3:$G$54,0))),""))</f>
        <v/>
      </c>
      <c r="L625" s="9"/>
      <c r="M625" s="9"/>
      <c r="N625" s="1" t="str">
        <f aca="false">IF(C625="","",C625&amp;"|"&amp;COUNTIF(C$3:C625,C625))</f>
        <v/>
      </c>
      <c r="O625" s="1" t="str">
        <f aca="false">IF(OR(C625="",M625=""),"",C625&amp;"|"&amp;COUNTIFS(C$3:C625,C625,M$3:M625,"&lt;&gt;"))</f>
        <v/>
      </c>
    </row>
    <row r="626" customFormat="false" ht="15" hidden="false" customHeight="false" outlineLevel="0" collapsed="false">
      <c r="B626" s="7"/>
      <c r="C626" s="5"/>
      <c r="D626" s="9" t="str">
        <f aca="false">IF(C626="","",IFERROR(VLOOKUP(C626,EQUIPOS!$B$3:$C$18,2,0),"NO EXISTE"))</f>
        <v/>
      </c>
      <c r="E626" s="9" t="str">
        <f aca="false">IF(C626="","",IFERROR(VLOOKUP(C626,EQUIPOS!$B$3:$F$18,5,0),""))</f>
        <v/>
      </c>
      <c r="F626" s="5" t="str">
        <f aca="false">IF(C626="","",IFERROR(VLOOKUP(C626,EQUIPOS!$B$3:$G$18,6,0),""))</f>
        <v/>
      </c>
      <c r="G626" s="8"/>
      <c r="H626" s="5"/>
      <c r="I626" s="5"/>
      <c r="J626" s="9"/>
      <c r="K626" s="17" t="str">
        <f aca="false">IF(H626="","",IFERROR(SUMIFS(BD_PLAN!$I$3:$I$312,BD_PLAN!$B$3:$B$312,E626,BD_PLAN!$C$3:$C$312,INDEX(BD_CICLO!$F$3:$F$54,MATCH(E626&amp;"|"&amp;H626,BD_CICLO!$G$3:$G$54,0))),""))</f>
        <v/>
      </c>
      <c r="L626" s="9"/>
      <c r="M626" s="9"/>
      <c r="N626" s="1" t="str">
        <f aca="false">IF(C626="","",C626&amp;"|"&amp;COUNTIF(C$3:C626,C626))</f>
        <v/>
      </c>
      <c r="O626" s="1" t="str">
        <f aca="false">IF(OR(C626="",M626=""),"",C626&amp;"|"&amp;COUNTIFS(C$3:C626,C626,M$3:M626,"&lt;&gt;"))</f>
        <v/>
      </c>
    </row>
    <row r="627" customFormat="false" ht="15" hidden="false" customHeight="false" outlineLevel="0" collapsed="false">
      <c r="B627" s="7"/>
      <c r="C627" s="5"/>
      <c r="D627" s="9" t="str">
        <f aca="false">IF(C627="","",IFERROR(VLOOKUP(C627,EQUIPOS!$B$3:$C$18,2,0),"NO EXISTE"))</f>
        <v/>
      </c>
      <c r="E627" s="9" t="str">
        <f aca="false">IF(C627="","",IFERROR(VLOOKUP(C627,EQUIPOS!$B$3:$F$18,5,0),""))</f>
        <v/>
      </c>
      <c r="F627" s="5" t="str">
        <f aca="false">IF(C627="","",IFERROR(VLOOKUP(C627,EQUIPOS!$B$3:$G$18,6,0),""))</f>
        <v/>
      </c>
      <c r="G627" s="8"/>
      <c r="H627" s="5"/>
      <c r="I627" s="5"/>
      <c r="J627" s="9"/>
      <c r="K627" s="17" t="str">
        <f aca="false">IF(H627="","",IFERROR(SUMIFS(BD_PLAN!$I$3:$I$312,BD_PLAN!$B$3:$B$312,E627,BD_PLAN!$C$3:$C$312,INDEX(BD_CICLO!$F$3:$F$54,MATCH(E627&amp;"|"&amp;H627,BD_CICLO!$G$3:$G$54,0))),""))</f>
        <v/>
      </c>
      <c r="L627" s="9"/>
      <c r="M627" s="9"/>
      <c r="N627" s="1" t="str">
        <f aca="false">IF(C627="","",C627&amp;"|"&amp;COUNTIF(C$3:C627,C627))</f>
        <v/>
      </c>
      <c r="O627" s="1" t="str">
        <f aca="false">IF(OR(C627="",M627=""),"",C627&amp;"|"&amp;COUNTIFS(C$3:C627,C627,M$3:M627,"&lt;&gt;"))</f>
        <v/>
      </c>
    </row>
    <row r="628" customFormat="false" ht="15" hidden="false" customHeight="false" outlineLevel="0" collapsed="false">
      <c r="B628" s="7"/>
      <c r="C628" s="5"/>
      <c r="D628" s="9" t="str">
        <f aca="false">IF(C628="","",IFERROR(VLOOKUP(C628,EQUIPOS!$B$3:$C$18,2,0),"NO EXISTE"))</f>
        <v/>
      </c>
      <c r="E628" s="9" t="str">
        <f aca="false">IF(C628="","",IFERROR(VLOOKUP(C628,EQUIPOS!$B$3:$F$18,5,0),""))</f>
        <v/>
      </c>
      <c r="F628" s="5" t="str">
        <f aca="false">IF(C628="","",IFERROR(VLOOKUP(C628,EQUIPOS!$B$3:$G$18,6,0),""))</f>
        <v/>
      </c>
      <c r="G628" s="8"/>
      <c r="H628" s="5"/>
      <c r="I628" s="5"/>
      <c r="J628" s="9"/>
      <c r="K628" s="17" t="str">
        <f aca="false">IF(H628="","",IFERROR(SUMIFS(BD_PLAN!$I$3:$I$312,BD_PLAN!$B$3:$B$312,E628,BD_PLAN!$C$3:$C$312,INDEX(BD_CICLO!$F$3:$F$54,MATCH(E628&amp;"|"&amp;H628,BD_CICLO!$G$3:$G$54,0))),""))</f>
        <v/>
      </c>
      <c r="L628" s="9"/>
      <c r="M628" s="9"/>
      <c r="N628" s="1" t="str">
        <f aca="false">IF(C628="","",C628&amp;"|"&amp;COUNTIF(C$3:C628,C628))</f>
        <v/>
      </c>
      <c r="O628" s="1" t="str">
        <f aca="false">IF(OR(C628="",M628=""),"",C628&amp;"|"&amp;COUNTIFS(C$3:C628,C628,M$3:M628,"&lt;&gt;"))</f>
        <v/>
      </c>
    </row>
    <row r="629" customFormat="false" ht="15" hidden="false" customHeight="false" outlineLevel="0" collapsed="false">
      <c r="B629" s="7"/>
      <c r="C629" s="5"/>
      <c r="D629" s="9" t="str">
        <f aca="false">IF(C629="","",IFERROR(VLOOKUP(C629,EQUIPOS!$B$3:$C$18,2,0),"NO EXISTE"))</f>
        <v/>
      </c>
      <c r="E629" s="9" t="str">
        <f aca="false">IF(C629="","",IFERROR(VLOOKUP(C629,EQUIPOS!$B$3:$F$18,5,0),""))</f>
        <v/>
      </c>
      <c r="F629" s="5" t="str">
        <f aca="false">IF(C629="","",IFERROR(VLOOKUP(C629,EQUIPOS!$B$3:$G$18,6,0),""))</f>
        <v/>
      </c>
      <c r="G629" s="8"/>
      <c r="H629" s="5"/>
      <c r="I629" s="5"/>
      <c r="J629" s="9"/>
      <c r="K629" s="17" t="str">
        <f aca="false">IF(H629="","",IFERROR(SUMIFS(BD_PLAN!$I$3:$I$312,BD_PLAN!$B$3:$B$312,E629,BD_PLAN!$C$3:$C$312,INDEX(BD_CICLO!$F$3:$F$54,MATCH(E629&amp;"|"&amp;H629,BD_CICLO!$G$3:$G$54,0))),""))</f>
        <v/>
      </c>
      <c r="L629" s="9"/>
      <c r="M629" s="9"/>
      <c r="N629" s="1" t="str">
        <f aca="false">IF(C629="","",C629&amp;"|"&amp;COUNTIF(C$3:C629,C629))</f>
        <v/>
      </c>
      <c r="O629" s="1" t="str">
        <f aca="false">IF(OR(C629="",M629=""),"",C629&amp;"|"&amp;COUNTIFS(C$3:C629,C629,M$3:M629,"&lt;&gt;"))</f>
        <v/>
      </c>
    </row>
    <row r="630" customFormat="false" ht="15" hidden="false" customHeight="false" outlineLevel="0" collapsed="false">
      <c r="B630" s="7"/>
      <c r="C630" s="5"/>
      <c r="D630" s="9" t="str">
        <f aca="false">IF(C630="","",IFERROR(VLOOKUP(C630,EQUIPOS!$B$3:$C$18,2,0),"NO EXISTE"))</f>
        <v/>
      </c>
      <c r="E630" s="9" t="str">
        <f aca="false">IF(C630="","",IFERROR(VLOOKUP(C630,EQUIPOS!$B$3:$F$18,5,0),""))</f>
        <v/>
      </c>
      <c r="F630" s="5" t="str">
        <f aca="false">IF(C630="","",IFERROR(VLOOKUP(C630,EQUIPOS!$B$3:$G$18,6,0),""))</f>
        <v/>
      </c>
      <c r="G630" s="8"/>
      <c r="H630" s="5"/>
      <c r="I630" s="5"/>
      <c r="J630" s="9"/>
      <c r="K630" s="17" t="str">
        <f aca="false">IF(H630="","",IFERROR(SUMIFS(BD_PLAN!$I$3:$I$312,BD_PLAN!$B$3:$B$312,E630,BD_PLAN!$C$3:$C$312,INDEX(BD_CICLO!$F$3:$F$54,MATCH(E630&amp;"|"&amp;H630,BD_CICLO!$G$3:$G$54,0))),""))</f>
        <v/>
      </c>
      <c r="L630" s="9"/>
      <c r="M630" s="9"/>
      <c r="N630" s="1" t="str">
        <f aca="false">IF(C630="","",C630&amp;"|"&amp;COUNTIF(C$3:C630,C630))</f>
        <v/>
      </c>
      <c r="O630" s="1" t="str">
        <f aca="false">IF(OR(C630="",M630=""),"",C630&amp;"|"&amp;COUNTIFS(C$3:C630,C630,M$3:M630,"&lt;&gt;"))</f>
        <v/>
      </c>
    </row>
    <row r="631" customFormat="false" ht="15" hidden="false" customHeight="false" outlineLevel="0" collapsed="false">
      <c r="B631" s="7"/>
      <c r="C631" s="5"/>
      <c r="D631" s="9" t="str">
        <f aca="false">IF(C631="","",IFERROR(VLOOKUP(C631,EQUIPOS!$B$3:$C$18,2,0),"NO EXISTE"))</f>
        <v/>
      </c>
      <c r="E631" s="9" t="str">
        <f aca="false">IF(C631="","",IFERROR(VLOOKUP(C631,EQUIPOS!$B$3:$F$18,5,0),""))</f>
        <v/>
      </c>
      <c r="F631" s="5" t="str">
        <f aca="false">IF(C631="","",IFERROR(VLOOKUP(C631,EQUIPOS!$B$3:$G$18,6,0),""))</f>
        <v/>
      </c>
      <c r="G631" s="8"/>
      <c r="H631" s="5"/>
      <c r="I631" s="5"/>
      <c r="J631" s="9"/>
      <c r="K631" s="17" t="str">
        <f aca="false">IF(H631="","",IFERROR(SUMIFS(BD_PLAN!$I$3:$I$312,BD_PLAN!$B$3:$B$312,E631,BD_PLAN!$C$3:$C$312,INDEX(BD_CICLO!$F$3:$F$54,MATCH(E631&amp;"|"&amp;H631,BD_CICLO!$G$3:$G$54,0))),""))</f>
        <v/>
      </c>
      <c r="L631" s="9"/>
      <c r="M631" s="9"/>
      <c r="N631" s="1" t="str">
        <f aca="false">IF(C631="","",C631&amp;"|"&amp;COUNTIF(C$3:C631,C631))</f>
        <v/>
      </c>
      <c r="O631" s="1" t="str">
        <f aca="false">IF(OR(C631="",M631=""),"",C631&amp;"|"&amp;COUNTIFS(C$3:C631,C631,M$3:M631,"&lt;&gt;"))</f>
        <v/>
      </c>
    </row>
    <row r="632" customFormat="false" ht="15" hidden="false" customHeight="false" outlineLevel="0" collapsed="false">
      <c r="B632" s="7"/>
      <c r="C632" s="5"/>
      <c r="D632" s="9" t="str">
        <f aca="false">IF(C632="","",IFERROR(VLOOKUP(C632,EQUIPOS!$B$3:$C$18,2,0),"NO EXISTE"))</f>
        <v/>
      </c>
      <c r="E632" s="9" t="str">
        <f aca="false">IF(C632="","",IFERROR(VLOOKUP(C632,EQUIPOS!$B$3:$F$18,5,0),""))</f>
        <v/>
      </c>
      <c r="F632" s="5" t="str">
        <f aca="false">IF(C632="","",IFERROR(VLOOKUP(C632,EQUIPOS!$B$3:$G$18,6,0),""))</f>
        <v/>
      </c>
      <c r="G632" s="8"/>
      <c r="H632" s="5"/>
      <c r="I632" s="5"/>
      <c r="J632" s="9"/>
      <c r="K632" s="17" t="str">
        <f aca="false">IF(H632="","",IFERROR(SUMIFS(BD_PLAN!$I$3:$I$312,BD_PLAN!$B$3:$B$312,E632,BD_PLAN!$C$3:$C$312,INDEX(BD_CICLO!$F$3:$F$54,MATCH(E632&amp;"|"&amp;H632,BD_CICLO!$G$3:$G$54,0))),""))</f>
        <v/>
      </c>
      <c r="L632" s="9"/>
      <c r="M632" s="9"/>
      <c r="N632" s="1" t="str">
        <f aca="false">IF(C632="","",C632&amp;"|"&amp;COUNTIF(C$3:C632,C632))</f>
        <v/>
      </c>
      <c r="O632" s="1" t="str">
        <f aca="false">IF(OR(C632="",M632=""),"",C632&amp;"|"&amp;COUNTIFS(C$3:C632,C632,M$3:M632,"&lt;&gt;"))</f>
        <v/>
      </c>
    </row>
    <row r="633" customFormat="false" ht="15" hidden="false" customHeight="false" outlineLevel="0" collapsed="false">
      <c r="B633" s="7"/>
      <c r="C633" s="5"/>
      <c r="D633" s="9" t="str">
        <f aca="false">IF(C633="","",IFERROR(VLOOKUP(C633,EQUIPOS!$B$3:$C$18,2,0),"NO EXISTE"))</f>
        <v/>
      </c>
      <c r="E633" s="9" t="str">
        <f aca="false">IF(C633="","",IFERROR(VLOOKUP(C633,EQUIPOS!$B$3:$F$18,5,0),""))</f>
        <v/>
      </c>
      <c r="F633" s="5" t="str">
        <f aca="false">IF(C633="","",IFERROR(VLOOKUP(C633,EQUIPOS!$B$3:$G$18,6,0),""))</f>
        <v/>
      </c>
      <c r="G633" s="8"/>
      <c r="H633" s="5"/>
      <c r="I633" s="5"/>
      <c r="J633" s="9"/>
      <c r="K633" s="17" t="str">
        <f aca="false">IF(H633="","",IFERROR(SUMIFS(BD_PLAN!$I$3:$I$312,BD_PLAN!$B$3:$B$312,E633,BD_PLAN!$C$3:$C$312,INDEX(BD_CICLO!$F$3:$F$54,MATCH(E633&amp;"|"&amp;H633,BD_CICLO!$G$3:$G$54,0))),""))</f>
        <v/>
      </c>
      <c r="L633" s="9"/>
      <c r="M633" s="9"/>
      <c r="N633" s="1" t="str">
        <f aca="false">IF(C633="","",C633&amp;"|"&amp;COUNTIF(C$3:C633,C633))</f>
        <v/>
      </c>
      <c r="O633" s="1" t="str">
        <f aca="false">IF(OR(C633="",M633=""),"",C633&amp;"|"&amp;COUNTIFS(C$3:C633,C633,M$3:M633,"&lt;&gt;"))</f>
        <v/>
      </c>
    </row>
    <row r="634" customFormat="false" ht="15" hidden="false" customHeight="false" outlineLevel="0" collapsed="false">
      <c r="B634" s="7"/>
      <c r="C634" s="5"/>
      <c r="D634" s="9" t="str">
        <f aca="false">IF(C634="","",IFERROR(VLOOKUP(C634,EQUIPOS!$B$3:$C$18,2,0),"NO EXISTE"))</f>
        <v/>
      </c>
      <c r="E634" s="9" t="str">
        <f aca="false">IF(C634="","",IFERROR(VLOOKUP(C634,EQUIPOS!$B$3:$F$18,5,0),""))</f>
        <v/>
      </c>
      <c r="F634" s="5" t="str">
        <f aca="false">IF(C634="","",IFERROR(VLOOKUP(C634,EQUIPOS!$B$3:$G$18,6,0),""))</f>
        <v/>
      </c>
      <c r="G634" s="8"/>
      <c r="H634" s="5"/>
      <c r="I634" s="5"/>
      <c r="J634" s="9"/>
      <c r="K634" s="17" t="str">
        <f aca="false">IF(H634="","",IFERROR(SUMIFS(BD_PLAN!$I$3:$I$312,BD_PLAN!$B$3:$B$312,E634,BD_PLAN!$C$3:$C$312,INDEX(BD_CICLO!$F$3:$F$54,MATCH(E634&amp;"|"&amp;H634,BD_CICLO!$G$3:$G$54,0))),""))</f>
        <v/>
      </c>
      <c r="L634" s="9"/>
      <c r="M634" s="9"/>
      <c r="N634" s="1" t="str">
        <f aca="false">IF(C634="","",C634&amp;"|"&amp;COUNTIF(C$3:C634,C634))</f>
        <v/>
      </c>
      <c r="O634" s="1" t="str">
        <f aca="false">IF(OR(C634="",M634=""),"",C634&amp;"|"&amp;COUNTIFS(C$3:C634,C634,M$3:M634,"&lt;&gt;"))</f>
        <v/>
      </c>
    </row>
    <row r="635" customFormat="false" ht="15" hidden="false" customHeight="false" outlineLevel="0" collapsed="false">
      <c r="B635" s="7"/>
      <c r="C635" s="5"/>
      <c r="D635" s="9" t="str">
        <f aca="false">IF(C635="","",IFERROR(VLOOKUP(C635,EQUIPOS!$B$3:$C$18,2,0),"NO EXISTE"))</f>
        <v/>
      </c>
      <c r="E635" s="9" t="str">
        <f aca="false">IF(C635="","",IFERROR(VLOOKUP(C635,EQUIPOS!$B$3:$F$18,5,0),""))</f>
        <v/>
      </c>
      <c r="F635" s="5" t="str">
        <f aca="false">IF(C635="","",IFERROR(VLOOKUP(C635,EQUIPOS!$B$3:$G$18,6,0),""))</f>
        <v/>
      </c>
      <c r="G635" s="8"/>
      <c r="H635" s="5"/>
      <c r="I635" s="5"/>
      <c r="J635" s="9"/>
      <c r="K635" s="17" t="str">
        <f aca="false">IF(H635="","",IFERROR(SUMIFS(BD_PLAN!$I$3:$I$312,BD_PLAN!$B$3:$B$312,E635,BD_PLAN!$C$3:$C$312,INDEX(BD_CICLO!$F$3:$F$54,MATCH(E635&amp;"|"&amp;H635,BD_CICLO!$G$3:$G$54,0))),""))</f>
        <v/>
      </c>
      <c r="L635" s="9"/>
      <c r="M635" s="9"/>
      <c r="N635" s="1" t="str">
        <f aca="false">IF(C635="","",C635&amp;"|"&amp;COUNTIF(C$3:C635,C635))</f>
        <v/>
      </c>
      <c r="O635" s="1" t="str">
        <f aca="false">IF(OR(C635="",M635=""),"",C635&amp;"|"&amp;COUNTIFS(C$3:C635,C635,M$3:M635,"&lt;&gt;"))</f>
        <v/>
      </c>
    </row>
    <row r="636" customFormat="false" ht="15" hidden="false" customHeight="false" outlineLevel="0" collapsed="false">
      <c r="B636" s="7"/>
      <c r="C636" s="5"/>
      <c r="D636" s="9" t="str">
        <f aca="false">IF(C636="","",IFERROR(VLOOKUP(C636,EQUIPOS!$B$3:$C$18,2,0),"NO EXISTE"))</f>
        <v/>
      </c>
      <c r="E636" s="9" t="str">
        <f aca="false">IF(C636="","",IFERROR(VLOOKUP(C636,EQUIPOS!$B$3:$F$18,5,0),""))</f>
        <v/>
      </c>
      <c r="F636" s="5" t="str">
        <f aca="false">IF(C636="","",IFERROR(VLOOKUP(C636,EQUIPOS!$B$3:$G$18,6,0),""))</f>
        <v/>
      </c>
      <c r="G636" s="8"/>
      <c r="H636" s="5"/>
      <c r="I636" s="5"/>
      <c r="J636" s="9"/>
      <c r="K636" s="17" t="str">
        <f aca="false">IF(H636="","",IFERROR(SUMIFS(BD_PLAN!$I$3:$I$312,BD_PLAN!$B$3:$B$312,E636,BD_PLAN!$C$3:$C$312,INDEX(BD_CICLO!$F$3:$F$54,MATCH(E636&amp;"|"&amp;H636,BD_CICLO!$G$3:$G$54,0))),""))</f>
        <v/>
      </c>
      <c r="L636" s="9"/>
      <c r="M636" s="9"/>
      <c r="N636" s="1" t="str">
        <f aca="false">IF(C636="","",C636&amp;"|"&amp;COUNTIF(C$3:C636,C636))</f>
        <v/>
      </c>
      <c r="O636" s="1" t="str">
        <f aca="false">IF(OR(C636="",M636=""),"",C636&amp;"|"&amp;COUNTIFS(C$3:C636,C636,M$3:M636,"&lt;&gt;"))</f>
        <v/>
      </c>
    </row>
    <row r="637" customFormat="false" ht="15" hidden="false" customHeight="false" outlineLevel="0" collapsed="false">
      <c r="B637" s="7"/>
      <c r="C637" s="5"/>
      <c r="D637" s="9" t="str">
        <f aca="false">IF(C637="","",IFERROR(VLOOKUP(C637,EQUIPOS!$B$3:$C$18,2,0),"NO EXISTE"))</f>
        <v/>
      </c>
      <c r="E637" s="9" t="str">
        <f aca="false">IF(C637="","",IFERROR(VLOOKUP(C637,EQUIPOS!$B$3:$F$18,5,0),""))</f>
        <v/>
      </c>
      <c r="F637" s="5" t="str">
        <f aca="false">IF(C637="","",IFERROR(VLOOKUP(C637,EQUIPOS!$B$3:$G$18,6,0),""))</f>
        <v/>
      </c>
      <c r="G637" s="8"/>
      <c r="H637" s="5"/>
      <c r="I637" s="5"/>
      <c r="J637" s="9"/>
      <c r="K637" s="17" t="str">
        <f aca="false">IF(H637="","",IFERROR(SUMIFS(BD_PLAN!$I$3:$I$312,BD_PLAN!$B$3:$B$312,E637,BD_PLAN!$C$3:$C$312,INDEX(BD_CICLO!$F$3:$F$54,MATCH(E637&amp;"|"&amp;H637,BD_CICLO!$G$3:$G$54,0))),""))</f>
        <v/>
      </c>
      <c r="L637" s="9"/>
      <c r="M637" s="9"/>
      <c r="N637" s="1" t="str">
        <f aca="false">IF(C637="","",C637&amp;"|"&amp;COUNTIF(C$3:C637,C637))</f>
        <v/>
      </c>
      <c r="O637" s="1" t="str">
        <f aca="false">IF(OR(C637="",M637=""),"",C637&amp;"|"&amp;COUNTIFS(C$3:C637,C637,M$3:M637,"&lt;&gt;"))</f>
        <v/>
      </c>
    </row>
    <row r="638" customFormat="false" ht="15" hidden="false" customHeight="false" outlineLevel="0" collapsed="false">
      <c r="B638" s="7"/>
      <c r="C638" s="5"/>
      <c r="D638" s="9" t="str">
        <f aca="false">IF(C638="","",IFERROR(VLOOKUP(C638,EQUIPOS!$B$3:$C$18,2,0),"NO EXISTE"))</f>
        <v/>
      </c>
      <c r="E638" s="9" t="str">
        <f aca="false">IF(C638="","",IFERROR(VLOOKUP(C638,EQUIPOS!$B$3:$F$18,5,0),""))</f>
        <v/>
      </c>
      <c r="F638" s="5" t="str">
        <f aca="false">IF(C638="","",IFERROR(VLOOKUP(C638,EQUIPOS!$B$3:$G$18,6,0),""))</f>
        <v/>
      </c>
      <c r="G638" s="8"/>
      <c r="H638" s="5"/>
      <c r="I638" s="5"/>
      <c r="J638" s="9"/>
      <c r="K638" s="17" t="str">
        <f aca="false">IF(H638="","",IFERROR(SUMIFS(BD_PLAN!$I$3:$I$312,BD_PLAN!$B$3:$B$312,E638,BD_PLAN!$C$3:$C$312,INDEX(BD_CICLO!$F$3:$F$54,MATCH(E638&amp;"|"&amp;H638,BD_CICLO!$G$3:$G$54,0))),""))</f>
        <v/>
      </c>
      <c r="L638" s="9"/>
      <c r="M638" s="9"/>
      <c r="N638" s="1" t="str">
        <f aca="false">IF(C638="","",C638&amp;"|"&amp;COUNTIF(C$3:C638,C638))</f>
        <v/>
      </c>
      <c r="O638" s="1" t="str">
        <f aca="false">IF(OR(C638="",M638=""),"",C638&amp;"|"&amp;COUNTIFS(C$3:C638,C638,M$3:M638,"&lt;&gt;"))</f>
        <v/>
      </c>
    </row>
    <row r="639" customFormat="false" ht="15" hidden="false" customHeight="false" outlineLevel="0" collapsed="false">
      <c r="B639" s="7"/>
      <c r="C639" s="5"/>
      <c r="D639" s="9" t="str">
        <f aca="false">IF(C639="","",IFERROR(VLOOKUP(C639,EQUIPOS!$B$3:$C$18,2,0),"NO EXISTE"))</f>
        <v/>
      </c>
      <c r="E639" s="9" t="str">
        <f aca="false">IF(C639="","",IFERROR(VLOOKUP(C639,EQUIPOS!$B$3:$F$18,5,0),""))</f>
        <v/>
      </c>
      <c r="F639" s="5" t="str">
        <f aca="false">IF(C639="","",IFERROR(VLOOKUP(C639,EQUIPOS!$B$3:$G$18,6,0),""))</f>
        <v/>
      </c>
      <c r="G639" s="8"/>
      <c r="H639" s="5"/>
      <c r="I639" s="5"/>
      <c r="J639" s="9"/>
      <c r="K639" s="17" t="str">
        <f aca="false">IF(H639="","",IFERROR(SUMIFS(BD_PLAN!$I$3:$I$312,BD_PLAN!$B$3:$B$312,E639,BD_PLAN!$C$3:$C$312,INDEX(BD_CICLO!$F$3:$F$54,MATCH(E639&amp;"|"&amp;H639,BD_CICLO!$G$3:$G$54,0))),""))</f>
        <v/>
      </c>
      <c r="L639" s="9"/>
      <c r="M639" s="9"/>
      <c r="N639" s="1" t="str">
        <f aca="false">IF(C639="","",C639&amp;"|"&amp;COUNTIF(C$3:C639,C639))</f>
        <v/>
      </c>
      <c r="O639" s="1" t="str">
        <f aca="false">IF(OR(C639="",M639=""),"",C639&amp;"|"&amp;COUNTIFS(C$3:C639,C639,M$3:M639,"&lt;&gt;"))</f>
        <v/>
      </c>
    </row>
    <row r="640" customFormat="false" ht="15" hidden="false" customHeight="false" outlineLevel="0" collapsed="false">
      <c r="B640" s="7"/>
      <c r="C640" s="5"/>
      <c r="D640" s="9" t="str">
        <f aca="false">IF(C640="","",IFERROR(VLOOKUP(C640,EQUIPOS!$B$3:$C$18,2,0),"NO EXISTE"))</f>
        <v/>
      </c>
      <c r="E640" s="9" t="str">
        <f aca="false">IF(C640="","",IFERROR(VLOOKUP(C640,EQUIPOS!$B$3:$F$18,5,0),""))</f>
        <v/>
      </c>
      <c r="F640" s="5" t="str">
        <f aca="false">IF(C640="","",IFERROR(VLOOKUP(C640,EQUIPOS!$B$3:$G$18,6,0),""))</f>
        <v/>
      </c>
      <c r="G640" s="8"/>
      <c r="H640" s="5"/>
      <c r="I640" s="5"/>
      <c r="J640" s="9"/>
      <c r="K640" s="17" t="str">
        <f aca="false">IF(H640="","",IFERROR(SUMIFS(BD_PLAN!$I$3:$I$312,BD_PLAN!$B$3:$B$312,E640,BD_PLAN!$C$3:$C$312,INDEX(BD_CICLO!$F$3:$F$54,MATCH(E640&amp;"|"&amp;H640,BD_CICLO!$G$3:$G$54,0))),""))</f>
        <v/>
      </c>
      <c r="L640" s="9"/>
      <c r="M640" s="9"/>
      <c r="N640" s="1" t="str">
        <f aca="false">IF(C640="","",C640&amp;"|"&amp;COUNTIF(C$3:C640,C640))</f>
        <v/>
      </c>
      <c r="O640" s="1" t="str">
        <f aca="false">IF(OR(C640="",M640=""),"",C640&amp;"|"&amp;COUNTIFS(C$3:C640,C640,M$3:M640,"&lt;&gt;"))</f>
        <v/>
      </c>
    </row>
    <row r="641" customFormat="false" ht="15" hidden="false" customHeight="false" outlineLevel="0" collapsed="false">
      <c r="B641" s="7"/>
      <c r="C641" s="5"/>
      <c r="D641" s="9" t="str">
        <f aca="false">IF(C641="","",IFERROR(VLOOKUP(C641,EQUIPOS!$B$3:$C$18,2,0),"NO EXISTE"))</f>
        <v/>
      </c>
      <c r="E641" s="9" t="str">
        <f aca="false">IF(C641="","",IFERROR(VLOOKUP(C641,EQUIPOS!$B$3:$F$18,5,0),""))</f>
        <v/>
      </c>
      <c r="F641" s="5" t="str">
        <f aca="false">IF(C641="","",IFERROR(VLOOKUP(C641,EQUIPOS!$B$3:$G$18,6,0),""))</f>
        <v/>
      </c>
      <c r="G641" s="8"/>
      <c r="H641" s="5"/>
      <c r="I641" s="5"/>
      <c r="J641" s="9"/>
      <c r="K641" s="17" t="str">
        <f aca="false">IF(H641="","",IFERROR(SUMIFS(BD_PLAN!$I$3:$I$312,BD_PLAN!$B$3:$B$312,E641,BD_PLAN!$C$3:$C$312,INDEX(BD_CICLO!$F$3:$F$54,MATCH(E641&amp;"|"&amp;H641,BD_CICLO!$G$3:$G$54,0))),""))</f>
        <v/>
      </c>
      <c r="L641" s="9"/>
      <c r="M641" s="9"/>
      <c r="N641" s="1" t="str">
        <f aca="false">IF(C641="","",C641&amp;"|"&amp;COUNTIF(C$3:C641,C641))</f>
        <v/>
      </c>
      <c r="O641" s="1" t="str">
        <f aca="false">IF(OR(C641="",M641=""),"",C641&amp;"|"&amp;COUNTIFS(C$3:C641,C641,M$3:M641,"&lt;&gt;"))</f>
        <v/>
      </c>
    </row>
    <row r="642" customFormat="false" ht="15" hidden="false" customHeight="false" outlineLevel="0" collapsed="false">
      <c r="B642" s="7"/>
      <c r="C642" s="5"/>
      <c r="D642" s="9" t="str">
        <f aca="false">IF(C642="","",IFERROR(VLOOKUP(C642,EQUIPOS!$B$3:$C$18,2,0),"NO EXISTE"))</f>
        <v/>
      </c>
      <c r="E642" s="9" t="str">
        <f aca="false">IF(C642="","",IFERROR(VLOOKUP(C642,EQUIPOS!$B$3:$F$18,5,0),""))</f>
        <v/>
      </c>
      <c r="F642" s="5" t="str">
        <f aca="false">IF(C642="","",IFERROR(VLOOKUP(C642,EQUIPOS!$B$3:$G$18,6,0),""))</f>
        <v/>
      </c>
      <c r="G642" s="8"/>
      <c r="H642" s="5"/>
      <c r="I642" s="5"/>
      <c r="J642" s="9"/>
      <c r="K642" s="17" t="str">
        <f aca="false">IF(H642="","",IFERROR(SUMIFS(BD_PLAN!$I$3:$I$312,BD_PLAN!$B$3:$B$312,E642,BD_PLAN!$C$3:$C$312,INDEX(BD_CICLO!$F$3:$F$54,MATCH(E642&amp;"|"&amp;H642,BD_CICLO!$G$3:$G$54,0))),""))</f>
        <v/>
      </c>
      <c r="L642" s="9"/>
      <c r="M642" s="9"/>
      <c r="N642" s="1" t="str">
        <f aca="false">IF(C642="","",C642&amp;"|"&amp;COUNTIF(C$3:C642,C642))</f>
        <v/>
      </c>
      <c r="O642" s="1" t="str">
        <f aca="false">IF(OR(C642="",M642=""),"",C642&amp;"|"&amp;COUNTIFS(C$3:C642,C642,M$3:M642,"&lt;&gt;"))</f>
        <v/>
      </c>
    </row>
    <row r="643" customFormat="false" ht="15" hidden="false" customHeight="false" outlineLevel="0" collapsed="false">
      <c r="B643" s="7"/>
      <c r="C643" s="5"/>
      <c r="D643" s="9" t="str">
        <f aca="false">IF(C643="","",IFERROR(VLOOKUP(C643,EQUIPOS!$B$3:$C$18,2,0),"NO EXISTE"))</f>
        <v/>
      </c>
      <c r="E643" s="9" t="str">
        <f aca="false">IF(C643="","",IFERROR(VLOOKUP(C643,EQUIPOS!$B$3:$F$18,5,0),""))</f>
        <v/>
      </c>
      <c r="F643" s="5" t="str">
        <f aca="false">IF(C643="","",IFERROR(VLOOKUP(C643,EQUIPOS!$B$3:$G$18,6,0),""))</f>
        <v/>
      </c>
      <c r="G643" s="8"/>
      <c r="H643" s="5"/>
      <c r="I643" s="5"/>
      <c r="J643" s="9"/>
      <c r="K643" s="17" t="str">
        <f aca="false">IF(H643="","",IFERROR(SUMIFS(BD_PLAN!$I$3:$I$312,BD_PLAN!$B$3:$B$312,E643,BD_PLAN!$C$3:$C$312,INDEX(BD_CICLO!$F$3:$F$54,MATCH(E643&amp;"|"&amp;H643,BD_CICLO!$G$3:$G$54,0))),""))</f>
        <v/>
      </c>
      <c r="L643" s="9"/>
      <c r="M643" s="9"/>
      <c r="N643" s="1" t="str">
        <f aca="false">IF(C643="","",C643&amp;"|"&amp;COUNTIF(C$3:C643,C643))</f>
        <v/>
      </c>
      <c r="O643" s="1" t="str">
        <f aca="false">IF(OR(C643="",M643=""),"",C643&amp;"|"&amp;COUNTIFS(C$3:C643,C643,M$3:M643,"&lt;&gt;"))</f>
        <v/>
      </c>
    </row>
    <row r="644" customFormat="false" ht="15" hidden="false" customHeight="false" outlineLevel="0" collapsed="false">
      <c r="B644" s="7"/>
      <c r="C644" s="5"/>
      <c r="D644" s="9" t="str">
        <f aca="false">IF(C644="","",IFERROR(VLOOKUP(C644,EQUIPOS!$B$3:$C$18,2,0),"NO EXISTE"))</f>
        <v/>
      </c>
      <c r="E644" s="9" t="str">
        <f aca="false">IF(C644="","",IFERROR(VLOOKUP(C644,EQUIPOS!$B$3:$F$18,5,0),""))</f>
        <v/>
      </c>
      <c r="F644" s="5" t="str">
        <f aca="false">IF(C644="","",IFERROR(VLOOKUP(C644,EQUIPOS!$B$3:$G$18,6,0),""))</f>
        <v/>
      </c>
      <c r="G644" s="8"/>
      <c r="H644" s="5"/>
      <c r="I644" s="5"/>
      <c r="J644" s="9"/>
      <c r="K644" s="17" t="str">
        <f aca="false">IF(H644="","",IFERROR(SUMIFS(BD_PLAN!$I$3:$I$312,BD_PLAN!$B$3:$B$312,E644,BD_PLAN!$C$3:$C$312,INDEX(BD_CICLO!$F$3:$F$54,MATCH(E644&amp;"|"&amp;H644,BD_CICLO!$G$3:$G$54,0))),""))</f>
        <v/>
      </c>
      <c r="L644" s="9"/>
      <c r="M644" s="9"/>
      <c r="N644" s="1" t="str">
        <f aca="false">IF(C644="","",C644&amp;"|"&amp;COUNTIF(C$3:C644,C644))</f>
        <v/>
      </c>
      <c r="O644" s="1" t="str">
        <f aca="false">IF(OR(C644="",M644=""),"",C644&amp;"|"&amp;COUNTIFS(C$3:C644,C644,M$3:M644,"&lt;&gt;"))</f>
        <v/>
      </c>
    </row>
    <row r="645" customFormat="false" ht="15" hidden="false" customHeight="false" outlineLevel="0" collapsed="false">
      <c r="B645" s="7"/>
      <c r="C645" s="5"/>
      <c r="D645" s="9" t="str">
        <f aca="false">IF(C645="","",IFERROR(VLOOKUP(C645,EQUIPOS!$B$3:$C$18,2,0),"NO EXISTE"))</f>
        <v/>
      </c>
      <c r="E645" s="9" t="str">
        <f aca="false">IF(C645="","",IFERROR(VLOOKUP(C645,EQUIPOS!$B$3:$F$18,5,0),""))</f>
        <v/>
      </c>
      <c r="F645" s="5" t="str">
        <f aca="false">IF(C645="","",IFERROR(VLOOKUP(C645,EQUIPOS!$B$3:$G$18,6,0),""))</f>
        <v/>
      </c>
      <c r="G645" s="8"/>
      <c r="H645" s="5"/>
      <c r="I645" s="5"/>
      <c r="J645" s="9"/>
      <c r="K645" s="17" t="str">
        <f aca="false">IF(H645="","",IFERROR(SUMIFS(BD_PLAN!$I$3:$I$312,BD_PLAN!$B$3:$B$312,E645,BD_PLAN!$C$3:$C$312,INDEX(BD_CICLO!$F$3:$F$54,MATCH(E645&amp;"|"&amp;H645,BD_CICLO!$G$3:$G$54,0))),""))</f>
        <v/>
      </c>
      <c r="L645" s="9"/>
      <c r="M645" s="9"/>
      <c r="N645" s="1" t="str">
        <f aca="false">IF(C645="","",C645&amp;"|"&amp;COUNTIF(C$3:C645,C645))</f>
        <v/>
      </c>
      <c r="O645" s="1" t="str">
        <f aca="false">IF(OR(C645="",M645=""),"",C645&amp;"|"&amp;COUNTIFS(C$3:C645,C645,M$3:M645,"&lt;&gt;"))</f>
        <v/>
      </c>
    </row>
    <row r="646" customFormat="false" ht="15" hidden="false" customHeight="false" outlineLevel="0" collapsed="false">
      <c r="B646" s="7"/>
      <c r="C646" s="5"/>
      <c r="D646" s="9" t="str">
        <f aca="false">IF(C646="","",IFERROR(VLOOKUP(C646,EQUIPOS!$B$3:$C$18,2,0),"NO EXISTE"))</f>
        <v/>
      </c>
      <c r="E646" s="9" t="str">
        <f aca="false">IF(C646="","",IFERROR(VLOOKUP(C646,EQUIPOS!$B$3:$F$18,5,0),""))</f>
        <v/>
      </c>
      <c r="F646" s="5" t="str">
        <f aca="false">IF(C646="","",IFERROR(VLOOKUP(C646,EQUIPOS!$B$3:$G$18,6,0),""))</f>
        <v/>
      </c>
      <c r="G646" s="8"/>
      <c r="H646" s="5"/>
      <c r="I646" s="5"/>
      <c r="J646" s="9"/>
      <c r="K646" s="17" t="str">
        <f aca="false">IF(H646="","",IFERROR(SUMIFS(BD_PLAN!$I$3:$I$312,BD_PLAN!$B$3:$B$312,E646,BD_PLAN!$C$3:$C$312,INDEX(BD_CICLO!$F$3:$F$54,MATCH(E646&amp;"|"&amp;H646,BD_CICLO!$G$3:$G$54,0))),""))</f>
        <v/>
      </c>
      <c r="L646" s="9"/>
      <c r="M646" s="9"/>
      <c r="N646" s="1" t="str">
        <f aca="false">IF(C646="","",C646&amp;"|"&amp;COUNTIF(C$3:C646,C646))</f>
        <v/>
      </c>
      <c r="O646" s="1" t="str">
        <f aca="false">IF(OR(C646="",M646=""),"",C646&amp;"|"&amp;COUNTIFS(C$3:C646,C646,M$3:M646,"&lt;&gt;"))</f>
        <v/>
      </c>
    </row>
    <row r="647" customFormat="false" ht="15" hidden="false" customHeight="false" outlineLevel="0" collapsed="false">
      <c r="B647" s="7"/>
      <c r="C647" s="5"/>
      <c r="D647" s="9" t="str">
        <f aca="false">IF(C647="","",IFERROR(VLOOKUP(C647,EQUIPOS!$B$3:$C$18,2,0),"NO EXISTE"))</f>
        <v/>
      </c>
      <c r="E647" s="9" t="str">
        <f aca="false">IF(C647="","",IFERROR(VLOOKUP(C647,EQUIPOS!$B$3:$F$18,5,0),""))</f>
        <v/>
      </c>
      <c r="F647" s="5" t="str">
        <f aca="false">IF(C647="","",IFERROR(VLOOKUP(C647,EQUIPOS!$B$3:$G$18,6,0),""))</f>
        <v/>
      </c>
      <c r="G647" s="8"/>
      <c r="H647" s="5"/>
      <c r="I647" s="5"/>
      <c r="J647" s="9"/>
      <c r="K647" s="17" t="str">
        <f aca="false">IF(H647="","",IFERROR(SUMIFS(BD_PLAN!$I$3:$I$312,BD_PLAN!$B$3:$B$312,E647,BD_PLAN!$C$3:$C$312,INDEX(BD_CICLO!$F$3:$F$54,MATCH(E647&amp;"|"&amp;H647,BD_CICLO!$G$3:$G$54,0))),""))</f>
        <v/>
      </c>
      <c r="L647" s="9"/>
      <c r="M647" s="9"/>
      <c r="N647" s="1" t="str">
        <f aca="false">IF(C647="","",C647&amp;"|"&amp;COUNTIF(C$3:C647,C647))</f>
        <v/>
      </c>
      <c r="O647" s="1" t="str">
        <f aca="false">IF(OR(C647="",M647=""),"",C647&amp;"|"&amp;COUNTIFS(C$3:C647,C647,M$3:M647,"&lt;&gt;"))</f>
        <v/>
      </c>
    </row>
    <row r="648" customFormat="false" ht="15" hidden="false" customHeight="false" outlineLevel="0" collapsed="false">
      <c r="B648" s="7"/>
      <c r="C648" s="5"/>
      <c r="D648" s="9" t="str">
        <f aca="false">IF(C648="","",IFERROR(VLOOKUP(C648,EQUIPOS!$B$3:$C$18,2,0),"NO EXISTE"))</f>
        <v/>
      </c>
      <c r="E648" s="9" t="str">
        <f aca="false">IF(C648="","",IFERROR(VLOOKUP(C648,EQUIPOS!$B$3:$F$18,5,0),""))</f>
        <v/>
      </c>
      <c r="F648" s="5" t="str">
        <f aca="false">IF(C648="","",IFERROR(VLOOKUP(C648,EQUIPOS!$B$3:$G$18,6,0),""))</f>
        <v/>
      </c>
      <c r="G648" s="8"/>
      <c r="H648" s="5"/>
      <c r="I648" s="5"/>
      <c r="J648" s="9"/>
      <c r="K648" s="17" t="str">
        <f aca="false">IF(H648="","",IFERROR(SUMIFS(BD_PLAN!$I$3:$I$312,BD_PLAN!$B$3:$B$312,E648,BD_PLAN!$C$3:$C$312,INDEX(BD_CICLO!$F$3:$F$54,MATCH(E648&amp;"|"&amp;H648,BD_CICLO!$G$3:$G$54,0))),""))</f>
        <v/>
      </c>
      <c r="L648" s="9"/>
      <c r="M648" s="9"/>
      <c r="N648" s="1" t="str">
        <f aca="false">IF(C648="","",C648&amp;"|"&amp;COUNTIF(C$3:C648,C648))</f>
        <v/>
      </c>
      <c r="O648" s="1" t="str">
        <f aca="false">IF(OR(C648="",M648=""),"",C648&amp;"|"&amp;COUNTIFS(C$3:C648,C648,M$3:M648,"&lt;&gt;"))</f>
        <v/>
      </c>
    </row>
    <row r="649" customFormat="false" ht="15" hidden="false" customHeight="false" outlineLevel="0" collapsed="false">
      <c r="B649" s="7"/>
      <c r="C649" s="5"/>
      <c r="D649" s="9" t="str">
        <f aca="false">IF(C649="","",IFERROR(VLOOKUP(C649,EQUIPOS!$B$3:$C$18,2,0),"NO EXISTE"))</f>
        <v/>
      </c>
      <c r="E649" s="9" t="str">
        <f aca="false">IF(C649="","",IFERROR(VLOOKUP(C649,EQUIPOS!$B$3:$F$18,5,0),""))</f>
        <v/>
      </c>
      <c r="F649" s="5" t="str">
        <f aca="false">IF(C649="","",IFERROR(VLOOKUP(C649,EQUIPOS!$B$3:$G$18,6,0),""))</f>
        <v/>
      </c>
      <c r="G649" s="8"/>
      <c r="H649" s="5"/>
      <c r="I649" s="5"/>
      <c r="J649" s="9"/>
      <c r="K649" s="17" t="str">
        <f aca="false">IF(H649="","",IFERROR(SUMIFS(BD_PLAN!$I$3:$I$312,BD_PLAN!$B$3:$B$312,E649,BD_PLAN!$C$3:$C$312,INDEX(BD_CICLO!$F$3:$F$54,MATCH(E649&amp;"|"&amp;H649,BD_CICLO!$G$3:$G$54,0))),""))</f>
        <v/>
      </c>
      <c r="L649" s="9"/>
      <c r="M649" s="9"/>
      <c r="N649" s="1" t="str">
        <f aca="false">IF(C649="","",C649&amp;"|"&amp;COUNTIF(C$3:C649,C649))</f>
        <v/>
      </c>
      <c r="O649" s="1" t="str">
        <f aca="false">IF(OR(C649="",M649=""),"",C649&amp;"|"&amp;COUNTIFS(C$3:C649,C649,M$3:M649,"&lt;&gt;"))</f>
        <v/>
      </c>
    </row>
    <row r="650" customFormat="false" ht="15" hidden="false" customHeight="false" outlineLevel="0" collapsed="false">
      <c r="B650" s="7"/>
      <c r="C650" s="5"/>
      <c r="D650" s="9" t="str">
        <f aca="false">IF(C650="","",IFERROR(VLOOKUP(C650,EQUIPOS!$B$3:$C$18,2,0),"NO EXISTE"))</f>
        <v/>
      </c>
      <c r="E650" s="9" t="str">
        <f aca="false">IF(C650="","",IFERROR(VLOOKUP(C650,EQUIPOS!$B$3:$F$18,5,0),""))</f>
        <v/>
      </c>
      <c r="F650" s="5" t="str">
        <f aca="false">IF(C650="","",IFERROR(VLOOKUP(C650,EQUIPOS!$B$3:$G$18,6,0),""))</f>
        <v/>
      </c>
      <c r="G650" s="8"/>
      <c r="H650" s="5"/>
      <c r="I650" s="5"/>
      <c r="J650" s="9"/>
      <c r="K650" s="17" t="str">
        <f aca="false">IF(H650="","",IFERROR(SUMIFS(BD_PLAN!$I$3:$I$312,BD_PLAN!$B$3:$B$312,E650,BD_PLAN!$C$3:$C$312,INDEX(BD_CICLO!$F$3:$F$54,MATCH(E650&amp;"|"&amp;H650,BD_CICLO!$G$3:$G$54,0))),""))</f>
        <v/>
      </c>
      <c r="L650" s="9"/>
      <c r="M650" s="9"/>
      <c r="N650" s="1" t="str">
        <f aca="false">IF(C650="","",C650&amp;"|"&amp;COUNTIF(C$3:C650,C650))</f>
        <v/>
      </c>
      <c r="O650" s="1" t="str">
        <f aca="false">IF(OR(C650="",M650=""),"",C650&amp;"|"&amp;COUNTIFS(C$3:C650,C650,M$3:M650,"&lt;&gt;"))</f>
        <v/>
      </c>
    </row>
    <row r="651" customFormat="false" ht="15" hidden="false" customHeight="false" outlineLevel="0" collapsed="false">
      <c r="B651" s="7"/>
      <c r="C651" s="5"/>
      <c r="D651" s="9" t="str">
        <f aca="false">IF(C651="","",IFERROR(VLOOKUP(C651,EQUIPOS!$B$3:$C$18,2,0),"NO EXISTE"))</f>
        <v/>
      </c>
      <c r="E651" s="9" t="str">
        <f aca="false">IF(C651="","",IFERROR(VLOOKUP(C651,EQUIPOS!$B$3:$F$18,5,0),""))</f>
        <v/>
      </c>
      <c r="F651" s="5" t="str">
        <f aca="false">IF(C651="","",IFERROR(VLOOKUP(C651,EQUIPOS!$B$3:$G$18,6,0),""))</f>
        <v/>
      </c>
      <c r="G651" s="8"/>
      <c r="H651" s="5"/>
      <c r="I651" s="5"/>
      <c r="J651" s="9"/>
      <c r="K651" s="17" t="str">
        <f aca="false">IF(H651="","",IFERROR(SUMIFS(BD_PLAN!$I$3:$I$312,BD_PLAN!$B$3:$B$312,E651,BD_PLAN!$C$3:$C$312,INDEX(BD_CICLO!$F$3:$F$54,MATCH(E651&amp;"|"&amp;H651,BD_CICLO!$G$3:$G$54,0))),""))</f>
        <v/>
      </c>
      <c r="L651" s="9"/>
      <c r="M651" s="9"/>
      <c r="N651" s="1" t="str">
        <f aca="false">IF(C651="","",C651&amp;"|"&amp;COUNTIF(C$3:C651,C651))</f>
        <v/>
      </c>
      <c r="O651" s="1" t="str">
        <f aca="false">IF(OR(C651="",M651=""),"",C651&amp;"|"&amp;COUNTIFS(C$3:C651,C651,M$3:M651,"&lt;&gt;"))</f>
        <v/>
      </c>
    </row>
    <row r="652" customFormat="false" ht="15" hidden="false" customHeight="false" outlineLevel="0" collapsed="false">
      <c r="B652" s="7"/>
      <c r="C652" s="5"/>
      <c r="D652" s="9" t="str">
        <f aca="false">IF(C652="","",IFERROR(VLOOKUP(C652,EQUIPOS!$B$3:$C$18,2,0),"NO EXISTE"))</f>
        <v/>
      </c>
      <c r="E652" s="9" t="str">
        <f aca="false">IF(C652="","",IFERROR(VLOOKUP(C652,EQUIPOS!$B$3:$F$18,5,0),""))</f>
        <v/>
      </c>
      <c r="F652" s="5" t="str">
        <f aca="false">IF(C652="","",IFERROR(VLOOKUP(C652,EQUIPOS!$B$3:$G$18,6,0),""))</f>
        <v/>
      </c>
      <c r="G652" s="8"/>
      <c r="H652" s="5"/>
      <c r="I652" s="5"/>
      <c r="J652" s="9"/>
      <c r="K652" s="17" t="str">
        <f aca="false">IF(H652="","",IFERROR(SUMIFS(BD_PLAN!$I$3:$I$312,BD_PLAN!$B$3:$B$312,E652,BD_PLAN!$C$3:$C$312,INDEX(BD_CICLO!$F$3:$F$54,MATCH(E652&amp;"|"&amp;H652,BD_CICLO!$G$3:$G$54,0))),""))</f>
        <v/>
      </c>
      <c r="L652" s="9"/>
      <c r="M652" s="9"/>
      <c r="N652" s="1" t="str">
        <f aca="false">IF(C652="","",C652&amp;"|"&amp;COUNTIF(C$3:C652,C652))</f>
        <v/>
      </c>
      <c r="O652" s="1" t="str">
        <f aca="false">IF(OR(C652="",M652=""),"",C652&amp;"|"&amp;COUNTIFS(C$3:C652,C652,M$3:M652,"&lt;&gt;"))</f>
        <v/>
      </c>
    </row>
    <row r="653" customFormat="false" ht="15" hidden="false" customHeight="false" outlineLevel="0" collapsed="false">
      <c r="B653" s="7"/>
      <c r="C653" s="5"/>
      <c r="D653" s="9" t="str">
        <f aca="false">IF(C653="","",IFERROR(VLOOKUP(C653,EQUIPOS!$B$3:$C$18,2,0),"NO EXISTE"))</f>
        <v/>
      </c>
      <c r="E653" s="9" t="str">
        <f aca="false">IF(C653="","",IFERROR(VLOOKUP(C653,EQUIPOS!$B$3:$F$18,5,0),""))</f>
        <v/>
      </c>
      <c r="F653" s="5" t="str">
        <f aca="false">IF(C653="","",IFERROR(VLOOKUP(C653,EQUIPOS!$B$3:$G$18,6,0),""))</f>
        <v/>
      </c>
      <c r="G653" s="8"/>
      <c r="H653" s="5"/>
      <c r="I653" s="5"/>
      <c r="J653" s="9"/>
      <c r="K653" s="17" t="str">
        <f aca="false">IF(H653="","",IFERROR(SUMIFS(BD_PLAN!$I$3:$I$312,BD_PLAN!$B$3:$B$312,E653,BD_PLAN!$C$3:$C$312,INDEX(BD_CICLO!$F$3:$F$54,MATCH(E653&amp;"|"&amp;H653,BD_CICLO!$G$3:$G$54,0))),""))</f>
        <v/>
      </c>
      <c r="L653" s="9"/>
      <c r="M653" s="9"/>
      <c r="N653" s="1" t="str">
        <f aca="false">IF(C653="","",C653&amp;"|"&amp;COUNTIF(C$3:C653,C653))</f>
        <v/>
      </c>
      <c r="O653" s="1" t="str">
        <f aca="false">IF(OR(C653="",M653=""),"",C653&amp;"|"&amp;COUNTIFS(C$3:C653,C653,M$3:M653,"&lt;&gt;"))</f>
        <v/>
      </c>
    </row>
    <row r="654" customFormat="false" ht="15" hidden="false" customHeight="false" outlineLevel="0" collapsed="false">
      <c r="B654" s="7"/>
      <c r="C654" s="5"/>
      <c r="D654" s="9" t="str">
        <f aca="false">IF(C654="","",IFERROR(VLOOKUP(C654,EQUIPOS!$B$3:$C$18,2,0),"NO EXISTE"))</f>
        <v/>
      </c>
      <c r="E654" s="9" t="str">
        <f aca="false">IF(C654="","",IFERROR(VLOOKUP(C654,EQUIPOS!$B$3:$F$18,5,0),""))</f>
        <v/>
      </c>
      <c r="F654" s="5" t="str">
        <f aca="false">IF(C654="","",IFERROR(VLOOKUP(C654,EQUIPOS!$B$3:$G$18,6,0),""))</f>
        <v/>
      </c>
      <c r="G654" s="8"/>
      <c r="H654" s="5"/>
      <c r="I654" s="5"/>
      <c r="J654" s="9"/>
      <c r="K654" s="17" t="str">
        <f aca="false">IF(H654="","",IFERROR(SUMIFS(BD_PLAN!$I$3:$I$312,BD_PLAN!$B$3:$B$312,E654,BD_PLAN!$C$3:$C$312,INDEX(BD_CICLO!$F$3:$F$54,MATCH(E654&amp;"|"&amp;H654,BD_CICLO!$G$3:$G$54,0))),""))</f>
        <v/>
      </c>
      <c r="L654" s="9"/>
      <c r="M654" s="9"/>
      <c r="N654" s="1" t="str">
        <f aca="false">IF(C654="","",C654&amp;"|"&amp;COUNTIF(C$3:C654,C654))</f>
        <v/>
      </c>
      <c r="O654" s="1" t="str">
        <f aca="false">IF(OR(C654="",M654=""),"",C654&amp;"|"&amp;COUNTIFS(C$3:C654,C654,M$3:M654,"&lt;&gt;"))</f>
        <v/>
      </c>
    </row>
    <row r="655" customFormat="false" ht="15" hidden="false" customHeight="false" outlineLevel="0" collapsed="false">
      <c r="B655" s="7"/>
      <c r="C655" s="5"/>
      <c r="D655" s="9" t="str">
        <f aca="false">IF(C655="","",IFERROR(VLOOKUP(C655,EQUIPOS!$B$3:$C$18,2,0),"NO EXISTE"))</f>
        <v/>
      </c>
      <c r="E655" s="9" t="str">
        <f aca="false">IF(C655="","",IFERROR(VLOOKUP(C655,EQUIPOS!$B$3:$F$18,5,0),""))</f>
        <v/>
      </c>
      <c r="F655" s="5" t="str">
        <f aca="false">IF(C655="","",IFERROR(VLOOKUP(C655,EQUIPOS!$B$3:$G$18,6,0),""))</f>
        <v/>
      </c>
      <c r="G655" s="8"/>
      <c r="H655" s="5"/>
      <c r="I655" s="5"/>
      <c r="J655" s="9"/>
      <c r="K655" s="17" t="str">
        <f aca="false">IF(H655="","",IFERROR(SUMIFS(BD_PLAN!$I$3:$I$312,BD_PLAN!$B$3:$B$312,E655,BD_PLAN!$C$3:$C$312,INDEX(BD_CICLO!$F$3:$F$54,MATCH(E655&amp;"|"&amp;H655,BD_CICLO!$G$3:$G$54,0))),""))</f>
        <v/>
      </c>
      <c r="L655" s="9"/>
      <c r="M655" s="9"/>
      <c r="N655" s="1" t="str">
        <f aca="false">IF(C655="","",C655&amp;"|"&amp;COUNTIF(C$3:C655,C655))</f>
        <v/>
      </c>
      <c r="O655" s="1" t="str">
        <f aca="false">IF(OR(C655="",M655=""),"",C655&amp;"|"&amp;COUNTIFS(C$3:C655,C655,M$3:M655,"&lt;&gt;"))</f>
        <v/>
      </c>
    </row>
    <row r="656" customFormat="false" ht="15" hidden="false" customHeight="false" outlineLevel="0" collapsed="false">
      <c r="B656" s="7"/>
      <c r="C656" s="5"/>
      <c r="D656" s="9" t="str">
        <f aca="false">IF(C656="","",IFERROR(VLOOKUP(C656,EQUIPOS!$B$3:$C$18,2,0),"NO EXISTE"))</f>
        <v/>
      </c>
      <c r="E656" s="9" t="str">
        <f aca="false">IF(C656="","",IFERROR(VLOOKUP(C656,EQUIPOS!$B$3:$F$18,5,0),""))</f>
        <v/>
      </c>
      <c r="F656" s="5" t="str">
        <f aca="false">IF(C656="","",IFERROR(VLOOKUP(C656,EQUIPOS!$B$3:$G$18,6,0),""))</f>
        <v/>
      </c>
      <c r="G656" s="8"/>
      <c r="H656" s="5"/>
      <c r="I656" s="5"/>
      <c r="J656" s="9"/>
      <c r="K656" s="17" t="str">
        <f aca="false">IF(H656="","",IFERROR(SUMIFS(BD_PLAN!$I$3:$I$312,BD_PLAN!$B$3:$B$312,E656,BD_PLAN!$C$3:$C$312,INDEX(BD_CICLO!$F$3:$F$54,MATCH(E656&amp;"|"&amp;H656,BD_CICLO!$G$3:$G$54,0))),""))</f>
        <v/>
      </c>
      <c r="L656" s="9"/>
      <c r="M656" s="9"/>
      <c r="N656" s="1" t="str">
        <f aca="false">IF(C656="","",C656&amp;"|"&amp;COUNTIF(C$3:C656,C656))</f>
        <v/>
      </c>
      <c r="O656" s="1" t="str">
        <f aca="false">IF(OR(C656="",M656=""),"",C656&amp;"|"&amp;COUNTIFS(C$3:C656,C656,M$3:M656,"&lt;&gt;"))</f>
        <v/>
      </c>
    </row>
    <row r="657" customFormat="false" ht="15" hidden="false" customHeight="false" outlineLevel="0" collapsed="false">
      <c r="B657" s="7"/>
      <c r="C657" s="5"/>
      <c r="D657" s="9" t="str">
        <f aca="false">IF(C657="","",IFERROR(VLOOKUP(C657,EQUIPOS!$B$3:$C$18,2,0),"NO EXISTE"))</f>
        <v/>
      </c>
      <c r="E657" s="9" t="str">
        <f aca="false">IF(C657="","",IFERROR(VLOOKUP(C657,EQUIPOS!$B$3:$F$18,5,0),""))</f>
        <v/>
      </c>
      <c r="F657" s="5" t="str">
        <f aca="false">IF(C657="","",IFERROR(VLOOKUP(C657,EQUIPOS!$B$3:$G$18,6,0),""))</f>
        <v/>
      </c>
      <c r="G657" s="8"/>
      <c r="H657" s="5"/>
      <c r="I657" s="5"/>
      <c r="J657" s="9"/>
      <c r="K657" s="17" t="str">
        <f aca="false">IF(H657="","",IFERROR(SUMIFS(BD_PLAN!$I$3:$I$312,BD_PLAN!$B$3:$B$312,E657,BD_PLAN!$C$3:$C$312,INDEX(BD_CICLO!$F$3:$F$54,MATCH(E657&amp;"|"&amp;H657,BD_CICLO!$G$3:$G$54,0))),""))</f>
        <v/>
      </c>
      <c r="L657" s="9"/>
      <c r="M657" s="9"/>
      <c r="N657" s="1" t="str">
        <f aca="false">IF(C657="","",C657&amp;"|"&amp;COUNTIF(C$3:C657,C657))</f>
        <v/>
      </c>
      <c r="O657" s="1" t="str">
        <f aca="false">IF(OR(C657="",M657=""),"",C657&amp;"|"&amp;COUNTIFS(C$3:C657,C657,M$3:M657,"&lt;&gt;"))</f>
        <v/>
      </c>
    </row>
    <row r="658" customFormat="false" ht="15" hidden="false" customHeight="false" outlineLevel="0" collapsed="false">
      <c r="B658" s="7"/>
      <c r="C658" s="5"/>
      <c r="D658" s="9" t="str">
        <f aca="false">IF(C658="","",IFERROR(VLOOKUP(C658,EQUIPOS!$B$3:$C$18,2,0),"NO EXISTE"))</f>
        <v/>
      </c>
      <c r="E658" s="9" t="str">
        <f aca="false">IF(C658="","",IFERROR(VLOOKUP(C658,EQUIPOS!$B$3:$F$18,5,0),""))</f>
        <v/>
      </c>
      <c r="F658" s="5" t="str">
        <f aca="false">IF(C658="","",IFERROR(VLOOKUP(C658,EQUIPOS!$B$3:$G$18,6,0),""))</f>
        <v/>
      </c>
      <c r="G658" s="8"/>
      <c r="H658" s="5"/>
      <c r="I658" s="5"/>
      <c r="J658" s="9"/>
      <c r="K658" s="17" t="str">
        <f aca="false">IF(H658="","",IFERROR(SUMIFS(BD_PLAN!$I$3:$I$312,BD_PLAN!$B$3:$B$312,E658,BD_PLAN!$C$3:$C$312,INDEX(BD_CICLO!$F$3:$F$54,MATCH(E658&amp;"|"&amp;H658,BD_CICLO!$G$3:$G$54,0))),""))</f>
        <v/>
      </c>
      <c r="L658" s="9"/>
      <c r="M658" s="9"/>
      <c r="N658" s="1" t="str">
        <f aca="false">IF(C658="","",C658&amp;"|"&amp;COUNTIF(C$3:C658,C658))</f>
        <v/>
      </c>
      <c r="O658" s="1" t="str">
        <f aca="false">IF(OR(C658="",M658=""),"",C658&amp;"|"&amp;COUNTIFS(C$3:C658,C658,M$3:M658,"&lt;&gt;"))</f>
        <v/>
      </c>
    </row>
    <row r="659" customFormat="false" ht="15" hidden="false" customHeight="false" outlineLevel="0" collapsed="false">
      <c r="B659" s="7"/>
      <c r="C659" s="5"/>
      <c r="D659" s="9" t="str">
        <f aca="false">IF(C659="","",IFERROR(VLOOKUP(C659,EQUIPOS!$B$3:$C$18,2,0),"NO EXISTE"))</f>
        <v/>
      </c>
      <c r="E659" s="9" t="str">
        <f aca="false">IF(C659="","",IFERROR(VLOOKUP(C659,EQUIPOS!$B$3:$F$18,5,0),""))</f>
        <v/>
      </c>
      <c r="F659" s="5" t="str">
        <f aca="false">IF(C659="","",IFERROR(VLOOKUP(C659,EQUIPOS!$B$3:$G$18,6,0),""))</f>
        <v/>
      </c>
      <c r="G659" s="8"/>
      <c r="H659" s="5"/>
      <c r="I659" s="5"/>
      <c r="J659" s="9"/>
      <c r="K659" s="17" t="str">
        <f aca="false">IF(H659="","",IFERROR(SUMIFS(BD_PLAN!$I$3:$I$312,BD_PLAN!$B$3:$B$312,E659,BD_PLAN!$C$3:$C$312,INDEX(BD_CICLO!$F$3:$F$54,MATCH(E659&amp;"|"&amp;H659,BD_CICLO!$G$3:$G$54,0))),""))</f>
        <v/>
      </c>
      <c r="L659" s="9"/>
      <c r="M659" s="9"/>
      <c r="N659" s="1" t="str">
        <f aca="false">IF(C659="","",C659&amp;"|"&amp;COUNTIF(C$3:C659,C659))</f>
        <v/>
      </c>
      <c r="O659" s="1" t="str">
        <f aca="false">IF(OR(C659="",M659=""),"",C659&amp;"|"&amp;COUNTIFS(C$3:C659,C659,M$3:M659,"&lt;&gt;"))</f>
        <v/>
      </c>
    </row>
    <row r="660" customFormat="false" ht="15" hidden="false" customHeight="false" outlineLevel="0" collapsed="false">
      <c r="B660" s="7"/>
      <c r="C660" s="5"/>
      <c r="D660" s="9" t="str">
        <f aca="false">IF(C660="","",IFERROR(VLOOKUP(C660,EQUIPOS!$B$3:$C$18,2,0),"NO EXISTE"))</f>
        <v/>
      </c>
      <c r="E660" s="9" t="str">
        <f aca="false">IF(C660="","",IFERROR(VLOOKUP(C660,EQUIPOS!$B$3:$F$18,5,0),""))</f>
        <v/>
      </c>
      <c r="F660" s="5" t="str">
        <f aca="false">IF(C660="","",IFERROR(VLOOKUP(C660,EQUIPOS!$B$3:$G$18,6,0),""))</f>
        <v/>
      </c>
      <c r="G660" s="8"/>
      <c r="H660" s="5"/>
      <c r="I660" s="5"/>
      <c r="J660" s="9"/>
      <c r="K660" s="17" t="str">
        <f aca="false">IF(H660="","",IFERROR(SUMIFS(BD_PLAN!$I$3:$I$312,BD_PLAN!$B$3:$B$312,E660,BD_PLAN!$C$3:$C$312,INDEX(BD_CICLO!$F$3:$F$54,MATCH(E660&amp;"|"&amp;H660,BD_CICLO!$G$3:$G$54,0))),""))</f>
        <v/>
      </c>
      <c r="L660" s="9"/>
      <c r="M660" s="9"/>
      <c r="N660" s="1" t="str">
        <f aca="false">IF(C660="","",C660&amp;"|"&amp;COUNTIF(C$3:C660,C660))</f>
        <v/>
      </c>
      <c r="O660" s="1" t="str">
        <f aca="false">IF(OR(C660="",M660=""),"",C660&amp;"|"&amp;COUNTIFS(C$3:C660,C660,M$3:M660,"&lt;&gt;"))</f>
        <v/>
      </c>
    </row>
    <row r="661" customFormat="false" ht="15" hidden="false" customHeight="false" outlineLevel="0" collapsed="false">
      <c r="B661" s="7"/>
      <c r="C661" s="5"/>
      <c r="D661" s="9" t="str">
        <f aca="false">IF(C661="","",IFERROR(VLOOKUP(C661,EQUIPOS!$B$3:$C$18,2,0),"NO EXISTE"))</f>
        <v/>
      </c>
      <c r="E661" s="9" t="str">
        <f aca="false">IF(C661="","",IFERROR(VLOOKUP(C661,EQUIPOS!$B$3:$F$18,5,0),""))</f>
        <v/>
      </c>
      <c r="F661" s="5" t="str">
        <f aca="false">IF(C661="","",IFERROR(VLOOKUP(C661,EQUIPOS!$B$3:$G$18,6,0),""))</f>
        <v/>
      </c>
      <c r="G661" s="8"/>
      <c r="H661" s="5"/>
      <c r="I661" s="5"/>
      <c r="J661" s="9"/>
      <c r="K661" s="17" t="str">
        <f aca="false">IF(H661="","",IFERROR(SUMIFS(BD_PLAN!$I$3:$I$312,BD_PLAN!$B$3:$B$312,E661,BD_PLAN!$C$3:$C$312,INDEX(BD_CICLO!$F$3:$F$54,MATCH(E661&amp;"|"&amp;H661,BD_CICLO!$G$3:$G$54,0))),""))</f>
        <v/>
      </c>
      <c r="L661" s="9"/>
      <c r="M661" s="9"/>
      <c r="N661" s="1" t="str">
        <f aca="false">IF(C661="","",C661&amp;"|"&amp;COUNTIF(C$3:C661,C661))</f>
        <v/>
      </c>
      <c r="O661" s="1" t="str">
        <f aca="false">IF(OR(C661="",M661=""),"",C661&amp;"|"&amp;COUNTIFS(C$3:C661,C661,M$3:M661,"&lt;&gt;"))</f>
        <v/>
      </c>
    </row>
    <row r="662" customFormat="false" ht="15" hidden="false" customHeight="false" outlineLevel="0" collapsed="false">
      <c r="B662" s="7"/>
      <c r="C662" s="5"/>
      <c r="D662" s="9" t="str">
        <f aca="false">IF(C662="","",IFERROR(VLOOKUP(C662,EQUIPOS!$B$3:$C$18,2,0),"NO EXISTE"))</f>
        <v/>
      </c>
      <c r="E662" s="9" t="str">
        <f aca="false">IF(C662="","",IFERROR(VLOOKUP(C662,EQUIPOS!$B$3:$F$18,5,0),""))</f>
        <v/>
      </c>
      <c r="F662" s="5" t="str">
        <f aca="false">IF(C662="","",IFERROR(VLOOKUP(C662,EQUIPOS!$B$3:$G$18,6,0),""))</f>
        <v/>
      </c>
      <c r="G662" s="8"/>
      <c r="H662" s="5"/>
      <c r="I662" s="5"/>
      <c r="J662" s="9"/>
      <c r="K662" s="17" t="str">
        <f aca="false">IF(H662="","",IFERROR(SUMIFS(BD_PLAN!$I$3:$I$312,BD_PLAN!$B$3:$B$312,E662,BD_PLAN!$C$3:$C$312,INDEX(BD_CICLO!$F$3:$F$54,MATCH(E662&amp;"|"&amp;H662,BD_CICLO!$G$3:$G$54,0))),""))</f>
        <v/>
      </c>
      <c r="L662" s="9"/>
      <c r="M662" s="9"/>
      <c r="N662" s="1" t="str">
        <f aca="false">IF(C662="","",C662&amp;"|"&amp;COUNTIF(C$3:C662,C662))</f>
        <v/>
      </c>
      <c r="O662" s="1" t="str">
        <f aca="false">IF(OR(C662="",M662=""),"",C662&amp;"|"&amp;COUNTIFS(C$3:C662,C662,M$3:M662,"&lt;&gt;"))</f>
        <v/>
      </c>
    </row>
    <row r="663" customFormat="false" ht="15" hidden="false" customHeight="false" outlineLevel="0" collapsed="false">
      <c r="B663" s="7"/>
      <c r="C663" s="5"/>
      <c r="D663" s="9" t="str">
        <f aca="false">IF(C663="","",IFERROR(VLOOKUP(C663,EQUIPOS!$B$3:$C$18,2,0),"NO EXISTE"))</f>
        <v/>
      </c>
      <c r="E663" s="9" t="str">
        <f aca="false">IF(C663="","",IFERROR(VLOOKUP(C663,EQUIPOS!$B$3:$F$18,5,0),""))</f>
        <v/>
      </c>
      <c r="F663" s="5" t="str">
        <f aca="false">IF(C663="","",IFERROR(VLOOKUP(C663,EQUIPOS!$B$3:$G$18,6,0),""))</f>
        <v/>
      </c>
      <c r="G663" s="8"/>
      <c r="H663" s="5"/>
      <c r="I663" s="5"/>
      <c r="J663" s="9"/>
      <c r="K663" s="17" t="str">
        <f aca="false">IF(H663="","",IFERROR(SUMIFS(BD_PLAN!$I$3:$I$312,BD_PLAN!$B$3:$B$312,E663,BD_PLAN!$C$3:$C$312,INDEX(BD_CICLO!$F$3:$F$54,MATCH(E663&amp;"|"&amp;H663,BD_CICLO!$G$3:$G$54,0))),""))</f>
        <v/>
      </c>
      <c r="L663" s="9"/>
      <c r="M663" s="9"/>
      <c r="N663" s="1" t="str">
        <f aca="false">IF(C663="","",C663&amp;"|"&amp;COUNTIF(C$3:C663,C663))</f>
        <v/>
      </c>
      <c r="O663" s="1" t="str">
        <f aca="false">IF(OR(C663="",M663=""),"",C663&amp;"|"&amp;COUNTIFS(C$3:C663,C663,M$3:M663,"&lt;&gt;"))</f>
        <v/>
      </c>
    </row>
    <row r="664" customFormat="false" ht="15" hidden="false" customHeight="false" outlineLevel="0" collapsed="false">
      <c r="B664" s="7"/>
      <c r="C664" s="5"/>
      <c r="D664" s="9" t="str">
        <f aca="false">IF(C664="","",IFERROR(VLOOKUP(C664,EQUIPOS!$B$3:$C$18,2,0),"NO EXISTE"))</f>
        <v/>
      </c>
      <c r="E664" s="9" t="str">
        <f aca="false">IF(C664="","",IFERROR(VLOOKUP(C664,EQUIPOS!$B$3:$F$18,5,0),""))</f>
        <v/>
      </c>
      <c r="F664" s="5" t="str">
        <f aca="false">IF(C664="","",IFERROR(VLOOKUP(C664,EQUIPOS!$B$3:$G$18,6,0),""))</f>
        <v/>
      </c>
      <c r="G664" s="8"/>
      <c r="H664" s="5"/>
      <c r="I664" s="5"/>
      <c r="J664" s="9"/>
      <c r="K664" s="17" t="str">
        <f aca="false">IF(H664="","",IFERROR(SUMIFS(BD_PLAN!$I$3:$I$312,BD_PLAN!$B$3:$B$312,E664,BD_PLAN!$C$3:$C$312,INDEX(BD_CICLO!$F$3:$F$54,MATCH(E664&amp;"|"&amp;H664,BD_CICLO!$G$3:$G$54,0))),""))</f>
        <v/>
      </c>
      <c r="L664" s="9"/>
      <c r="M664" s="9"/>
      <c r="N664" s="1" t="str">
        <f aca="false">IF(C664="","",C664&amp;"|"&amp;COUNTIF(C$3:C664,C664))</f>
        <v/>
      </c>
      <c r="O664" s="1" t="str">
        <f aca="false">IF(OR(C664="",M664=""),"",C664&amp;"|"&amp;COUNTIFS(C$3:C664,C664,M$3:M664,"&lt;&gt;"))</f>
        <v/>
      </c>
    </row>
    <row r="665" customFormat="false" ht="15" hidden="false" customHeight="false" outlineLevel="0" collapsed="false">
      <c r="B665" s="7"/>
      <c r="C665" s="5"/>
      <c r="D665" s="9" t="str">
        <f aca="false">IF(C665="","",IFERROR(VLOOKUP(C665,EQUIPOS!$B$3:$C$18,2,0),"NO EXISTE"))</f>
        <v/>
      </c>
      <c r="E665" s="9" t="str">
        <f aca="false">IF(C665="","",IFERROR(VLOOKUP(C665,EQUIPOS!$B$3:$F$18,5,0),""))</f>
        <v/>
      </c>
      <c r="F665" s="5" t="str">
        <f aca="false">IF(C665="","",IFERROR(VLOOKUP(C665,EQUIPOS!$B$3:$G$18,6,0),""))</f>
        <v/>
      </c>
      <c r="G665" s="8"/>
      <c r="H665" s="5"/>
      <c r="I665" s="5"/>
      <c r="J665" s="9"/>
      <c r="K665" s="17" t="str">
        <f aca="false">IF(H665="","",IFERROR(SUMIFS(BD_PLAN!$I$3:$I$312,BD_PLAN!$B$3:$B$312,E665,BD_PLAN!$C$3:$C$312,INDEX(BD_CICLO!$F$3:$F$54,MATCH(E665&amp;"|"&amp;H665,BD_CICLO!$G$3:$G$54,0))),""))</f>
        <v/>
      </c>
      <c r="L665" s="9"/>
      <c r="M665" s="9"/>
      <c r="N665" s="1" t="str">
        <f aca="false">IF(C665="","",C665&amp;"|"&amp;COUNTIF(C$3:C665,C665))</f>
        <v/>
      </c>
      <c r="O665" s="1" t="str">
        <f aca="false">IF(OR(C665="",M665=""),"",C665&amp;"|"&amp;COUNTIFS(C$3:C665,C665,M$3:M665,"&lt;&gt;"))</f>
        <v/>
      </c>
    </row>
    <row r="666" customFormat="false" ht="15" hidden="false" customHeight="false" outlineLevel="0" collapsed="false">
      <c r="B666" s="7"/>
      <c r="C666" s="5"/>
      <c r="D666" s="9" t="str">
        <f aca="false">IF(C666="","",IFERROR(VLOOKUP(C666,EQUIPOS!$B$3:$C$18,2,0),"NO EXISTE"))</f>
        <v/>
      </c>
      <c r="E666" s="9" t="str">
        <f aca="false">IF(C666="","",IFERROR(VLOOKUP(C666,EQUIPOS!$B$3:$F$18,5,0),""))</f>
        <v/>
      </c>
      <c r="F666" s="5" t="str">
        <f aca="false">IF(C666="","",IFERROR(VLOOKUP(C666,EQUIPOS!$B$3:$G$18,6,0),""))</f>
        <v/>
      </c>
      <c r="G666" s="8"/>
      <c r="H666" s="5"/>
      <c r="I666" s="5"/>
      <c r="J666" s="9"/>
      <c r="K666" s="17" t="str">
        <f aca="false">IF(H666="","",IFERROR(SUMIFS(BD_PLAN!$I$3:$I$312,BD_PLAN!$B$3:$B$312,E666,BD_PLAN!$C$3:$C$312,INDEX(BD_CICLO!$F$3:$F$54,MATCH(E666&amp;"|"&amp;H666,BD_CICLO!$G$3:$G$54,0))),""))</f>
        <v/>
      </c>
      <c r="L666" s="9"/>
      <c r="M666" s="9"/>
      <c r="N666" s="1" t="str">
        <f aca="false">IF(C666="","",C666&amp;"|"&amp;COUNTIF(C$3:C666,C666))</f>
        <v/>
      </c>
      <c r="O666" s="1" t="str">
        <f aca="false">IF(OR(C666="",M666=""),"",C666&amp;"|"&amp;COUNTIFS(C$3:C666,C666,M$3:M666,"&lt;&gt;"))</f>
        <v/>
      </c>
    </row>
    <row r="667" customFormat="false" ht="15" hidden="false" customHeight="false" outlineLevel="0" collapsed="false">
      <c r="B667" s="7"/>
      <c r="C667" s="5"/>
      <c r="D667" s="9" t="str">
        <f aca="false">IF(C667="","",IFERROR(VLOOKUP(C667,EQUIPOS!$B$3:$C$18,2,0),"NO EXISTE"))</f>
        <v/>
      </c>
      <c r="E667" s="9" t="str">
        <f aca="false">IF(C667="","",IFERROR(VLOOKUP(C667,EQUIPOS!$B$3:$F$18,5,0),""))</f>
        <v/>
      </c>
      <c r="F667" s="5" t="str">
        <f aca="false">IF(C667="","",IFERROR(VLOOKUP(C667,EQUIPOS!$B$3:$G$18,6,0),""))</f>
        <v/>
      </c>
      <c r="G667" s="8"/>
      <c r="H667" s="5"/>
      <c r="I667" s="5"/>
      <c r="J667" s="9"/>
      <c r="K667" s="17" t="str">
        <f aca="false">IF(H667="","",IFERROR(SUMIFS(BD_PLAN!$I$3:$I$312,BD_PLAN!$B$3:$B$312,E667,BD_PLAN!$C$3:$C$312,INDEX(BD_CICLO!$F$3:$F$54,MATCH(E667&amp;"|"&amp;H667,BD_CICLO!$G$3:$G$54,0))),""))</f>
        <v/>
      </c>
      <c r="L667" s="9"/>
      <c r="M667" s="9"/>
      <c r="N667" s="1" t="str">
        <f aca="false">IF(C667="","",C667&amp;"|"&amp;COUNTIF(C$3:C667,C667))</f>
        <v/>
      </c>
      <c r="O667" s="1" t="str">
        <f aca="false">IF(OR(C667="",M667=""),"",C667&amp;"|"&amp;COUNTIFS(C$3:C667,C667,M$3:M667,"&lt;&gt;"))</f>
        <v/>
      </c>
    </row>
    <row r="668" customFormat="false" ht="15" hidden="false" customHeight="false" outlineLevel="0" collapsed="false">
      <c r="B668" s="7"/>
      <c r="C668" s="5"/>
      <c r="D668" s="9" t="str">
        <f aca="false">IF(C668="","",IFERROR(VLOOKUP(C668,EQUIPOS!$B$3:$C$18,2,0),"NO EXISTE"))</f>
        <v/>
      </c>
      <c r="E668" s="9" t="str">
        <f aca="false">IF(C668="","",IFERROR(VLOOKUP(C668,EQUIPOS!$B$3:$F$18,5,0),""))</f>
        <v/>
      </c>
      <c r="F668" s="5" t="str">
        <f aca="false">IF(C668="","",IFERROR(VLOOKUP(C668,EQUIPOS!$B$3:$G$18,6,0),""))</f>
        <v/>
      </c>
      <c r="G668" s="8"/>
      <c r="H668" s="5"/>
      <c r="I668" s="5"/>
      <c r="J668" s="9"/>
      <c r="K668" s="17" t="str">
        <f aca="false">IF(H668="","",IFERROR(SUMIFS(BD_PLAN!$I$3:$I$312,BD_PLAN!$B$3:$B$312,E668,BD_PLAN!$C$3:$C$312,INDEX(BD_CICLO!$F$3:$F$54,MATCH(E668&amp;"|"&amp;H668,BD_CICLO!$G$3:$G$54,0))),""))</f>
        <v/>
      </c>
      <c r="L668" s="9"/>
      <c r="M668" s="9"/>
      <c r="N668" s="1" t="str">
        <f aca="false">IF(C668="","",C668&amp;"|"&amp;COUNTIF(C$3:C668,C668))</f>
        <v/>
      </c>
      <c r="O668" s="1" t="str">
        <f aca="false">IF(OR(C668="",M668=""),"",C668&amp;"|"&amp;COUNTIFS(C$3:C668,C668,M$3:M668,"&lt;&gt;"))</f>
        <v/>
      </c>
    </row>
    <row r="669" customFormat="false" ht="15" hidden="false" customHeight="false" outlineLevel="0" collapsed="false">
      <c r="B669" s="7"/>
      <c r="C669" s="5"/>
      <c r="D669" s="9" t="str">
        <f aca="false">IF(C669="","",IFERROR(VLOOKUP(C669,EQUIPOS!$B$3:$C$18,2,0),"NO EXISTE"))</f>
        <v/>
      </c>
      <c r="E669" s="9" t="str">
        <f aca="false">IF(C669="","",IFERROR(VLOOKUP(C669,EQUIPOS!$B$3:$F$18,5,0),""))</f>
        <v/>
      </c>
      <c r="F669" s="5" t="str">
        <f aca="false">IF(C669="","",IFERROR(VLOOKUP(C669,EQUIPOS!$B$3:$G$18,6,0),""))</f>
        <v/>
      </c>
      <c r="G669" s="8"/>
      <c r="H669" s="5"/>
      <c r="I669" s="5"/>
      <c r="J669" s="9"/>
      <c r="K669" s="17" t="str">
        <f aca="false">IF(H669="","",IFERROR(SUMIFS(BD_PLAN!$I$3:$I$312,BD_PLAN!$B$3:$B$312,E669,BD_PLAN!$C$3:$C$312,INDEX(BD_CICLO!$F$3:$F$54,MATCH(E669&amp;"|"&amp;H669,BD_CICLO!$G$3:$G$54,0))),""))</f>
        <v/>
      </c>
      <c r="L669" s="9"/>
      <c r="M669" s="9"/>
      <c r="N669" s="1" t="str">
        <f aca="false">IF(C669="","",C669&amp;"|"&amp;COUNTIF(C$3:C669,C669))</f>
        <v/>
      </c>
      <c r="O669" s="1" t="str">
        <f aca="false">IF(OR(C669="",M669=""),"",C669&amp;"|"&amp;COUNTIFS(C$3:C669,C669,M$3:M669,"&lt;&gt;"))</f>
        <v/>
      </c>
    </row>
    <row r="670" customFormat="false" ht="15" hidden="false" customHeight="false" outlineLevel="0" collapsed="false">
      <c r="B670" s="7"/>
      <c r="C670" s="5"/>
      <c r="D670" s="9" t="str">
        <f aca="false">IF(C670="","",IFERROR(VLOOKUP(C670,EQUIPOS!$B$3:$C$18,2,0),"NO EXISTE"))</f>
        <v/>
      </c>
      <c r="E670" s="9" t="str">
        <f aca="false">IF(C670="","",IFERROR(VLOOKUP(C670,EQUIPOS!$B$3:$F$18,5,0),""))</f>
        <v/>
      </c>
      <c r="F670" s="5" t="str">
        <f aca="false">IF(C670="","",IFERROR(VLOOKUP(C670,EQUIPOS!$B$3:$G$18,6,0),""))</f>
        <v/>
      </c>
      <c r="G670" s="8"/>
      <c r="H670" s="5"/>
      <c r="I670" s="5"/>
      <c r="J670" s="9"/>
      <c r="K670" s="17" t="str">
        <f aca="false">IF(H670="","",IFERROR(SUMIFS(BD_PLAN!$I$3:$I$312,BD_PLAN!$B$3:$B$312,E670,BD_PLAN!$C$3:$C$312,INDEX(BD_CICLO!$F$3:$F$54,MATCH(E670&amp;"|"&amp;H670,BD_CICLO!$G$3:$G$54,0))),""))</f>
        <v/>
      </c>
      <c r="L670" s="9"/>
      <c r="M670" s="9"/>
      <c r="N670" s="1" t="str">
        <f aca="false">IF(C670="","",C670&amp;"|"&amp;COUNTIF(C$3:C670,C670))</f>
        <v/>
      </c>
      <c r="O670" s="1" t="str">
        <f aca="false">IF(OR(C670="",M670=""),"",C670&amp;"|"&amp;COUNTIFS(C$3:C670,C670,M$3:M670,"&lt;&gt;"))</f>
        <v/>
      </c>
    </row>
    <row r="671" customFormat="false" ht="15" hidden="false" customHeight="false" outlineLevel="0" collapsed="false">
      <c r="B671" s="7"/>
      <c r="C671" s="5"/>
      <c r="D671" s="9" t="str">
        <f aca="false">IF(C671="","",IFERROR(VLOOKUP(C671,EQUIPOS!$B$3:$C$18,2,0),"NO EXISTE"))</f>
        <v/>
      </c>
      <c r="E671" s="9" t="str">
        <f aca="false">IF(C671="","",IFERROR(VLOOKUP(C671,EQUIPOS!$B$3:$F$18,5,0),""))</f>
        <v/>
      </c>
      <c r="F671" s="5" t="str">
        <f aca="false">IF(C671="","",IFERROR(VLOOKUP(C671,EQUIPOS!$B$3:$G$18,6,0),""))</f>
        <v/>
      </c>
      <c r="G671" s="8"/>
      <c r="H671" s="5"/>
      <c r="I671" s="5"/>
      <c r="J671" s="9"/>
      <c r="K671" s="17" t="str">
        <f aca="false">IF(H671="","",IFERROR(SUMIFS(BD_PLAN!$I$3:$I$312,BD_PLAN!$B$3:$B$312,E671,BD_PLAN!$C$3:$C$312,INDEX(BD_CICLO!$F$3:$F$54,MATCH(E671&amp;"|"&amp;H671,BD_CICLO!$G$3:$G$54,0))),""))</f>
        <v/>
      </c>
      <c r="L671" s="9"/>
      <c r="M671" s="9"/>
      <c r="N671" s="1" t="str">
        <f aca="false">IF(C671="","",C671&amp;"|"&amp;COUNTIF(C$3:C671,C671))</f>
        <v/>
      </c>
      <c r="O671" s="1" t="str">
        <f aca="false">IF(OR(C671="",M671=""),"",C671&amp;"|"&amp;COUNTIFS(C$3:C671,C671,M$3:M671,"&lt;&gt;"))</f>
        <v/>
      </c>
    </row>
    <row r="672" customFormat="false" ht="15" hidden="false" customHeight="false" outlineLevel="0" collapsed="false">
      <c r="B672" s="7"/>
      <c r="C672" s="5"/>
      <c r="D672" s="9" t="str">
        <f aca="false">IF(C672="","",IFERROR(VLOOKUP(C672,EQUIPOS!$B$3:$C$18,2,0),"NO EXISTE"))</f>
        <v/>
      </c>
      <c r="E672" s="9" t="str">
        <f aca="false">IF(C672="","",IFERROR(VLOOKUP(C672,EQUIPOS!$B$3:$F$18,5,0),""))</f>
        <v/>
      </c>
      <c r="F672" s="5" t="str">
        <f aca="false">IF(C672="","",IFERROR(VLOOKUP(C672,EQUIPOS!$B$3:$G$18,6,0),""))</f>
        <v/>
      </c>
      <c r="G672" s="8"/>
      <c r="H672" s="5"/>
      <c r="I672" s="5"/>
      <c r="J672" s="9"/>
      <c r="K672" s="17" t="str">
        <f aca="false">IF(H672="","",IFERROR(SUMIFS(BD_PLAN!$I$3:$I$312,BD_PLAN!$B$3:$B$312,E672,BD_PLAN!$C$3:$C$312,INDEX(BD_CICLO!$F$3:$F$54,MATCH(E672&amp;"|"&amp;H672,BD_CICLO!$G$3:$G$54,0))),""))</f>
        <v/>
      </c>
      <c r="L672" s="9"/>
      <c r="M672" s="9"/>
      <c r="N672" s="1" t="str">
        <f aca="false">IF(C672="","",C672&amp;"|"&amp;COUNTIF(C$3:C672,C672))</f>
        <v/>
      </c>
      <c r="O672" s="1" t="str">
        <f aca="false">IF(OR(C672="",M672=""),"",C672&amp;"|"&amp;COUNTIFS(C$3:C672,C672,M$3:M672,"&lt;&gt;"))</f>
        <v/>
      </c>
    </row>
    <row r="673" customFormat="false" ht="15" hidden="false" customHeight="false" outlineLevel="0" collapsed="false">
      <c r="B673" s="7"/>
      <c r="C673" s="5"/>
      <c r="D673" s="9" t="str">
        <f aca="false">IF(C673="","",IFERROR(VLOOKUP(C673,EQUIPOS!$B$3:$C$18,2,0),"NO EXISTE"))</f>
        <v/>
      </c>
      <c r="E673" s="9" t="str">
        <f aca="false">IF(C673="","",IFERROR(VLOOKUP(C673,EQUIPOS!$B$3:$F$18,5,0),""))</f>
        <v/>
      </c>
      <c r="F673" s="5" t="str">
        <f aca="false">IF(C673="","",IFERROR(VLOOKUP(C673,EQUIPOS!$B$3:$G$18,6,0),""))</f>
        <v/>
      </c>
      <c r="G673" s="8"/>
      <c r="H673" s="5"/>
      <c r="I673" s="5"/>
      <c r="J673" s="9"/>
      <c r="K673" s="17" t="str">
        <f aca="false">IF(H673="","",IFERROR(SUMIFS(BD_PLAN!$I$3:$I$312,BD_PLAN!$B$3:$B$312,E673,BD_PLAN!$C$3:$C$312,INDEX(BD_CICLO!$F$3:$F$54,MATCH(E673&amp;"|"&amp;H673,BD_CICLO!$G$3:$G$54,0))),""))</f>
        <v/>
      </c>
      <c r="L673" s="9"/>
      <c r="M673" s="9"/>
      <c r="N673" s="1" t="str">
        <f aca="false">IF(C673="","",C673&amp;"|"&amp;COUNTIF(C$3:C673,C673))</f>
        <v/>
      </c>
      <c r="O673" s="1" t="str">
        <f aca="false">IF(OR(C673="",M673=""),"",C673&amp;"|"&amp;COUNTIFS(C$3:C673,C673,M$3:M673,"&lt;&gt;"))</f>
        <v/>
      </c>
    </row>
    <row r="674" customFormat="false" ht="15" hidden="false" customHeight="false" outlineLevel="0" collapsed="false">
      <c r="B674" s="7"/>
      <c r="C674" s="5"/>
      <c r="D674" s="9" t="str">
        <f aca="false">IF(C674="","",IFERROR(VLOOKUP(C674,EQUIPOS!$B$3:$C$18,2,0),"NO EXISTE"))</f>
        <v/>
      </c>
      <c r="E674" s="9" t="str">
        <f aca="false">IF(C674="","",IFERROR(VLOOKUP(C674,EQUIPOS!$B$3:$F$18,5,0),""))</f>
        <v/>
      </c>
      <c r="F674" s="5" t="str">
        <f aca="false">IF(C674="","",IFERROR(VLOOKUP(C674,EQUIPOS!$B$3:$G$18,6,0),""))</f>
        <v/>
      </c>
      <c r="G674" s="8"/>
      <c r="H674" s="5"/>
      <c r="I674" s="5"/>
      <c r="J674" s="9"/>
      <c r="K674" s="17" t="str">
        <f aca="false">IF(H674="","",IFERROR(SUMIFS(BD_PLAN!$I$3:$I$312,BD_PLAN!$B$3:$B$312,E674,BD_PLAN!$C$3:$C$312,INDEX(BD_CICLO!$F$3:$F$54,MATCH(E674&amp;"|"&amp;H674,BD_CICLO!$G$3:$G$54,0))),""))</f>
        <v/>
      </c>
      <c r="L674" s="9"/>
      <c r="M674" s="9"/>
      <c r="N674" s="1" t="str">
        <f aca="false">IF(C674="","",C674&amp;"|"&amp;COUNTIF(C$3:C674,C674))</f>
        <v/>
      </c>
      <c r="O674" s="1" t="str">
        <f aca="false">IF(OR(C674="",M674=""),"",C674&amp;"|"&amp;COUNTIFS(C$3:C674,C674,M$3:M674,"&lt;&gt;"))</f>
        <v/>
      </c>
    </row>
    <row r="675" customFormat="false" ht="15" hidden="false" customHeight="false" outlineLevel="0" collapsed="false">
      <c r="B675" s="7"/>
      <c r="C675" s="5"/>
      <c r="D675" s="9" t="str">
        <f aca="false">IF(C675="","",IFERROR(VLOOKUP(C675,EQUIPOS!$B$3:$C$18,2,0),"NO EXISTE"))</f>
        <v/>
      </c>
      <c r="E675" s="9" t="str">
        <f aca="false">IF(C675="","",IFERROR(VLOOKUP(C675,EQUIPOS!$B$3:$F$18,5,0),""))</f>
        <v/>
      </c>
      <c r="F675" s="5" t="str">
        <f aca="false">IF(C675="","",IFERROR(VLOOKUP(C675,EQUIPOS!$B$3:$G$18,6,0),""))</f>
        <v/>
      </c>
      <c r="G675" s="8"/>
      <c r="H675" s="5"/>
      <c r="I675" s="5"/>
      <c r="J675" s="9"/>
      <c r="K675" s="17" t="str">
        <f aca="false">IF(H675="","",IFERROR(SUMIFS(BD_PLAN!$I$3:$I$312,BD_PLAN!$B$3:$B$312,E675,BD_PLAN!$C$3:$C$312,INDEX(BD_CICLO!$F$3:$F$54,MATCH(E675&amp;"|"&amp;H675,BD_CICLO!$G$3:$G$54,0))),""))</f>
        <v/>
      </c>
      <c r="L675" s="9"/>
      <c r="M675" s="9"/>
      <c r="N675" s="1" t="str">
        <f aca="false">IF(C675="","",C675&amp;"|"&amp;COUNTIF(C$3:C675,C675))</f>
        <v/>
      </c>
      <c r="O675" s="1" t="str">
        <f aca="false">IF(OR(C675="",M675=""),"",C675&amp;"|"&amp;COUNTIFS(C$3:C675,C675,M$3:M675,"&lt;&gt;"))</f>
        <v/>
      </c>
    </row>
    <row r="676" customFormat="false" ht="15" hidden="false" customHeight="false" outlineLevel="0" collapsed="false">
      <c r="B676" s="7"/>
      <c r="C676" s="5"/>
      <c r="D676" s="9" t="str">
        <f aca="false">IF(C676="","",IFERROR(VLOOKUP(C676,EQUIPOS!$B$3:$C$18,2,0),"NO EXISTE"))</f>
        <v/>
      </c>
      <c r="E676" s="9" t="str">
        <f aca="false">IF(C676="","",IFERROR(VLOOKUP(C676,EQUIPOS!$B$3:$F$18,5,0),""))</f>
        <v/>
      </c>
      <c r="F676" s="5" t="str">
        <f aca="false">IF(C676="","",IFERROR(VLOOKUP(C676,EQUIPOS!$B$3:$G$18,6,0),""))</f>
        <v/>
      </c>
      <c r="G676" s="8"/>
      <c r="H676" s="5"/>
      <c r="I676" s="5"/>
      <c r="J676" s="9"/>
      <c r="K676" s="17" t="str">
        <f aca="false">IF(H676="","",IFERROR(SUMIFS(BD_PLAN!$I$3:$I$312,BD_PLAN!$B$3:$B$312,E676,BD_PLAN!$C$3:$C$312,INDEX(BD_CICLO!$F$3:$F$54,MATCH(E676&amp;"|"&amp;H676,BD_CICLO!$G$3:$G$54,0))),""))</f>
        <v/>
      </c>
      <c r="L676" s="9"/>
      <c r="M676" s="9"/>
      <c r="N676" s="1" t="str">
        <f aca="false">IF(C676="","",C676&amp;"|"&amp;COUNTIF(C$3:C676,C676))</f>
        <v/>
      </c>
      <c r="O676" s="1" t="str">
        <f aca="false">IF(OR(C676="",M676=""),"",C676&amp;"|"&amp;COUNTIFS(C$3:C676,C676,M$3:M676,"&lt;&gt;"))</f>
        <v/>
      </c>
    </row>
    <row r="677" customFormat="false" ht="15" hidden="false" customHeight="false" outlineLevel="0" collapsed="false">
      <c r="B677" s="7"/>
      <c r="C677" s="5"/>
      <c r="D677" s="9" t="str">
        <f aca="false">IF(C677="","",IFERROR(VLOOKUP(C677,EQUIPOS!$B$3:$C$18,2,0),"NO EXISTE"))</f>
        <v/>
      </c>
      <c r="E677" s="9" t="str">
        <f aca="false">IF(C677="","",IFERROR(VLOOKUP(C677,EQUIPOS!$B$3:$F$18,5,0),""))</f>
        <v/>
      </c>
      <c r="F677" s="5" t="str">
        <f aca="false">IF(C677="","",IFERROR(VLOOKUP(C677,EQUIPOS!$B$3:$G$18,6,0),""))</f>
        <v/>
      </c>
      <c r="G677" s="8"/>
      <c r="H677" s="5"/>
      <c r="I677" s="5"/>
      <c r="J677" s="9"/>
      <c r="K677" s="17" t="str">
        <f aca="false">IF(H677="","",IFERROR(SUMIFS(BD_PLAN!$I$3:$I$312,BD_PLAN!$B$3:$B$312,E677,BD_PLAN!$C$3:$C$312,INDEX(BD_CICLO!$F$3:$F$54,MATCH(E677&amp;"|"&amp;H677,BD_CICLO!$G$3:$G$54,0))),""))</f>
        <v/>
      </c>
      <c r="L677" s="9"/>
      <c r="M677" s="9"/>
      <c r="N677" s="1" t="str">
        <f aca="false">IF(C677="","",C677&amp;"|"&amp;COUNTIF(C$3:C677,C677))</f>
        <v/>
      </c>
      <c r="O677" s="1" t="str">
        <f aca="false">IF(OR(C677="",M677=""),"",C677&amp;"|"&amp;COUNTIFS(C$3:C677,C677,M$3:M677,"&lt;&gt;"))</f>
        <v/>
      </c>
    </row>
    <row r="678" customFormat="false" ht="15" hidden="false" customHeight="false" outlineLevel="0" collapsed="false">
      <c r="B678" s="7"/>
      <c r="C678" s="5"/>
      <c r="D678" s="9" t="str">
        <f aca="false">IF(C678="","",IFERROR(VLOOKUP(C678,EQUIPOS!$B$3:$C$18,2,0),"NO EXISTE"))</f>
        <v/>
      </c>
      <c r="E678" s="9" t="str">
        <f aca="false">IF(C678="","",IFERROR(VLOOKUP(C678,EQUIPOS!$B$3:$F$18,5,0),""))</f>
        <v/>
      </c>
      <c r="F678" s="5" t="str">
        <f aca="false">IF(C678="","",IFERROR(VLOOKUP(C678,EQUIPOS!$B$3:$G$18,6,0),""))</f>
        <v/>
      </c>
      <c r="G678" s="8"/>
      <c r="H678" s="5"/>
      <c r="I678" s="5"/>
      <c r="J678" s="9"/>
      <c r="K678" s="17" t="str">
        <f aca="false">IF(H678="","",IFERROR(SUMIFS(BD_PLAN!$I$3:$I$312,BD_PLAN!$B$3:$B$312,E678,BD_PLAN!$C$3:$C$312,INDEX(BD_CICLO!$F$3:$F$54,MATCH(E678&amp;"|"&amp;H678,BD_CICLO!$G$3:$G$54,0))),""))</f>
        <v/>
      </c>
      <c r="L678" s="9"/>
      <c r="M678" s="9"/>
      <c r="N678" s="1" t="str">
        <f aca="false">IF(C678="","",C678&amp;"|"&amp;COUNTIF(C$3:C678,C678))</f>
        <v/>
      </c>
      <c r="O678" s="1" t="str">
        <f aca="false">IF(OR(C678="",M678=""),"",C678&amp;"|"&amp;COUNTIFS(C$3:C678,C678,M$3:M678,"&lt;&gt;"))</f>
        <v/>
      </c>
    </row>
    <row r="679" customFormat="false" ht="15" hidden="false" customHeight="false" outlineLevel="0" collapsed="false">
      <c r="B679" s="7"/>
      <c r="C679" s="5"/>
      <c r="D679" s="9" t="str">
        <f aca="false">IF(C679="","",IFERROR(VLOOKUP(C679,EQUIPOS!$B$3:$C$18,2,0),"NO EXISTE"))</f>
        <v/>
      </c>
      <c r="E679" s="9" t="str">
        <f aca="false">IF(C679="","",IFERROR(VLOOKUP(C679,EQUIPOS!$B$3:$F$18,5,0),""))</f>
        <v/>
      </c>
      <c r="F679" s="5" t="str">
        <f aca="false">IF(C679="","",IFERROR(VLOOKUP(C679,EQUIPOS!$B$3:$G$18,6,0),""))</f>
        <v/>
      </c>
      <c r="G679" s="8"/>
      <c r="H679" s="5"/>
      <c r="I679" s="5"/>
      <c r="J679" s="9"/>
      <c r="K679" s="17" t="str">
        <f aca="false">IF(H679="","",IFERROR(SUMIFS(BD_PLAN!$I$3:$I$312,BD_PLAN!$B$3:$B$312,E679,BD_PLAN!$C$3:$C$312,INDEX(BD_CICLO!$F$3:$F$54,MATCH(E679&amp;"|"&amp;H679,BD_CICLO!$G$3:$G$54,0))),""))</f>
        <v/>
      </c>
      <c r="L679" s="9"/>
      <c r="M679" s="9"/>
      <c r="N679" s="1" t="str">
        <f aca="false">IF(C679="","",C679&amp;"|"&amp;COUNTIF(C$3:C679,C679))</f>
        <v/>
      </c>
      <c r="O679" s="1" t="str">
        <f aca="false">IF(OR(C679="",M679=""),"",C679&amp;"|"&amp;COUNTIFS(C$3:C679,C679,M$3:M679,"&lt;&gt;"))</f>
        <v/>
      </c>
    </row>
    <row r="680" customFormat="false" ht="15" hidden="false" customHeight="false" outlineLevel="0" collapsed="false">
      <c r="B680" s="7"/>
      <c r="C680" s="5"/>
      <c r="D680" s="9" t="str">
        <f aca="false">IF(C680="","",IFERROR(VLOOKUP(C680,EQUIPOS!$B$3:$C$18,2,0),"NO EXISTE"))</f>
        <v/>
      </c>
      <c r="E680" s="9" t="str">
        <f aca="false">IF(C680="","",IFERROR(VLOOKUP(C680,EQUIPOS!$B$3:$F$18,5,0),""))</f>
        <v/>
      </c>
      <c r="F680" s="5" t="str">
        <f aca="false">IF(C680="","",IFERROR(VLOOKUP(C680,EQUIPOS!$B$3:$G$18,6,0),""))</f>
        <v/>
      </c>
      <c r="G680" s="8"/>
      <c r="H680" s="5"/>
      <c r="I680" s="5"/>
      <c r="J680" s="9"/>
      <c r="K680" s="17" t="str">
        <f aca="false">IF(H680="","",IFERROR(SUMIFS(BD_PLAN!$I$3:$I$312,BD_PLAN!$B$3:$B$312,E680,BD_PLAN!$C$3:$C$312,INDEX(BD_CICLO!$F$3:$F$54,MATCH(E680&amp;"|"&amp;H680,BD_CICLO!$G$3:$G$54,0))),""))</f>
        <v/>
      </c>
      <c r="L680" s="9"/>
      <c r="M680" s="9"/>
      <c r="N680" s="1" t="str">
        <f aca="false">IF(C680="","",C680&amp;"|"&amp;COUNTIF(C$3:C680,C680))</f>
        <v/>
      </c>
      <c r="O680" s="1" t="str">
        <f aca="false">IF(OR(C680="",M680=""),"",C680&amp;"|"&amp;COUNTIFS(C$3:C680,C680,M$3:M680,"&lt;&gt;"))</f>
        <v/>
      </c>
    </row>
    <row r="681" customFormat="false" ht="15" hidden="false" customHeight="false" outlineLevel="0" collapsed="false">
      <c r="B681" s="7"/>
      <c r="C681" s="5"/>
      <c r="D681" s="9" t="str">
        <f aca="false">IF(C681="","",IFERROR(VLOOKUP(C681,EQUIPOS!$B$3:$C$18,2,0),"NO EXISTE"))</f>
        <v/>
      </c>
      <c r="E681" s="9" t="str">
        <f aca="false">IF(C681="","",IFERROR(VLOOKUP(C681,EQUIPOS!$B$3:$F$18,5,0),""))</f>
        <v/>
      </c>
      <c r="F681" s="5" t="str">
        <f aca="false">IF(C681="","",IFERROR(VLOOKUP(C681,EQUIPOS!$B$3:$G$18,6,0),""))</f>
        <v/>
      </c>
      <c r="G681" s="8"/>
      <c r="H681" s="5"/>
      <c r="I681" s="5"/>
      <c r="J681" s="9"/>
      <c r="K681" s="17" t="str">
        <f aca="false">IF(H681="","",IFERROR(SUMIFS(BD_PLAN!$I$3:$I$312,BD_PLAN!$B$3:$B$312,E681,BD_PLAN!$C$3:$C$312,INDEX(BD_CICLO!$F$3:$F$54,MATCH(E681&amp;"|"&amp;H681,BD_CICLO!$G$3:$G$54,0))),""))</f>
        <v/>
      </c>
      <c r="L681" s="9"/>
      <c r="M681" s="9"/>
      <c r="N681" s="1" t="str">
        <f aca="false">IF(C681="","",C681&amp;"|"&amp;COUNTIF(C$3:C681,C681))</f>
        <v/>
      </c>
      <c r="O681" s="1" t="str">
        <f aca="false">IF(OR(C681="",M681=""),"",C681&amp;"|"&amp;COUNTIFS(C$3:C681,C681,M$3:M681,"&lt;&gt;"))</f>
        <v/>
      </c>
    </row>
    <row r="682" customFormat="false" ht="15" hidden="false" customHeight="false" outlineLevel="0" collapsed="false">
      <c r="B682" s="7"/>
      <c r="C682" s="5"/>
      <c r="D682" s="9" t="str">
        <f aca="false">IF(C682="","",IFERROR(VLOOKUP(C682,EQUIPOS!$B$3:$C$18,2,0),"NO EXISTE"))</f>
        <v/>
      </c>
      <c r="E682" s="9" t="str">
        <f aca="false">IF(C682="","",IFERROR(VLOOKUP(C682,EQUIPOS!$B$3:$F$18,5,0),""))</f>
        <v/>
      </c>
      <c r="F682" s="5" t="str">
        <f aca="false">IF(C682="","",IFERROR(VLOOKUP(C682,EQUIPOS!$B$3:$G$18,6,0),""))</f>
        <v/>
      </c>
      <c r="G682" s="8"/>
      <c r="H682" s="5"/>
      <c r="I682" s="5"/>
      <c r="J682" s="9"/>
      <c r="K682" s="17" t="str">
        <f aca="false">IF(H682="","",IFERROR(SUMIFS(BD_PLAN!$I$3:$I$312,BD_PLAN!$B$3:$B$312,E682,BD_PLAN!$C$3:$C$312,INDEX(BD_CICLO!$F$3:$F$54,MATCH(E682&amp;"|"&amp;H682,BD_CICLO!$G$3:$G$54,0))),""))</f>
        <v/>
      </c>
      <c r="L682" s="9"/>
      <c r="M682" s="9"/>
      <c r="N682" s="1" t="str">
        <f aca="false">IF(C682="","",C682&amp;"|"&amp;COUNTIF(C$3:C682,C682))</f>
        <v/>
      </c>
      <c r="O682" s="1" t="str">
        <f aca="false">IF(OR(C682="",M682=""),"",C682&amp;"|"&amp;COUNTIFS(C$3:C682,C682,M$3:M682,"&lt;&gt;"))</f>
        <v/>
      </c>
    </row>
    <row r="683" customFormat="false" ht="15" hidden="false" customHeight="false" outlineLevel="0" collapsed="false">
      <c r="B683" s="7"/>
      <c r="C683" s="5"/>
      <c r="D683" s="9" t="str">
        <f aca="false">IF(C683="","",IFERROR(VLOOKUP(C683,EQUIPOS!$B$3:$C$18,2,0),"NO EXISTE"))</f>
        <v/>
      </c>
      <c r="E683" s="9" t="str">
        <f aca="false">IF(C683="","",IFERROR(VLOOKUP(C683,EQUIPOS!$B$3:$F$18,5,0),""))</f>
        <v/>
      </c>
      <c r="F683" s="5" t="str">
        <f aca="false">IF(C683="","",IFERROR(VLOOKUP(C683,EQUIPOS!$B$3:$G$18,6,0),""))</f>
        <v/>
      </c>
      <c r="G683" s="8"/>
      <c r="H683" s="5"/>
      <c r="I683" s="5"/>
      <c r="J683" s="9"/>
      <c r="K683" s="17" t="str">
        <f aca="false">IF(H683="","",IFERROR(SUMIFS(BD_PLAN!$I$3:$I$312,BD_PLAN!$B$3:$B$312,E683,BD_PLAN!$C$3:$C$312,INDEX(BD_CICLO!$F$3:$F$54,MATCH(E683&amp;"|"&amp;H683,BD_CICLO!$G$3:$G$54,0))),""))</f>
        <v/>
      </c>
      <c r="L683" s="9"/>
      <c r="M683" s="9"/>
      <c r="N683" s="1" t="str">
        <f aca="false">IF(C683="","",C683&amp;"|"&amp;COUNTIF(C$3:C683,C683))</f>
        <v/>
      </c>
      <c r="O683" s="1" t="str">
        <f aca="false">IF(OR(C683="",M683=""),"",C683&amp;"|"&amp;COUNTIFS(C$3:C683,C683,M$3:M683,"&lt;&gt;"))</f>
        <v/>
      </c>
    </row>
    <row r="684" customFormat="false" ht="15" hidden="false" customHeight="false" outlineLevel="0" collapsed="false">
      <c r="B684" s="7"/>
      <c r="C684" s="5"/>
      <c r="D684" s="9" t="str">
        <f aca="false">IF(C684="","",IFERROR(VLOOKUP(C684,EQUIPOS!$B$3:$C$18,2,0),"NO EXISTE"))</f>
        <v/>
      </c>
      <c r="E684" s="9" t="str">
        <f aca="false">IF(C684="","",IFERROR(VLOOKUP(C684,EQUIPOS!$B$3:$F$18,5,0),""))</f>
        <v/>
      </c>
      <c r="F684" s="5" t="str">
        <f aca="false">IF(C684="","",IFERROR(VLOOKUP(C684,EQUIPOS!$B$3:$G$18,6,0),""))</f>
        <v/>
      </c>
      <c r="G684" s="8"/>
      <c r="H684" s="5"/>
      <c r="I684" s="5"/>
      <c r="J684" s="9"/>
      <c r="K684" s="17" t="str">
        <f aca="false">IF(H684="","",IFERROR(SUMIFS(BD_PLAN!$I$3:$I$312,BD_PLAN!$B$3:$B$312,E684,BD_PLAN!$C$3:$C$312,INDEX(BD_CICLO!$F$3:$F$54,MATCH(E684&amp;"|"&amp;H684,BD_CICLO!$G$3:$G$54,0))),""))</f>
        <v/>
      </c>
      <c r="L684" s="9"/>
      <c r="M684" s="9"/>
      <c r="N684" s="1" t="str">
        <f aca="false">IF(C684="","",C684&amp;"|"&amp;COUNTIF(C$3:C684,C684))</f>
        <v/>
      </c>
      <c r="O684" s="1" t="str">
        <f aca="false">IF(OR(C684="",M684=""),"",C684&amp;"|"&amp;COUNTIFS(C$3:C684,C684,M$3:M684,"&lt;&gt;"))</f>
        <v/>
      </c>
    </row>
    <row r="685" customFormat="false" ht="15" hidden="false" customHeight="false" outlineLevel="0" collapsed="false">
      <c r="B685" s="7"/>
      <c r="C685" s="5"/>
      <c r="D685" s="9" t="str">
        <f aca="false">IF(C685="","",IFERROR(VLOOKUP(C685,EQUIPOS!$B$3:$C$18,2,0),"NO EXISTE"))</f>
        <v/>
      </c>
      <c r="E685" s="9" t="str">
        <f aca="false">IF(C685="","",IFERROR(VLOOKUP(C685,EQUIPOS!$B$3:$F$18,5,0),""))</f>
        <v/>
      </c>
      <c r="F685" s="5" t="str">
        <f aca="false">IF(C685="","",IFERROR(VLOOKUP(C685,EQUIPOS!$B$3:$G$18,6,0),""))</f>
        <v/>
      </c>
      <c r="G685" s="8"/>
      <c r="H685" s="5"/>
      <c r="I685" s="5"/>
      <c r="J685" s="9"/>
      <c r="K685" s="17" t="str">
        <f aca="false">IF(H685="","",IFERROR(SUMIFS(BD_PLAN!$I$3:$I$312,BD_PLAN!$B$3:$B$312,E685,BD_PLAN!$C$3:$C$312,INDEX(BD_CICLO!$F$3:$F$54,MATCH(E685&amp;"|"&amp;H685,BD_CICLO!$G$3:$G$54,0))),""))</f>
        <v/>
      </c>
      <c r="L685" s="9"/>
      <c r="M685" s="9"/>
      <c r="N685" s="1" t="str">
        <f aca="false">IF(C685="","",C685&amp;"|"&amp;COUNTIF(C$3:C685,C685))</f>
        <v/>
      </c>
      <c r="O685" s="1" t="str">
        <f aca="false">IF(OR(C685="",M685=""),"",C685&amp;"|"&amp;COUNTIFS(C$3:C685,C685,M$3:M685,"&lt;&gt;"))</f>
        <v/>
      </c>
    </row>
    <row r="686" customFormat="false" ht="15" hidden="false" customHeight="false" outlineLevel="0" collapsed="false">
      <c r="B686" s="7"/>
      <c r="C686" s="5"/>
      <c r="D686" s="9" t="str">
        <f aca="false">IF(C686="","",IFERROR(VLOOKUP(C686,EQUIPOS!$B$3:$C$18,2,0),"NO EXISTE"))</f>
        <v/>
      </c>
      <c r="E686" s="9" t="str">
        <f aca="false">IF(C686="","",IFERROR(VLOOKUP(C686,EQUIPOS!$B$3:$F$18,5,0),""))</f>
        <v/>
      </c>
      <c r="F686" s="5" t="str">
        <f aca="false">IF(C686="","",IFERROR(VLOOKUP(C686,EQUIPOS!$B$3:$G$18,6,0),""))</f>
        <v/>
      </c>
      <c r="G686" s="8"/>
      <c r="H686" s="5"/>
      <c r="I686" s="5"/>
      <c r="J686" s="9"/>
      <c r="K686" s="17" t="str">
        <f aca="false">IF(H686="","",IFERROR(SUMIFS(BD_PLAN!$I$3:$I$312,BD_PLAN!$B$3:$B$312,E686,BD_PLAN!$C$3:$C$312,INDEX(BD_CICLO!$F$3:$F$54,MATCH(E686&amp;"|"&amp;H686,BD_CICLO!$G$3:$G$54,0))),""))</f>
        <v/>
      </c>
      <c r="L686" s="9"/>
      <c r="M686" s="9"/>
      <c r="N686" s="1" t="str">
        <f aca="false">IF(C686="","",C686&amp;"|"&amp;COUNTIF(C$3:C686,C686))</f>
        <v/>
      </c>
      <c r="O686" s="1" t="str">
        <f aca="false">IF(OR(C686="",M686=""),"",C686&amp;"|"&amp;COUNTIFS(C$3:C686,C686,M$3:M686,"&lt;&gt;"))</f>
        <v/>
      </c>
    </row>
    <row r="687" customFormat="false" ht="15" hidden="false" customHeight="false" outlineLevel="0" collapsed="false">
      <c r="B687" s="7"/>
      <c r="C687" s="5"/>
      <c r="D687" s="9" t="str">
        <f aca="false">IF(C687="","",IFERROR(VLOOKUP(C687,EQUIPOS!$B$3:$C$18,2,0),"NO EXISTE"))</f>
        <v/>
      </c>
      <c r="E687" s="9" t="str">
        <f aca="false">IF(C687="","",IFERROR(VLOOKUP(C687,EQUIPOS!$B$3:$F$18,5,0),""))</f>
        <v/>
      </c>
      <c r="F687" s="5" t="str">
        <f aca="false">IF(C687="","",IFERROR(VLOOKUP(C687,EQUIPOS!$B$3:$G$18,6,0),""))</f>
        <v/>
      </c>
      <c r="G687" s="8"/>
      <c r="H687" s="5"/>
      <c r="I687" s="5"/>
      <c r="J687" s="9"/>
      <c r="K687" s="17" t="str">
        <f aca="false">IF(H687="","",IFERROR(SUMIFS(BD_PLAN!$I$3:$I$312,BD_PLAN!$B$3:$B$312,E687,BD_PLAN!$C$3:$C$312,INDEX(BD_CICLO!$F$3:$F$54,MATCH(E687&amp;"|"&amp;H687,BD_CICLO!$G$3:$G$54,0))),""))</f>
        <v/>
      </c>
      <c r="L687" s="9"/>
      <c r="M687" s="9"/>
      <c r="N687" s="1" t="str">
        <f aca="false">IF(C687="","",C687&amp;"|"&amp;COUNTIF(C$3:C687,C687))</f>
        <v/>
      </c>
      <c r="O687" s="1" t="str">
        <f aca="false">IF(OR(C687="",M687=""),"",C687&amp;"|"&amp;COUNTIFS(C$3:C687,C687,M$3:M687,"&lt;&gt;"))</f>
        <v/>
      </c>
    </row>
    <row r="688" customFormat="false" ht="15" hidden="false" customHeight="false" outlineLevel="0" collapsed="false">
      <c r="B688" s="7"/>
      <c r="C688" s="5"/>
      <c r="D688" s="9" t="str">
        <f aca="false">IF(C688="","",IFERROR(VLOOKUP(C688,EQUIPOS!$B$3:$C$18,2,0),"NO EXISTE"))</f>
        <v/>
      </c>
      <c r="E688" s="9" t="str">
        <f aca="false">IF(C688="","",IFERROR(VLOOKUP(C688,EQUIPOS!$B$3:$F$18,5,0),""))</f>
        <v/>
      </c>
      <c r="F688" s="5" t="str">
        <f aca="false">IF(C688="","",IFERROR(VLOOKUP(C688,EQUIPOS!$B$3:$G$18,6,0),""))</f>
        <v/>
      </c>
      <c r="G688" s="8"/>
      <c r="H688" s="5"/>
      <c r="I688" s="5"/>
      <c r="J688" s="9"/>
      <c r="K688" s="17" t="str">
        <f aca="false">IF(H688="","",IFERROR(SUMIFS(BD_PLAN!$I$3:$I$312,BD_PLAN!$B$3:$B$312,E688,BD_PLAN!$C$3:$C$312,INDEX(BD_CICLO!$F$3:$F$54,MATCH(E688&amp;"|"&amp;H688,BD_CICLO!$G$3:$G$54,0))),""))</f>
        <v/>
      </c>
      <c r="L688" s="9"/>
      <c r="M688" s="9"/>
      <c r="N688" s="1" t="str">
        <f aca="false">IF(C688="","",C688&amp;"|"&amp;COUNTIF(C$3:C688,C688))</f>
        <v/>
      </c>
      <c r="O688" s="1" t="str">
        <f aca="false">IF(OR(C688="",M688=""),"",C688&amp;"|"&amp;COUNTIFS(C$3:C688,C688,M$3:M688,"&lt;&gt;"))</f>
        <v/>
      </c>
    </row>
    <row r="689" customFormat="false" ht="15" hidden="false" customHeight="false" outlineLevel="0" collapsed="false">
      <c r="B689" s="7"/>
      <c r="C689" s="5"/>
      <c r="D689" s="9" t="str">
        <f aca="false">IF(C689="","",IFERROR(VLOOKUP(C689,EQUIPOS!$B$3:$C$18,2,0),"NO EXISTE"))</f>
        <v/>
      </c>
      <c r="E689" s="9" t="str">
        <f aca="false">IF(C689="","",IFERROR(VLOOKUP(C689,EQUIPOS!$B$3:$F$18,5,0),""))</f>
        <v/>
      </c>
      <c r="F689" s="5" t="str">
        <f aca="false">IF(C689="","",IFERROR(VLOOKUP(C689,EQUIPOS!$B$3:$G$18,6,0),""))</f>
        <v/>
      </c>
      <c r="G689" s="8"/>
      <c r="H689" s="5"/>
      <c r="I689" s="5"/>
      <c r="J689" s="9"/>
      <c r="K689" s="17" t="str">
        <f aca="false">IF(H689="","",IFERROR(SUMIFS(BD_PLAN!$I$3:$I$312,BD_PLAN!$B$3:$B$312,E689,BD_PLAN!$C$3:$C$312,INDEX(BD_CICLO!$F$3:$F$54,MATCH(E689&amp;"|"&amp;H689,BD_CICLO!$G$3:$G$54,0))),""))</f>
        <v/>
      </c>
      <c r="L689" s="9"/>
      <c r="M689" s="9"/>
      <c r="N689" s="1" t="str">
        <f aca="false">IF(C689="","",C689&amp;"|"&amp;COUNTIF(C$3:C689,C689))</f>
        <v/>
      </c>
      <c r="O689" s="1" t="str">
        <f aca="false">IF(OR(C689="",M689=""),"",C689&amp;"|"&amp;COUNTIFS(C$3:C689,C689,M$3:M689,"&lt;&gt;"))</f>
        <v/>
      </c>
    </row>
    <row r="690" customFormat="false" ht="15" hidden="false" customHeight="false" outlineLevel="0" collapsed="false">
      <c r="B690" s="7"/>
      <c r="C690" s="5"/>
      <c r="D690" s="9" t="str">
        <f aca="false">IF(C690="","",IFERROR(VLOOKUP(C690,EQUIPOS!$B$3:$C$18,2,0),"NO EXISTE"))</f>
        <v/>
      </c>
      <c r="E690" s="9" t="str">
        <f aca="false">IF(C690="","",IFERROR(VLOOKUP(C690,EQUIPOS!$B$3:$F$18,5,0),""))</f>
        <v/>
      </c>
      <c r="F690" s="5" t="str">
        <f aca="false">IF(C690="","",IFERROR(VLOOKUP(C690,EQUIPOS!$B$3:$G$18,6,0),""))</f>
        <v/>
      </c>
      <c r="G690" s="8"/>
      <c r="H690" s="5"/>
      <c r="I690" s="5"/>
      <c r="J690" s="9"/>
      <c r="K690" s="17" t="str">
        <f aca="false">IF(H690="","",IFERROR(SUMIFS(BD_PLAN!$I$3:$I$312,BD_PLAN!$B$3:$B$312,E690,BD_PLAN!$C$3:$C$312,INDEX(BD_CICLO!$F$3:$F$54,MATCH(E690&amp;"|"&amp;H690,BD_CICLO!$G$3:$G$54,0))),""))</f>
        <v/>
      </c>
      <c r="L690" s="9"/>
      <c r="M690" s="9"/>
      <c r="N690" s="1" t="str">
        <f aca="false">IF(C690="","",C690&amp;"|"&amp;COUNTIF(C$3:C690,C690))</f>
        <v/>
      </c>
      <c r="O690" s="1" t="str">
        <f aca="false">IF(OR(C690="",M690=""),"",C690&amp;"|"&amp;COUNTIFS(C$3:C690,C690,M$3:M690,"&lt;&gt;"))</f>
        <v/>
      </c>
    </row>
    <row r="691" customFormat="false" ht="15" hidden="false" customHeight="false" outlineLevel="0" collapsed="false">
      <c r="B691" s="7"/>
      <c r="C691" s="5"/>
      <c r="D691" s="9" t="str">
        <f aca="false">IF(C691="","",IFERROR(VLOOKUP(C691,EQUIPOS!$B$3:$C$18,2,0),"NO EXISTE"))</f>
        <v/>
      </c>
      <c r="E691" s="9" t="str">
        <f aca="false">IF(C691="","",IFERROR(VLOOKUP(C691,EQUIPOS!$B$3:$F$18,5,0),""))</f>
        <v/>
      </c>
      <c r="F691" s="5" t="str">
        <f aca="false">IF(C691="","",IFERROR(VLOOKUP(C691,EQUIPOS!$B$3:$G$18,6,0),""))</f>
        <v/>
      </c>
      <c r="G691" s="8"/>
      <c r="H691" s="5"/>
      <c r="I691" s="5"/>
      <c r="J691" s="9"/>
      <c r="K691" s="17" t="str">
        <f aca="false">IF(H691="","",IFERROR(SUMIFS(BD_PLAN!$I$3:$I$312,BD_PLAN!$B$3:$B$312,E691,BD_PLAN!$C$3:$C$312,INDEX(BD_CICLO!$F$3:$F$54,MATCH(E691&amp;"|"&amp;H691,BD_CICLO!$G$3:$G$54,0))),""))</f>
        <v/>
      </c>
      <c r="L691" s="9"/>
      <c r="M691" s="9"/>
      <c r="N691" s="1" t="str">
        <f aca="false">IF(C691="","",C691&amp;"|"&amp;COUNTIF(C$3:C691,C691))</f>
        <v/>
      </c>
      <c r="O691" s="1" t="str">
        <f aca="false">IF(OR(C691="",M691=""),"",C691&amp;"|"&amp;COUNTIFS(C$3:C691,C691,M$3:M691,"&lt;&gt;"))</f>
        <v/>
      </c>
    </row>
    <row r="692" customFormat="false" ht="15" hidden="false" customHeight="false" outlineLevel="0" collapsed="false">
      <c r="B692" s="7"/>
      <c r="C692" s="5"/>
      <c r="D692" s="9" t="str">
        <f aca="false">IF(C692="","",IFERROR(VLOOKUP(C692,EQUIPOS!$B$3:$C$18,2,0),"NO EXISTE"))</f>
        <v/>
      </c>
      <c r="E692" s="9" t="str">
        <f aca="false">IF(C692="","",IFERROR(VLOOKUP(C692,EQUIPOS!$B$3:$F$18,5,0),""))</f>
        <v/>
      </c>
      <c r="F692" s="5" t="str">
        <f aca="false">IF(C692="","",IFERROR(VLOOKUP(C692,EQUIPOS!$B$3:$G$18,6,0),""))</f>
        <v/>
      </c>
      <c r="G692" s="8"/>
      <c r="H692" s="5"/>
      <c r="I692" s="5"/>
      <c r="J692" s="9"/>
      <c r="K692" s="17" t="str">
        <f aca="false">IF(H692="","",IFERROR(SUMIFS(BD_PLAN!$I$3:$I$312,BD_PLAN!$B$3:$B$312,E692,BD_PLAN!$C$3:$C$312,INDEX(BD_CICLO!$F$3:$F$54,MATCH(E692&amp;"|"&amp;H692,BD_CICLO!$G$3:$G$54,0))),""))</f>
        <v/>
      </c>
      <c r="L692" s="9"/>
      <c r="M692" s="9"/>
      <c r="N692" s="1" t="str">
        <f aca="false">IF(C692="","",C692&amp;"|"&amp;COUNTIF(C$3:C692,C692))</f>
        <v/>
      </c>
      <c r="O692" s="1" t="str">
        <f aca="false">IF(OR(C692="",M692=""),"",C692&amp;"|"&amp;COUNTIFS(C$3:C692,C692,M$3:M692,"&lt;&gt;"))</f>
        <v/>
      </c>
    </row>
    <row r="693" customFormat="false" ht="15" hidden="false" customHeight="false" outlineLevel="0" collapsed="false">
      <c r="B693" s="7"/>
      <c r="C693" s="5"/>
      <c r="D693" s="9" t="str">
        <f aca="false">IF(C693="","",IFERROR(VLOOKUP(C693,EQUIPOS!$B$3:$C$18,2,0),"NO EXISTE"))</f>
        <v/>
      </c>
      <c r="E693" s="9" t="str">
        <f aca="false">IF(C693="","",IFERROR(VLOOKUP(C693,EQUIPOS!$B$3:$F$18,5,0),""))</f>
        <v/>
      </c>
      <c r="F693" s="5" t="str">
        <f aca="false">IF(C693="","",IFERROR(VLOOKUP(C693,EQUIPOS!$B$3:$G$18,6,0),""))</f>
        <v/>
      </c>
      <c r="G693" s="8"/>
      <c r="H693" s="5"/>
      <c r="I693" s="5"/>
      <c r="J693" s="9"/>
      <c r="K693" s="17" t="str">
        <f aca="false">IF(H693="","",IFERROR(SUMIFS(BD_PLAN!$I$3:$I$312,BD_PLAN!$B$3:$B$312,E693,BD_PLAN!$C$3:$C$312,INDEX(BD_CICLO!$F$3:$F$54,MATCH(E693&amp;"|"&amp;H693,BD_CICLO!$G$3:$G$54,0))),""))</f>
        <v/>
      </c>
      <c r="L693" s="9"/>
      <c r="M693" s="9"/>
      <c r="N693" s="1" t="str">
        <f aca="false">IF(C693="","",C693&amp;"|"&amp;COUNTIF(C$3:C693,C693))</f>
        <v/>
      </c>
      <c r="O693" s="1" t="str">
        <f aca="false">IF(OR(C693="",M693=""),"",C693&amp;"|"&amp;COUNTIFS(C$3:C693,C693,M$3:M693,"&lt;&gt;"))</f>
        <v/>
      </c>
    </row>
    <row r="694" customFormat="false" ht="15" hidden="false" customHeight="false" outlineLevel="0" collapsed="false">
      <c r="B694" s="7"/>
      <c r="C694" s="5"/>
      <c r="D694" s="9" t="str">
        <f aca="false">IF(C694="","",IFERROR(VLOOKUP(C694,EQUIPOS!$B$3:$C$18,2,0),"NO EXISTE"))</f>
        <v/>
      </c>
      <c r="E694" s="9" t="str">
        <f aca="false">IF(C694="","",IFERROR(VLOOKUP(C694,EQUIPOS!$B$3:$F$18,5,0),""))</f>
        <v/>
      </c>
      <c r="F694" s="5" t="str">
        <f aca="false">IF(C694="","",IFERROR(VLOOKUP(C694,EQUIPOS!$B$3:$G$18,6,0),""))</f>
        <v/>
      </c>
      <c r="G694" s="8"/>
      <c r="H694" s="5"/>
      <c r="I694" s="5"/>
      <c r="J694" s="9"/>
      <c r="K694" s="17" t="str">
        <f aca="false">IF(H694="","",IFERROR(SUMIFS(BD_PLAN!$I$3:$I$312,BD_PLAN!$B$3:$B$312,E694,BD_PLAN!$C$3:$C$312,INDEX(BD_CICLO!$F$3:$F$54,MATCH(E694&amp;"|"&amp;H694,BD_CICLO!$G$3:$G$54,0))),""))</f>
        <v/>
      </c>
      <c r="L694" s="9"/>
      <c r="M694" s="9"/>
      <c r="N694" s="1" t="str">
        <f aca="false">IF(C694="","",C694&amp;"|"&amp;COUNTIF(C$3:C694,C694))</f>
        <v/>
      </c>
      <c r="O694" s="1" t="str">
        <f aca="false">IF(OR(C694="",M694=""),"",C694&amp;"|"&amp;COUNTIFS(C$3:C694,C694,M$3:M694,"&lt;&gt;"))</f>
        <v/>
      </c>
    </row>
    <row r="695" customFormat="false" ht="15" hidden="false" customHeight="false" outlineLevel="0" collapsed="false">
      <c r="B695" s="7"/>
      <c r="C695" s="5"/>
      <c r="D695" s="9" t="str">
        <f aca="false">IF(C695="","",IFERROR(VLOOKUP(C695,EQUIPOS!$B$3:$C$18,2,0),"NO EXISTE"))</f>
        <v/>
      </c>
      <c r="E695" s="9" t="str">
        <f aca="false">IF(C695="","",IFERROR(VLOOKUP(C695,EQUIPOS!$B$3:$F$18,5,0),""))</f>
        <v/>
      </c>
      <c r="F695" s="5" t="str">
        <f aca="false">IF(C695="","",IFERROR(VLOOKUP(C695,EQUIPOS!$B$3:$G$18,6,0),""))</f>
        <v/>
      </c>
      <c r="G695" s="8"/>
      <c r="H695" s="5"/>
      <c r="I695" s="5"/>
      <c r="J695" s="9"/>
      <c r="K695" s="17" t="str">
        <f aca="false">IF(H695="","",IFERROR(SUMIFS(BD_PLAN!$I$3:$I$312,BD_PLAN!$B$3:$B$312,E695,BD_PLAN!$C$3:$C$312,INDEX(BD_CICLO!$F$3:$F$54,MATCH(E695&amp;"|"&amp;H695,BD_CICLO!$G$3:$G$54,0))),""))</f>
        <v/>
      </c>
      <c r="L695" s="9"/>
      <c r="M695" s="9"/>
      <c r="N695" s="1" t="str">
        <f aca="false">IF(C695="","",C695&amp;"|"&amp;COUNTIF(C$3:C695,C695))</f>
        <v/>
      </c>
      <c r="O695" s="1" t="str">
        <f aca="false">IF(OR(C695="",M695=""),"",C695&amp;"|"&amp;COUNTIFS(C$3:C695,C695,M$3:M695,"&lt;&gt;"))</f>
        <v/>
      </c>
    </row>
    <row r="696" customFormat="false" ht="15" hidden="false" customHeight="false" outlineLevel="0" collapsed="false">
      <c r="B696" s="7"/>
      <c r="C696" s="5"/>
      <c r="D696" s="9" t="str">
        <f aca="false">IF(C696="","",IFERROR(VLOOKUP(C696,EQUIPOS!$B$3:$C$18,2,0),"NO EXISTE"))</f>
        <v/>
      </c>
      <c r="E696" s="9" t="str">
        <f aca="false">IF(C696="","",IFERROR(VLOOKUP(C696,EQUIPOS!$B$3:$F$18,5,0),""))</f>
        <v/>
      </c>
      <c r="F696" s="5" t="str">
        <f aca="false">IF(C696="","",IFERROR(VLOOKUP(C696,EQUIPOS!$B$3:$G$18,6,0),""))</f>
        <v/>
      </c>
      <c r="G696" s="8"/>
      <c r="H696" s="5"/>
      <c r="I696" s="5"/>
      <c r="J696" s="9"/>
      <c r="K696" s="17" t="str">
        <f aca="false">IF(H696="","",IFERROR(SUMIFS(BD_PLAN!$I$3:$I$312,BD_PLAN!$B$3:$B$312,E696,BD_PLAN!$C$3:$C$312,INDEX(BD_CICLO!$F$3:$F$54,MATCH(E696&amp;"|"&amp;H696,BD_CICLO!$G$3:$G$54,0))),""))</f>
        <v/>
      </c>
      <c r="L696" s="9"/>
      <c r="M696" s="9"/>
      <c r="N696" s="1" t="str">
        <f aca="false">IF(C696="","",C696&amp;"|"&amp;COUNTIF(C$3:C696,C696))</f>
        <v/>
      </c>
      <c r="O696" s="1" t="str">
        <f aca="false">IF(OR(C696="",M696=""),"",C696&amp;"|"&amp;COUNTIFS(C$3:C696,C696,M$3:M696,"&lt;&gt;"))</f>
        <v/>
      </c>
    </row>
    <row r="697" customFormat="false" ht="15" hidden="false" customHeight="false" outlineLevel="0" collapsed="false">
      <c r="B697" s="7"/>
      <c r="C697" s="5"/>
      <c r="D697" s="9" t="str">
        <f aca="false">IF(C697="","",IFERROR(VLOOKUP(C697,EQUIPOS!$B$3:$C$18,2,0),"NO EXISTE"))</f>
        <v/>
      </c>
      <c r="E697" s="9" t="str">
        <f aca="false">IF(C697="","",IFERROR(VLOOKUP(C697,EQUIPOS!$B$3:$F$18,5,0),""))</f>
        <v/>
      </c>
      <c r="F697" s="5" t="str">
        <f aca="false">IF(C697="","",IFERROR(VLOOKUP(C697,EQUIPOS!$B$3:$G$18,6,0),""))</f>
        <v/>
      </c>
      <c r="G697" s="8"/>
      <c r="H697" s="5"/>
      <c r="I697" s="5"/>
      <c r="J697" s="9"/>
      <c r="K697" s="17" t="str">
        <f aca="false">IF(H697="","",IFERROR(SUMIFS(BD_PLAN!$I$3:$I$312,BD_PLAN!$B$3:$B$312,E697,BD_PLAN!$C$3:$C$312,INDEX(BD_CICLO!$F$3:$F$54,MATCH(E697&amp;"|"&amp;H697,BD_CICLO!$G$3:$G$54,0))),""))</f>
        <v/>
      </c>
      <c r="L697" s="9"/>
      <c r="M697" s="9"/>
      <c r="N697" s="1" t="str">
        <f aca="false">IF(C697="","",C697&amp;"|"&amp;COUNTIF(C$3:C697,C697))</f>
        <v/>
      </c>
      <c r="O697" s="1" t="str">
        <f aca="false">IF(OR(C697="",M697=""),"",C697&amp;"|"&amp;COUNTIFS(C$3:C697,C697,M$3:M697,"&lt;&gt;"))</f>
        <v/>
      </c>
    </row>
    <row r="698" customFormat="false" ht="15" hidden="false" customHeight="false" outlineLevel="0" collapsed="false">
      <c r="B698" s="7"/>
      <c r="C698" s="5"/>
      <c r="D698" s="9" t="str">
        <f aca="false">IF(C698="","",IFERROR(VLOOKUP(C698,EQUIPOS!$B$3:$C$18,2,0),"NO EXISTE"))</f>
        <v/>
      </c>
      <c r="E698" s="9" t="str">
        <f aca="false">IF(C698="","",IFERROR(VLOOKUP(C698,EQUIPOS!$B$3:$F$18,5,0),""))</f>
        <v/>
      </c>
      <c r="F698" s="5" t="str">
        <f aca="false">IF(C698="","",IFERROR(VLOOKUP(C698,EQUIPOS!$B$3:$G$18,6,0),""))</f>
        <v/>
      </c>
      <c r="G698" s="8"/>
      <c r="H698" s="5"/>
      <c r="I698" s="5"/>
      <c r="J698" s="9"/>
      <c r="K698" s="17" t="str">
        <f aca="false">IF(H698="","",IFERROR(SUMIFS(BD_PLAN!$I$3:$I$312,BD_PLAN!$B$3:$B$312,E698,BD_PLAN!$C$3:$C$312,INDEX(BD_CICLO!$F$3:$F$54,MATCH(E698&amp;"|"&amp;H698,BD_CICLO!$G$3:$G$54,0))),""))</f>
        <v/>
      </c>
      <c r="L698" s="9"/>
      <c r="M698" s="9"/>
      <c r="N698" s="1" t="str">
        <f aca="false">IF(C698="","",C698&amp;"|"&amp;COUNTIF(C$3:C698,C698))</f>
        <v/>
      </c>
      <c r="O698" s="1" t="str">
        <f aca="false">IF(OR(C698="",M698=""),"",C698&amp;"|"&amp;COUNTIFS(C$3:C698,C698,M$3:M698,"&lt;&gt;"))</f>
        <v/>
      </c>
    </row>
    <row r="699" customFormat="false" ht="15" hidden="false" customHeight="false" outlineLevel="0" collapsed="false">
      <c r="B699" s="7"/>
      <c r="C699" s="5"/>
      <c r="D699" s="9" t="str">
        <f aca="false">IF(C699="","",IFERROR(VLOOKUP(C699,EQUIPOS!$B$3:$C$18,2,0),"NO EXISTE"))</f>
        <v/>
      </c>
      <c r="E699" s="9" t="str">
        <f aca="false">IF(C699="","",IFERROR(VLOOKUP(C699,EQUIPOS!$B$3:$F$18,5,0),""))</f>
        <v/>
      </c>
      <c r="F699" s="5" t="str">
        <f aca="false">IF(C699="","",IFERROR(VLOOKUP(C699,EQUIPOS!$B$3:$G$18,6,0),""))</f>
        <v/>
      </c>
      <c r="G699" s="8"/>
      <c r="H699" s="5"/>
      <c r="I699" s="5"/>
      <c r="J699" s="9"/>
      <c r="K699" s="17" t="str">
        <f aca="false">IF(H699="","",IFERROR(SUMIFS(BD_PLAN!$I$3:$I$312,BD_PLAN!$B$3:$B$312,E699,BD_PLAN!$C$3:$C$312,INDEX(BD_CICLO!$F$3:$F$54,MATCH(E699&amp;"|"&amp;H699,BD_CICLO!$G$3:$G$54,0))),""))</f>
        <v/>
      </c>
      <c r="L699" s="9"/>
      <c r="M699" s="9"/>
      <c r="N699" s="1" t="str">
        <f aca="false">IF(C699="","",C699&amp;"|"&amp;COUNTIF(C$3:C699,C699))</f>
        <v/>
      </c>
      <c r="O699" s="1" t="str">
        <f aca="false">IF(OR(C699="",M699=""),"",C699&amp;"|"&amp;COUNTIFS(C$3:C699,C699,M$3:M699,"&lt;&gt;"))</f>
        <v/>
      </c>
    </row>
    <row r="700" customFormat="false" ht="15" hidden="false" customHeight="false" outlineLevel="0" collapsed="false">
      <c r="B700" s="7"/>
      <c r="C700" s="5"/>
      <c r="D700" s="9" t="str">
        <f aca="false">IF(C700="","",IFERROR(VLOOKUP(C700,EQUIPOS!$B$3:$C$18,2,0),"NO EXISTE"))</f>
        <v/>
      </c>
      <c r="E700" s="9" t="str">
        <f aca="false">IF(C700="","",IFERROR(VLOOKUP(C700,EQUIPOS!$B$3:$F$18,5,0),""))</f>
        <v/>
      </c>
      <c r="F700" s="5" t="str">
        <f aca="false">IF(C700="","",IFERROR(VLOOKUP(C700,EQUIPOS!$B$3:$G$18,6,0),""))</f>
        <v/>
      </c>
      <c r="G700" s="8"/>
      <c r="H700" s="5"/>
      <c r="I700" s="5"/>
      <c r="J700" s="9"/>
      <c r="K700" s="17" t="str">
        <f aca="false">IF(H700="","",IFERROR(SUMIFS(BD_PLAN!$I$3:$I$312,BD_PLAN!$B$3:$B$312,E700,BD_PLAN!$C$3:$C$312,INDEX(BD_CICLO!$F$3:$F$54,MATCH(E700&amp;"|"&amp;H700,BD_CICLO!$G$3:$G$54,0))),""))</f>
        <v/>
      </c>
      <c r="L700" s="9"/>
      <c r="M700" s="9"/>
      <c r="N700" s="1" t="str">
        <f aca="false">IF(C700="","",C700&amp;"|"&amp;COUNTIF(C$3:C700,C700))</f>
        <v/>
      </c>
      <c r="O700" s="1" t="str">
        <f aca="false">IF(OR(C700="",M700=""),"",C700&amp;"|"&amp;COUNTIFS(C$3:C700,C700,M$3:M700,"&lt;&gt;"))</f>
        <v/>
      </c>
    </row>
    <row r="701" customFormat="false" ht="15" hidden="false" customHeight="false" outlineLevel="0" collapsed="false">
      <c r="B701" s="7"/>
      <c r="C701" s="5"/>
      <c r="D701" s="9" t="str">
        <f aca="false">IF(C701="","",IFERROR(VLOOKUP(C701,EQUIPOS!$B$3:$C$18,2,0),"NO EXISTE"))</f>
        <v/>
      </c>
      <c r="E701" s="9" t="str">
        <f aca="false">IF(C701="","",IFERROR(VLOOKUP(C701,EQUIPOS!$B$3:$F$18,5,0),""))</f>
        <v/>
      </c>
      <c r="F701" s="5" t="str">
        <f aca="false">IF(C701="","",IFERROR(VLOOKUP(C701,EQUIPOS!$B$3:$G$18,6,0),""))</f>
        <v/>
      </c>
      <c r="G701" s="8"/>
      <c r="H701" s="5"/>
      <c r="I701" s="5"/>
      <c r="J701" s="9"/>
      <c r="K701" s="17" t="str">
        <f aca="false">IF(H701="","",IFERROR(SUMIFS(BD_PLAN!$I$3:$I$312,BD_PLAN!$B$3:$B$312,E701,BD_PLAN!$C$3:$C$312,INDEX(BD_CICLO!$F$3:$F$54,MATCH(E701&amp;"|"&amp;H701,BD_CICLO!$G$3:$G$54,0))),""))</f>
        <v/>
      </c>
      <c r="L701" s="9"/>
      <c r="M701" s="9"/>
      <c r="N701" s="1" t="str">
        <f aca="false">IF(C701="","",C701&amp;"|"&amp;COUNTIF(C$3:C701,C701))</f>
        <v/>
      </c>
      <c r="O701" s="1" t="str">
        <f aca="false">IF(OR(C701="",M701=""),"",C701&amp;"|"&amp;COUNTIFS(C$3:C701,C701,M$3:M701,"&lt;&gt;"))</f>
        <v/>
      </c>
    </row>
    <row r="702" customFormat="false" ht="15" hidden="false" customHeight="false" outlineLevel="0" collapsed="false">
      <c r="B702" s="7"/>
      <c r="C702" s="5"/>
      <c r="D702" s="9" t="str">
        <f aca="false">IF(C702="","",IFERROR(VLOOKUP(C702,EQUIPOS!$B$3:$C$18,2,0),"NO EXISTE"))</f>
        <v/>
      </c>
      <c r="E702" s="9" t="str">
        <f aca="false">IF(C702="","",IFERROR(VLOOKUP(C702,EQUIPOS!$B$3:$F$18,5,0),""))</f>
        <v/>
      </c>
      <c r="F702" s="5" t="str">
        <f aca="false">IF(C702="","",IFERROR(VLOOKUP(C702,EQUIPOS!$B$3:$G$18,6,0),""))</f>
        <v/>
      </c>
      <c r="G702" s="8"/>
      <c r="H702" s="5"/>
      <c r="I702" s="5"/>
      <c r="J702" s="9"/>
      <c r="K702" s="17" t="str">
        <f aca="false">IF(H702="","",IFERROR(SUMIFS(BD_PLAN!$I$3:$I$312,BD_PLAN!$B$3:$B$312,E702,BD_PLAN!$C$3:$C$312,INDEX(BD_CICLO!$F$3:$F$54,MATCH(E702&amp;"|"&amp;H702,BD_CICLO!$G$3:$G$54,0))),""))</f>
        <v/>
      </c>
      <c r="L702" s="9"/>
      <c r="M702" s="9"/>
      <c r="N702" s="1" t="str">
        <f aca="false">IF(C702="","",C702&amp;"|"&amp;COUNTIF(C$3:C702,C702))</f>
        <v/>
      </c>
      <c r="O702" s="1" t="str">
        <f aca="false">IF(OR(C702="",M702=""),"",C702&amp;"|"&amp;COUNTIFS(C$3:C702,C702,M$3:M702,"&lt;&gt;"))</f>
        <v/>
      </c>
    </row>
    <row r="703" customFormat="false" ht="15" hidden="false" customHeight="false" outlineLevel="0" collapsed="false">
      <c r="B703" s="7"/>
      <c r="C703" s="5"/>
      <c r="D703" s="9" t="str">
        <f aca="false">IF(C703="","",IFERROR(VLOOKUP(C703,EQUIPOS!$B$3:$C$18,2,0),"NO EXISTE"))</f>
        <v/>
      </c>
      <c r="E703" s="9" t="str">
        <f aca="false">IF(C703="","",IFERROR(VLOOKUP(C703,EQUIPOS!$B$3:$F$18,5,0),""))</f>
        <v/>
      </c>
      <c r="F703" s="5" t="str">
        <f aca="false">IF(C703="","",IFERROR(VLOOKUP(C703,EQUIPOS!$B$3:$G$18,6,0),""))</f>
        <v/>
      </c>
      <c r="G703" s="8"/>
      <c r="H703" s="5"/>
      <c r="I703" s="5"/>
      <c r="J703" s="9"/>
      <c r="K703" s="17" t="str">
        <f aca="false">IF(H703="","",IFERROR(SUMIFS(BD_PLAN!$I$3:$I$312,BD_PLAN!$B$3:$B$312,E703,BD_PLAN!$C$3:$C$312,INDEX(BD_CICLO!$F$3:$F$54,MATCH(E703&amp;"|"&amp;H703,BD_CICLO!$G$3:$G$54,0))),""))</f>
        <v/>
      </c>
      <c r="L703" s="9"/>
      <c r="M703" s="9"/>
      <c r="N703" s="1" t="str">
        <f aca="false">IF(C703="","",C703&amp;"|"&amp;COUNTIF(C$3:C703,C703))</f>
        <v/>
      </c>
      <c r="O703" s="1" t="str">
        <f aca="false">IF(OR(C703="",M703=""),"",C703&amp;"|"&amp;COUNTIFS(C$3:C703,C703,M$3:M703,"&lt;&gt;"))</f>
        <v/>
      </c>
    </row>
    <row r="704" customFormat="false" ht="15" hidden="false" customHeight="false" outlineLevel="0" collapsed="false">
      <c r="B704" s="7"/>
      <c r="C704" s="5"/>
      <c r="D704" s="9" t="str">
        <f aca="false">IF(C704="","",IFERROR(VLOOKUP(C704,EQUIPOS!$B$3:$C$18,2,0),"NO EXISTE"))</f>
        <v/>
      </c>
      <c r="E704" s="9" t="str">
        <f aca="false">IF(C704="","",IFERROR(VLOOKUP(C704,EQUIPOS!$B$3:$F$18,5,0),""))</f>
        <v/>
      </c>
      <c r="F704" s="5" t="str">
        <f aca="false">IF(C704="","",IFERROR(VLOOKUP(C704,EQUIPOS!$B$3:$G$18,6,0),""))</f>
        <v/>
      </c>
      <c r="G704" s="8"/>
      <c r="H704" s="5"/>
      <c r="I704" s="5"/>
      <c r="J704" s="9"/>
      <c r="K704" s="17" t="str">
        <f aca="false">IF(H704="","",IFERROR(SUMIFS(BD_PLAN!$I$3:$I$312,BD_PLAN!$B$3:$B$312,E704,BD_PLAN!$C$3:$C$312,INDEX(BD_CICLO!$F$3:$F$54,MATCH(E704&amp;"|"&amp;H704,BD_CICLO!$G$3:$G$54,0))),""))</f>
        <v/>
      </c>
      <c r="L704" s="9"/>
      <c r="M704" s="9"/>
      <c r="N704" s="1" t="str">
        <f aca="false">IF(C704="","",C704&amp;"|"&amp;COUNTIF(C$3:C704,C704))</f>
        <v/>
      </c>
      <c r="O704" s="1" t="str">
        <f aca="false">IF(OR(C704="",M704=""),"",C704&amp;"|"&amp;COUNTIFS(C$3:C704,C704,M$3:M704,"&lt;&gt;"))</f>
        <v/>
      </c>
    </row>
    <row r="705" customFormat="false" ht="15" hidden="false" customHeight="false" outlineLevel="0" collapsed="false">
      <c r="B705" s="7"/>
      <c r="C705" s="5"/>
      <c r="D705" s="9" t="str">
        <f aca="false">IF(C705="","",IFERROR(VLOOKUP(C705,EQUIPOS!$B$3:$C$18,2,0),"NO EXISTE"))</f>
        <v/>
      </c>
      <c r="E705" s="9" t="str">
        <f aca="false">IF(C705="","",IFERROR(VLOOKUP(C705,EQUIPOS!$B$3:$F$18,5,0),""))</f>
        <v/>
      </c>
      <c r="F705" s="5" t="str">
        <f aca="false">IF(C705="","",IFERROR(VLOOKUP(C705,EQUIPOS!$B$3:$G$18,6,0),""))</f>
        <v/>
      </c>
      <c r="G705" s="8"/>
      <c r="H705" s="5"/>
      <c r="I705" s="5"/>
      <c r="J705" s="9"/>
      <c r="K705" s="17" t="str">
        <f aca="false">IF(H705="","",IFERROR(SUMIFS(BD_PLAN!$I$3:$I$312,BD_PLAN!$B$3:$B$312,E705,BD_PLAN!$C$3:$C$312,INDEX(BD_CICLO!$F$3:$F$54,MATCH(E705&amp;"|"&amp;H705,BD_CICLO!$G$3:$G$54,0))),""))</f>
        <v/>
      </c>
      <c r="L705" s="9"/>
      <c r="M705" s="9"/>
      <c r="N705" s="1" t="str">
        <f aca="false">IF(C705="","",C705&amp;"|"&amp;COUNTIF(C$3:C705,C705))</f>
        <v/>
      </c>
      <c r="O705" s="1" t="str">
        <f aca="false">IF(OR(C705="",M705=""),"",C705&amp;"|"&amp;COUNTIFS(C$3:C705,C705,M$3:M705,"&lt;&gt;"))</f>
        <v/>
      </c>
    </row>
    <row r="706" customFormat="false" ht="15" hidden="false" customHeight="false" outlineLevel="0" collapsed="false">
      <c r="B706" s="7"/>
      <c r="C706" s="5"/>
      <c r="D706" s="9" t="str">
        <f aca="false">IF(C706="","",IFERROR(VLOOKUP(C706,EQUIPOS!$B$3:$C$18,2,0),"NO EXISTE"))</f>
        <v/>
      </c>
      <c r="E706" s="9" t="str">
        <f aca="false">IF(C706="","",IFERROR(VLOOKUP(C706,EQUIPOS!$B$3:$F$18,5,0),""))</f>
        <v/>
      </c>
      <c r="F706" s="5" t="str">
        <f aca="false">IF(C706="","",IFERROR(VLOOKUP(C706,EQUIPOS!$B$3:$G$18,6,0),""))</f>
        <v/>
      </c>
      <c r="G706" s="8"/>
      <c r="H706" s="5"/>
      <c r="I706" s="5"/>
      <c r="J706" s="9"/>
      <c r="K706" s="17" t="str">
        <f aca="false">IF(H706="","",IFERROR(SUMIFS(BD_PLAN!$I$3:$I$312,BD_PLAN!$B$3:$B$312,E706,BD_PLAN!$C$3:$C$312,INDEX(BD_CICLO!$F$3:$F$54,MATCH(E706&amp;"|"&amp;H706,BD_CICLO!$G$3:$G$54,0))),""))</f>
        <v/>
      </c>
      <c r="L706" s="9"/>
      <c r="M706" s="9"/>
      <c r="N706" s="1" t="str">
        <f aca="false">IF(C706="","",C706&amp;"|"&amp;COUNTIF(C$3:C706,C706))</f>
        <v/>
      </c>
      <c r="O706" s="1" t="str">
        <f aca="false">IF(OR(C706="",M706=""),"",C706&amp;"|"&amp;COUNTIFS(C$3:C706,C706,M$3:M706,"&lt;&gt;"))</f>
        <v/>
      </c>
    </row>
    <row r="707" customFormat="false" ht="15" hidden="false" customHeight="false" outlineLevel="0" collapsed="false">
      <c r="B707" s="7"/>
      <c r="C707" s="5"/>
      <c r="D707" s="9" t="str">
        <f aca="false">IF(C707="","",IFERROR(VLOOKUP(C707,EQUIPOS!$B$3:$C$18,2,0),"NO EXISTE"))</f>
        <v/>
      </c>
      <c r="E707" s="9" t="str">
        <f aca="false">IF(C707="","",IFERROR(VLOOKUP(C707,EQUIPOS!$B$3:$F$18,5,0),""))</f>
        <v/>
      </c>
      <c r="F707" s="5" t="str">
        <f aca="false">IF(C707="","",IFERROR(VLOOKUP(C707,EQUIPOS!$B$3:$G$18,6,0),""))</f>
        <v/>
      </c>
      <c r="G707" s="8"/>
      <c r="H707" s="5"/>
      <c r="I707" s="5"/>
      <c r="J707" s="9"/>
      <c r="K707" s="17" t="str">
        <f aca="false">IF(H707="","",IFERROR(SUMIFS(BD_PLAN!$I$3:$I$312,BD_PLAN!$B$3:$B$312,E707,BD_PLAN!$C$3:$C$312,INDEX(BD_CICLO!$F$3:$F$54,MATCH(E707&amp;"|"&amp;H707,BD_CICLO!$G$3:$G$54,0))),""))</f>
        <v/>
      </c>
      <c r="L707" s="9"/>
      <c r="M707" s="9"/>
      <c r="N707" s="1" t="str">
        <f aca="false">IF(C707="","",C707&amp;"|"&amp;COUNTIF(C$3:C707,C707))</f>
        <v/>
      </c>
      <c r="O707" s="1" t="str">
        <f aca="false">IF(OR(C707="",M707=""),"",C707&amp;"|"&amp;COUNTIFS(C$3:C707,C707,M$3:M707,"&lt;&gt;"))</f>
        <v/>
      </c>
    </row>
    <row r="708" customFormat="false" ht="15" hidden="false" customHeight="false" outlineLevel="0" collapsed="false">
      <c r="B708" s="7"/>
      <c r="C708" s="5"/>
      <c r="D708" s="9" t="str">
        <f aca="false">IF(C708="","",IFERROR(VLOOKUP(C708,EQUIPOS!$B$3:$C$18,2,0),"NO EXISTE"))</f>
        <v/>
      </c>
      <c r="E708" s="9" t="str">
        <f aca="false">IF(C708="","",IFERROR(VLOOKUP(C708,EQUIPOS!$B$3:$F$18,5,0),""))</f>
        <v/>
      </c>
      <c r="F708" s="5" t="str">
        <f aca="false">IF(C708="","",IFERROR(VLOOKUP(C708,EQUIPOS!$B$3:$G$18,6,0),""))</f>
        <v/>
      </c>
      <c r="G708" s="8"/>
      <c r="H708" s="5"/>
      <c r="I708" s="5"/>
      <c r="J708" s="9"/>
      <c r="K708" s="17" t="str">
        <f aca="false">IF(H708="","",IFERROR(SUMIFS(BD_PLAN!$I$3:$I$312,BD_PLAN!$B$3:$B$312,E708,BD_PLAN!$C$3:$C$312,INDEX(BD_CICLO!$F$3:$F$54,MATCH(E708&amp;"|"&amp;H708,BD_CICLO!$G$3:$G$54,0))),""))</f>
        <v/>
      </c>
      <c r="L708" s="9"/>
      <c r="M708" s="9"/>
      <c r="N708" s="1" t="str">
        <f aca="false">IF(C708="","",C708&amp;"|"&amp;COUNTIF(C$3:C708,C708))</f>
        <v/>
      </c>
      <c r="O708" s="1" t="str">
        <f aca="false">IF(OR(C708="",M708=""),"",C708&amp;"|"&amp;COUNTIFS(C$3:C708,C708,M$3:M708,"&lt;&gt;"))</f>
        <v/>
      </c>
    </row>
    <row r="709" customFormat="false" ht="15" hidden="false" customHeight="false" outlineLevel="0" collapsed="false">
      <c r="B709" s="7"/>
      <c r="C709" s="5"/>
      <c r="D709" s="9" t="str">
        <f aca="false">IF(C709="","",IFERROR(VLOOKUP(C709,EQUIPOS!$B$3:$C$18,2,0),"NO EXISTE"))</f>
        <v/>
      </c>
      <c r="E709" s="9" t="str">
        <f aca="false">IF(C709="","",IFERROR(VLOOKUP(C709,EQUIPOS!$B$3:$F$18,5,0),""))</f>
        <v/>
      </c>
      <c r="F709" s="5" t="str">
        <f aca="false">IF(C709="","",IFERROR(VLOOKUP(C709,EQUIPOS!$B$3:$G$18,6,0),""))</f>
        <v/>
      </c>
      <c r="G709" s="8"/>
      <c r="H709" s="5"/>
      <c r="I709" s="5"/>
      <c r="J709" s="9"/>
      <c r="K709" s="17" t="str">
        <f aca="false">IF(H709="","",IFERROR(SUMIFS(BD_PLAN!$I$3:$I$312,BD_PLAN!$B$3:$B$312,E709,BD_PLAN!$C$3:$C$312,INDEX(BD_CICLO!$F$3:$F$54,MATCH(E709&amp;"|"&amp;H709,BD_CICLO!$G$3:$G$54,0))),""))</f>
        <v/>
      </c>
      <c r="L709" s="9"/>
      <c r="M709" s="9"/>
      <c r="N709" s="1" t="str">
        <f aca="false">IF(C709="","",C709&amp;"|"&amp;COUNTIF(C$3:C709,C709))</f>
        <v/>
      </c>
      <c r="O709" s="1" t="str">
        <f aca="false">IF(OR(C709="",M709=""),"",C709&amp;"|"&amp;COUNTIFS(C$3:C709,C709,M$3:M709,"&lt;&gt;"))</f>
        <v/>
      </c>
    </row>
    <row r="710" customFormat="false" ht="15" hidden="false" customHeight="false" outlineLevel="0" collapsed="false">
      <c r="B710" s="7"/>
      <c r="C710" s="5"/>
      <c r="D710" s="9" t="str">
        <f aca="false">IF(C710="","",IFERROR(VLOOKUP(C710,EQUIPOS!$B$3:$C$18,2,0),"NO EXISTE"))</f>
        <v/>
      </c>
      <c r="E710" s="9" t="str">
        <f aca="false">IF(C710="","",IFERROR(VLOOKUP(C710,EQUIPOS!$B$3:$F$18,5,0),""))</f>
        <v/>
      </c>
      <c r="F710" s="5" t="str">
        <f aca="false">IF(C710="","",IFERROR(VLOOKUP(C710,EQUIPOS!$B$3:$G$18,6,0),""))</f>
        <v/>
      </c>
      <c r="G710" s="8"/>
      <c r="H710" s="5"/>
      <c r="I710" s="5"/>
      <c r="J710" s="9"/>
      <c r="K710" s="17" t="str">
        <f aca="false">IF(H710="","",IFERROR(SUMIFS(BD_PLAN!$I$3:$I$312,BD_PLAN!$B$3:$B$312,E710,BD_PLAN!$C$3:$C$312,INDEX(BD_CICLO!$F$3:$F$54,MATCH(E710&amp;"|"&amp;H710,BD_CICLO!$G$3:$G$54,0))),""))</f>
        <v/>
      </c>
      <c r="L710" s="9"/>
      <c r="M710" s="9"/>
      <c r="N710" s="1" t="str">
        <f aca="false">IF(C710="","",C710&amp;"|"&amp;COUNTIF(C$3:C710,C710))</f>
        <v/>
      </c>
      <c r="O710" s="1" t="str">
        <f aca="false">IF(OR(C710="",M710=""),"",C710&amp;"|"&amp;COUNTIFS(C$3:C710,C710,M$3:M710,"&lt;&gt;"))</f>
        <v/>
      </c>
    </row>
    <row r="711" customFormat="false" ht="15" hidden="false" customHeight="false" outlineLevel="0" collapsed="false">
      <c r="B711" s="7"/>
      <c r="C711" s="5"/>
      <c r="D711" s="9" t="str">
        <f aca="false">IF(C711="","",IFERROR(VLOOKUP(C711,EQUIPOS!$B$3:$C$18,2,0),"NO EXISTE"))</f>
        <v/>
      </c>
      <c r="E711" s="9" t="str">
        <f aca="false">IF(C711="","",IFERROR(VLOOKUP(C711,EQUIPOS!$B$3:$F$18,5,0),""))</f>
        <v/>
      </c>
      <c r="F711" s="5" t="str">
        <f aca="false">IF(C711="","",IFERROR(VLOOKUP(C711,EQUIPOS!$B$3:$G$18,6,0),""))</f>
        <v/>
      </c>
      <c r="G711" s="8"/>
      <c r="H711" s="5"/>
      <c r="I711" s="5"/>
      <c r="J711" s="9"/>
      <c r="K711" s="17" t="str">
        <f aca="false">IF(H711="","",IFERROR(SUMIFS(BD_PLAN!$I$3:$I$312,BD_PLAN!$B$3:$B$312,E711,BD_PLAN!$C$3:$C$312,INDEX(BD_CICLO!$F$3:$F$54,MATCH(E711&amp;"|"&amp;H711,BD_CICLO!$G$3:$G$54,0))),""))</f>
        <v/>
      </c>
      <c r="L711" s="9"/>
      <c r="M711" s="9"/>
      <c r="N711" s="1" t="str">
        <f aca="false">IF(C711="","",C711&amp;"|"&amp;COUNTIF(C$3:C711,C711))</f>
        <v/>
      </c>
      <c r="O711" s="1" t="str">
        <f aca="false">IF(OR(C711="",M711=""),"",C711&amp;"|"&amp;COUNTIFS(C$3:C711,C711,M$3:M711,"&lt;&gt;"))</f>
        <v/>
      </c>
    </row>
    <row r="712" customFormat="false" ht="15" hidden="false" customHeight="false" outlineLevel="0" collapsed="false">
      <c r="B712" s="7"/>
      <c r="C712" s="5"/>
      <c r="D712" s="9" t="str">
        <f aca="false">IF(C712="","",IFERROR(VLOOKUP(C712,EQUIPOS!$B$3:$C$18,2,0),"NO EXISTE"))</f>
        <v/>
      </c>
      <c r="E712" s="9" t="str">
        <f aca="false">IF(C712="","",IFERROR(VLOOKUP(C712,EQUIPOS!$B$3:$F$18,5,0),""))</f>
        <v/>
      </c>
      <c r="F712" s="5" t="str">
        <f aca="false">IF(C712="","",IFERROR(VLOOKUP(C712,EQUIPOS!$B$3:$G$18,6,0),""))</f>
        <v/>
      </c>
      <c r="G712" s="8"/>
      <c r="H712" s="5"/>
      <c r="I712" s="5"/>
      <c r="J712" s="9"/>
      <c r="K712" s="17" t="str">
        <f aca="false">IF(H712="","",IFERROR(SUMIFS(BD_PLAN!$I$3:$I$312,BD_PLAN!$B$3:$B$312,E712,BD_PLAN!$C$3:$C$312,INDEX(BD_CICLO!$F$3:$F$54,MATCH(E712&amp;"|"&amp;H712,BD_CICLO!$G$3:$G$54,0))),""))</f>
        <v/>
      </c>
      <c r="L712" s="9"/>
      <c r="M712" s="9"/>
      <c r="N712" s="1" t="str">
        <f aca="false">IF(C712="","",C712&amp;"|"&amp;COUNTIF(C$3:C712,C712))</f>
        <v/>
      </c>
      <c r="O712" s="1" t="str">
        <f aca="false">IF(OR(C712="",M712=""),"",C712&amp;"|"&amp;COUNTIFS(C$3:C712,C712,M$3:M712,"&lt;&gt;"))</f>
        <v/>
      </c>
    </row>
    <row r="713" customFormat="false" ht="15" hidden="false" customHeight="false" outlineLevel="0" collapsed="false">
      <c r="B713" s="7"/>
      <c r="C713" s="5"/>
      <c r="D713" s="9" t="str">
        <f aca="false">IF(C713="","",IFERROR(VLOOKUP(C713,EQUIPOS!$B$3:$C$18,2,0),"NO EXISTE"))</f>
        <v/>
      </c>
      <c r="E713" s="9" t="str">
        <f aca="false">IF(C713="","",IFERROR(VLOOKUP(C713,EQUIPOS!$B$3:$F$18,5,0),""))</f>
        <v/>
      </c>
      <c r="F713" s="5" t="str">
        <f aca="false">IF(C713="","",IFERROR(VLOOKUP(C713,EQUIPOS!$B$3:$G$18,6,0),""))</f>
        <v/>
      </c>
      <c r="G713" s="8"/>
      <c r="H713" s="5"/>
      <c r="I713" s="5"/>
      <c r="J713" s="9"/>
      <c r="K713" s="17" t="str">
        <f aca="false">IF(H713="","",IFERROR(SUMIFS(BD_PLAN!$I$3:$I$312,BD_PLAN!$B$3:$B$312,E713,BD_PLAN!$C$3:$C$312,INDEX(BD_CICLO!$F$3:$F$54,MATCH(E713&amp;"|"&amp;H713,BD_CICLO!$G$3:$G$54,0))),""))</f>
        <v/>
      </c>
      <c r="L713" s="9"/>
      <c r="M713" s="9"/>
      <c r="N713" s="1" t="str">
        <f aca="false">IF(C713="","",C713&amp;"|"&amp;COUNTIF(C$3:C713,C713))</f>
        <v/>
      </c>
      <c r="O713" s="1" t="str">
        <f aca="false">IF(OR(C713="",M713=""),"",C713&amp;"|"&amp;COUNTIFS(C$3:C713,C713,M$3:M713,"&lt;&gt;"))</f>
        <v/>
      </c>
    </row>
    <row r="714" customFormat="false" ht="15" hidden="false" customHeight="false" outlineLevel="0" collapsed="false">
      <c r="B714" s="7"/>
      <c r="C714" s="5"/>
      <c r="D714" s="9" t="str">
        <f aca="false">IF(C714="","",IFERROR(VLOOKUP(C714,EQUIPOS!$B$3:$C$18,2,0),"NO EXISTE"))</f>
        <v/>
      </c>
      <c r="E714" s="9" t="str">
        <f aca="false">IF(C714="","",IFERROR(VLOOKUP(C714,EQUIPOS!$B$3:$F$18,5,0),""))</f>
        <v/>
      </c>
      <c r="F714" s="5" t="str">
        <f aca="false">IF(C714="","",IFERROR(VLOOKUP(C714,EQUIPOS!$B$3:$G$18,6,0),""))</f>
        <v/>
      </c>
      <c r="G714" s="8"/>
      <c r="H714" s="5"/>
      <c r="I714" s="5"/>
      <c r="J714" s="9"/>
      <c r="K714" s="17" t="str">
        <f aca="false">IF(H714="","",IFERROR(SUMIFS(BD_PLAN!$I$3:$I$312,BD_PLAN!$B$3:$B$312,E714,BD_PLAN!$C$3:$C$312,INDEX(BD_CICLO!$F$3:$F$54,MATCH(E714&amp;"|"&amp;H714,BD_CICLO!$G$3:$G$54,0))),""))</f>
        <v/>
      </c>
      <c r="L714" s="9"/>
      <c r="M714" s="9"/>
      <c r="N714" s="1" t="str">
        <f aca="false">IF(C714="","",C714&amp;"|"&amp;COUNTIF(C$3:C714,C714))</f>
        <v/>
      </c>
      <c r="O714" s="1" t="str">
        <f aca="false">IF(OR(C714="",M714=""),"",C714&amp;"|"&amp;COUNTIFS(C$3:C714,C714,M$3:M714,"&lt;&gt;"))</f>
        <v/>
      </c>
    </row>
    <row r="715" customFormat="false" ht="15" hidden="false" customHeight="false" outlineLevel="0" collapsed="false">
      <c r="B715" s="7"/>
      <c r="C715" s="5"/>
      <c r="D715" s="9" t="str">
        <f aca="false">IF(C715="","",IFERROR(VLOOKUP(C715,EQUIPOS!$B$3:$C$18,2,0),"NO EXISTE"))</f>
        <v/>
      </c>
      <c r="E715" s="9" t="str">
        <f aca="false">IF(C715="","",IFERROR(VLOOKUP(C715,EQUIPOS!$B$3:$F$18,5,0),""))</f>
        <v/>
      </c>
      <c r="F715" s="5" t="str">
        <f aca="false">IF(C715="","",IFERROR(VLOOKUP(C715,EQUIPOS!$B$3:$G$18,6,0),""))</f>
        <v/>
      </c>
      <c r="G715" s="8"/>
      <c r="H715" s="5"/>
      <c r="I715" s="5"/>
      <c r="J715" s="9"/>
      <c r="K715" s="17" t="str">
        <f aca="false">IF(H715="","",IFERROR(SUMIFS(BD_PLAN!$I$3:$I$312,BD_PLAN!$B$3:$B$312,E715,BD_PLAN!$C$3:$C$312,INDEX(BD_CICLO!$F$3:$F$54,MATCH(E715&amp;"|"&amp;H715,BD_CICLO!$G$3:$G$54,0))),""))</f>
        <v/>
      </c>
      <c r="L715" s="9"/>
      <c r="M715" s="9"/>
      <c r="N715" s="1" t="str">
        <f aca="false">IF(C715="","",C715&amp;"|"&amp;COUNTIF(C$3:C715,C715))</f>
        <v/>
      </c>
      <c r="O715" s="1" t="str">
        <f aca="false">IF(OR(C715="",M715=""),"",C715&amp;"|"&amp;COUNTIFS(C$3:C715,C715,M$3:M715,"&lt;&gt;"))</f>
        <v/>
      </c>
    </row>
    <row r="716" customFormat="false" ht="15" hidden="false" customHeight="false" outlineLevel="0" collapsed="false">
      <c r="B716" s="7"/>
      <c r="C716" s="5"/>
      <c r="D716" s="9" t="str">
        <f aca="false">IF(C716="","",IFERROR(VLOOKUP(C716,EQUIPOS!$B$3:$C$18,2,0),"NO EXISTE"))</f>
        <v/>
      </c>
      <c r="E716" s="9" t="str">
        <f aca="false">IF(C716="","",IFERROR(VLOOKUP(C716,EQUIPOS!$B$3:$F$18,5,0),""))</f>
        <v/>
      </c>
      <c r="F716" s="5" t="str">
        <f aca="false">IF(C716="","",IFERROR(VLOOKUP(C716,EQUIPOS!$B$3:$G$18,6,0),""))</f>
        <v/>
      </c>
      <c r="G716" s="8"/>
      <c r="H716" s="5"/>
      <c r="I716" s="5"/>
      <c r="J716" s="9"/>
      <c r="K716" s="17" t="str">
        <f aca="false">IF(H716="","",IFERROR(SUMIFS(BD_PLAN!$I$3:$I$312,BD_PLAN!$B$3:$B$312,E716,BD_PLAN!$C$3:$C$312,INDEX(BD_CICLO!$F$3:$F$54,MATCH(E716&amp;"|"&amp;H716,BD_CICLO!$G$3:$G$54,0))),""))</f>
        <v/>
      </c>
      <c r="L716" s="9"/>
      <c r="M716" s="9"/>
      <c r="N716" s="1" t="str">
        <f aca="false">IF(C716="","",C716&amp;"|"&amp;COUNTIF(C$3:C716,C716))</f>
        <v/>
      </c>
      <c r="O716" s="1" t="str">
        <f aca="false">IF(OR(C716="",M716=""),"",C716&amp;"|"&amp;COUNTIFS(C$3:C716,C716,M$3:M716,"&lt;&gt;"))</f>
        <v/>
      </c>
    </row>
    <row r="717" customFormat="false" ht="15" hidden="false" customHeight="false" outlineLevel="0" collapsed="false">
      <c r="B717" s="7"/>
      <c r="C717" s="5"/>
      <c r="D717" s="9" t="str">
        <f aca="false">IF(C717="","",IFERROR(VLOOKUP(C717,EQUIPOS!$B$3:$C$18,2,0),"NO EXISTE"))</f>
        <v/>
      </c>
      <c r="E717" s="9" t="str">
        <f aca="false">IF(C717="","",IFERROR(VLOOKUP(C717,EQUIPOS!$B$3:$F$18,5,0),""))</f>
        <v/>
      </c>
      <c r="F717" s="5" t="str">
        <f aca="false">IF(C717="","",IFERROR(VLOOKUP(C717,EQUIPOS!$B$3:$G$18,6,0),""))</f>
        <v/>
      </c>
      <c r="G717" s="8"/>
      <c r="H717" s="5"/>
      <c r="I717" s="5"/>
      <c r="J717" s="9"/>
      <c r="K717" s="17" t="str">
        <f aca="false">IF(H717="","",IFERROR(SUMIFS(BD_PLAN!$I$3:$I$312,BD_PLAN!$B$3:$B$312,E717,BD_PLAN!$C$3:$C$312,INDEX(BD_CICLO!$F$3:$F$54,MATCH(E717&amp;"|"&amp;H717,BD_CICLO!$G$3:$G$54,0))),""))</f>
        <v/>
      </c>
      <c r="L717" s="9"/>
      <c r="M717" s="9"/>
      <c r="N717" s="1" t="str">
        <f aca="false">IF(C717="","",C717&amp;"|"&amp;COUNTIF(C$3:C717,C717))</f>
        <v/>
      </c>
      <c r="O717" s="1" t="str">
        <f aca="false">IF(OR(C717="",M717=""),"",C717&amp;"|"&amp;COUNTIFS(C$3:C717,C717,M$3:M717,"&lt;&gt;"))</f>
        <v/>
      </c>
    </row>
    <row r="718" customFormat="false" ht="15" hidden="false" customHeight="false" outlineLevel="0" collapsed="false">
      <c r="B718" s="7"/>
      <c r="C718" s="5"/>
      <c r="D718" s="9" t="str">
        <f aca="false">IF(C718="","",IFERROR(VLOOKUP(C718,EQUIPOS!$B$3:$C$18,2,0),"NO EXISTE"))</f>
        <v/>
      </c>
      <c r="E718" s="9" t="str">
        <f aca="false">IF(C718="","",IFERROR(VLOOKUP(C718,EQUIPOS!$B$3:$F$18,5,0),""))</f>
        <v/>
      </c>
      <c r="F718" s="5" t="str">
        <f aca="false">IF(C718="","",IFERROR(VLOOKUP(C718,EQUIPOS!$B$3:$G$18,6,0),""))</f>
        <v/>
      </c>
      <c r="G718" s="8"/>
      <c r="H718" s="5"/>
      <c r="I718" s="5"/>
      <c r="J718" s="9"/>
      <c r="K718" s="17" t="str">
        <f aca="false">IF(H718="","",IFERROR(SUMIFS(BD_PLAN!$I$3:$I$312,BD_PLAN!$B$3:$B$312,E718,BD_PLAN!$C$3:$C$312,INDEX(BD_CICLO!$F$3:$F$54,MATCH(E718&amp;"|"&amp;H718,BD_CICLO!$G$3:$G$54,0))),""))</f>
        <v/>
      </c>
      <c r="L718" s="9"/>
      <c r="M718" s="9"/>
      <c r="N718" s="1" t="str">
        <f aca="false">IF(C718="","",C718&amp;"|"&amp;COUNTIF(C$3:C718,C718))</f>
        <v/>
      </c>
      <c r="O718" s="1" t="str">
        <f aca="false">IF(OR(C718="",M718=""),"",C718&amp;"|"&amp;COUNTIFS(C$3:C718,C718,M$3:M718,"&lt;&gt;"))</f>
        <v/>
      </c>
    </row>
    <row r="719" customFormat="false" ht="15" hidden="false" customHeight="false" outlineLevel="0" collapsed="false">
      <c r="B719" s="7"/>
      <c r="C719" s="5"/>
      <c r="D719" s="9" t="str">
        <f aca="false">IF(C719="","",IFERROR(VLOOKUP(C719,EQUIPOS!$B$3:$C$18,2,0),"NO EXISTE"))</f>
        <v/>
      </c>
      <c r="E719" s="9" t="str">
        <f aca="false">IF(C719="","",IFERROR(VLOOKUP(C719,EQUIPOS!$B$3:$F$18,5,0),""))</f>
        <v/>
      </c>
      <c r="F719" s="5" t="str">
        <f aca="false">IF(C719="","",IFERROR(VLOOKUP(C719,EQUIPOS!$B$3:$G$18,6,0),""))</f>
        <v/>
      </c>
      <c r="G719" s="8"/>
      <c r="H719" s="5"/>
      <c r="I719" s="5"/>
      <c r="J719" s="9"/>
      <c r="K719" s="17" t="str">
        <f aca="false">IF(H719="","",IFERROR(SUMIFS(BD_PLAN!$I$3:$I$312,BD_PLAN!$B$3:$B$312,E719,BD_PLAN!$C$3:$C$312,INDEX(BD_CICLO!$F$3:$F$54,MATCH(E719&amp;"|"&amp;H719,BD_CICLO!$G$3:$G$54,0))),""))</f>
        <v/>
      </c>
      <c r="L719" s="9"/>
      <c r="M719" s="9"/>
      <c r="N719" s="1" t="str">
        <f aca="false">IF(C719="","",C719&amp;"|"&amp;COUNTIF(C$3:C719,C719))</f>
        <v/>
      </c>
      <c r="O719" s="1" t="str">
        <f aca="false">IF(OR(C719="",M719=""),"",C719&amp;"|"&amp;COUNTIFS(C$3:C719,C719,M$3:M719,"&lt;&gt;"))</f>
        <v/>
      </c>
    </row>
    <row r="720" customFormat="false" ht="15" hidden="false" customHeight="false" outlineLevel="0" collapsed="false">
      <c r="B720" s="7"/>
      <c r="C720" s="5"/>
      <c r="D720" s="9" t="str">
        <f aca="false">IF(C720="","",IFERROR(VLOOKUP(C720,EQUIPOS!$B$3:$C$18,2,0),"NO EXISTE"))</f>
        <v/>
      </c>
      <c r="E720" s="9" t="str">
        <f aca="false">IF(C720="","",IFERROR(VLOOKUP(C720,EQUIPOS!$B$3:$F$18,5,0),""))</f>
        <v/>
      </c>
      <c r="F720" s="5" t="str">
        <f aca="false">IF(C720="","",IFERROR(VLOOKUP(C720,EQUIPOS!$B$3:$G$18,6,0),""))</f>
        <v/>
      </c>
      <c r="G720" s="8"/>
      <c r="H720" s="5"/>
      <c r="I720" s="5"/>
      <c r="J720" s="9"/>
      <c r="K720" s="17" t="str">
        <f aca="false">IF(H720="","",IFERROR(SUMIFS(BD_PLAN!$I$3:$I$312,BD_PLAN!$B$3:$B$312,E720,BD_PLAN!$C$3:$C$312,INDEX(BD_CICLO!$F$3:$F$54,MATCH(E720&amp;"|"&amp;H720,BD_CICLO!$G$3:$G$54,0))),""))</f>
        <v/>
      </c>
      <c r="L720" s="9"/>
      <c r="M720" s="9"/>
      <c r="N720" s="1" t="str">
        <f aca="false">IF(C720="","",C720&amp;"|"&amp;COUNTIF(C$3:C720,C720))</f>
        <v/>
      </c>
      <c r="O720" s="1" t="str">
        <f aca="false">IF(OR(C720="",M720=""),"",C720&amp;"|"&amp;COUNTIFS(C$3:C720,C720,M$3:M720,"&lt;&gt;"))</f>
        <v/>
      </c>
    </row>
    <row r="721" customFormat="false" ht="15" hidden="false" customHeight="false" outlineLevel="0" collapsed="false">
      <c r="B721" s="7"/>
      <c r="C721" s="5"/>
      <c r="D721" s="9" t="str">
        <f aca="false">IF(C721="","",IFERROR(VLOOKUP(C721,EQUIPOS!$B$3:$C$18,2,0),"NO EXISTE"))</f>
        <v/>
      </c>
      <c r="E721" s="9" t="str">
        <f aca="false">IF(C721="","",IFERROR(VLOOKUP(C721,EQUIPOS!$B$3:$F$18,5,0),""))</f>
        <v/>
      </c>
      <c r="F721" s="5" t="str">
        <f aca="false">IF(C721="","",IFERROR(VLOOKUP(C721,EQUIPOS!$B$3:$G$18,6,0),""))</f>
        <v/>
      </c>
      <c r="G721" s="8"/>
      <c r="H721" s="5"/>
      <c r="I721" s="5"/>
      <c r="J721" s="9"/>
      <c r="K721" s="17" t="str">
        <f aca="false">IF(H721="","",IFERROR(SUMIFS(BD_PLAN!$I$3:$I$312,BD_PLAN!$B$3:$B$312,E721,BD_PLAN!$C$3:$C$312,INDEX(BD_CICLO!$F$3:$F$54,MATCH(E721&amp;"|"&amp;H721,BD_CICLO!$G$3:$G$54,0))),""))</f>
        <v/>
      </c>
      <c r="L721" s="9"/>
      <c r="M721" s="9"/>
      <c r="N721" s="1" t="str">
        <f aca="false">IF(C721="","",C721&amp;"|"&amp;COUNTIF(C$3:C721,C721))</f>
        <v/>
      </c>
      <c r="O721" s="1" t="str">
        <f aca="false">IF(OR(C721="",M721=""),"",C721&amp;"|"&amp;COUNTIFS(C$3:C721,C721,M$3:M721,"&lt;&gt;"))</f>
        <v/>
      </c>
    </row>
    <row r="722" customFormat="false" ht="15" hidden="false" customHeight="false" outlineLevel="0" collapsed="false">
      <c r="B722" s="7"/>
      <c r="C722" s="5"/>
      <c r="D722" s="9" t="str">
        <f aca="false">IF(C722="","",IFERROR(VLOOKUP(C722,EQUIPOS!$B$3:$C$18,2,0),"NO EXISTE"))</f>
        <v/>
      </c>
      <c r="E722" s="9" t="str">
        <f aca="false">IF(C722="","",IFERROR(VLOOKUP(C722,EQUIPOS!$B$3:$F$18,5,0),""))</f>
        <v/>
      </c>
      <c r="F722" s="5" t="str">
        <f aca="false">IF(C722="","",IFERROR(VLOOKUP(C722,EQUIPOS!$B$3:$G$18,6,0),""))</f>
        <v/>
      </c>
      <c r="G722" s="8"/>
      <c r="H722" s="5"/>
      <c r="I722" s="5"/>
      <c r="J722" s="9"/>
      <c r="K722" s="17" t="str">
        <f aca="false">IF(H722="","",IFERROR(SUMIFS(BD_PLAN!$I$3:$I$312,BD_PLAN!$B$3:$B$312,E722,BD_PLAN!$C$3:$C$312,INDEX(BD_CICLO!$F$3:$F$54,MATCH(E722&amp;"|"&amp;H722,BD_CICLO!$G$3:$G$54,0))),""))</f>
        <v/>
      </c>
      <c r="L722" s="9"/>
      <c r="M722" s="9"/>
      <c r="N722" s="1" t="str">
        <f aca="false">IF(C722="","",C722&amp;"|"&amp;COUNTIF(C$3:C722,C722))</f>
        <v/>
      </c>
      <c r="O722" s="1" t="str">
        <f aca="false">IF(OR(C722="",M722=""),"",C722&amp;"|"&amp;COUNTIFS(C$3:C722,C722,M$3:M722,"&lt;&gt;"))</f>
        <v/>
      </c>
    </row>
    <row r="723" customFormat="false" ht="15" hidden="false" customHeight="false" outlineLevel="0" collapsed="false">
      <c r="B723" s="7"/>
      <c r="C723" s="5"/>
      <c r="D723" s="9" t="str">
        <f aca="false">IF(C723="","",IFERROR(VLOOKUP(C723,EQUIPOS!$B$3:$C$18,2,0),"NO EXISTE"))</f>
        <v/>
      </c>
      <c r="E723" s="9" t="str">
        <f aca="false">IF(C723="","",IFERROR(VLOOKUP(C723,EQUIPOS!$B$3:$F$18,5,0),""))</f>
        <v/>
      </c>
      <c r="F723" s="5" t="str">
        <f aca="false">IF(C723="","",IFERROR(VLOOKUP(C723,EQUIPOS!$B$3:$G$18,6,0),""))</f>
        <v/>
      </c>
      <c r="G723" s="8"/>
      <c r="H723" s="5"/>
      <c r="I723" s="5"/>
      <c r="J723" s="9"/>
      <c r="K723" s="17" t="str">
        <f aca="false">IF(H723="","",IFERROR(SUMIFS(BD_PLAN!$I$3:$I$312,BD_PLAN!$B$3:$B$312,E723,BD_PLAN!$C$3:$C$312,INDEX(BD_CICLO!$F$3:$F$54,MATCH(E723&amp;"|"&amp;H723,BD_CICLO!$G$3:$G$54,0))),""))</f>
        <v/>
      </c>
      <c r="L723" s="9"/>
      <c r="M723" s="9"/>
      <c r="N723" s="1" t="str">
        <f aca="false">IF(C723="","",C723&amp;"|"&amp;COUNTIF(C$3:C723,C723))</f>
        <v/>
      </c>
      <c r="O723" s="1" t="str">
        <f aca="false">IF(OR(C723="",M723=""),"",C723&amp;"|"&amp;COUNTIFS(C$3:C723,C723,M$3:M723,"&lt;&gt;"))</f>
        <v/>
      </c>
    </row>
    <row r="724" customFormat="false" ht="15" hidden="false" customHeight="false" outlineLevel="0" collapsed="false">
      <c r="B724" s="7"/>
      <c r="C724" s="5"/>
      <c r="D724" s="9" t="str">
        <f aca="false">IF(C724="","",IFERROR(VLOOKUP(C724,EQUIPOS!$B$3:$C$18,2,0),"NO EXISTE"))</f>
        <v/>
      </c>
      <c r="E724" s="9" t="str">
        <f aca="false">IF(C724="","",IFERROR(VLOOKUP(C724,EQUIPOS!$B$3:$F$18,5,0),""))</f>
        <v/>
      </c>
      <c r="F724" s="5" t="str">
        <f aca="false">IF(C724="","",IFERROR(VLOOKUP(C724,EQUIPOS!$B$3:$G$18,6,0),""))</f>
        <v/>
      </c>
      <c r="G724" s="8"/>
      <c r="H724" s="5"/>
      <c r="I724" s="5"/>
      <c r="J724" s="9"/>
      <c r="K724" s="17" t="str">
        <f aca="false">IF(H724="","",IFERROR(SUMIFS(BD_PLAN!$I$3:$I$312,BD_PLAN!$B$3:$B$312,E724,BD_PLAN!$C$3:$C$312,INDEX(BD_CICLO!$F$3:$F$54,MATCH(E724&amp;"|"&amp;H724,BD_CICLO!$G$3:$G$54,0))),""))</f>
        <v/>
      </c>
      <c r="L724" s="9"/>
      <c r="M724" s="9"/>
      <c r="N724" s="1" t="str">
        <f aca="false">IF(C724="","",C724&amp;"|"&amp;COUNTIF(C$3:C724,C724))</f>
        <v/>
      </c>
      <c r="O724" s="1" t="str">
        <f aca="false">IF(OR(C724="",M724=""),"",C724&amp;"|"&amp;COUNTIFS(C$3:C724,C724,M$3:M724,"&lt;&gt;"))</f>
        <v/>
      </c>
    </row>
    <row r="725" customFormat="false" ht="15" hidden="false" customHeight="false" outlineLevel="0" collapsed="false">
      <c r="B725" s="7"/>
      <c r="C725" s="5"/>
      <c r="D725" s="9" t="str">
        <f aca="false">IF(C725="","",IFERROR(VLOOKUP(C725,EQUIPOS!$B$3:$C$18,2,0),"NO EXISTE"))</f>
        <v/>
      </c>
      <c r="E725" s="9" t="str">
        <f aca="false">IF(C725="","",IFERROR(VLOOKUP(C725,EQUIPOS!$B$3:$F$18,5,0),""))</f>
        <v/>
      </c>
      <c r="F725" s="5" t="str">
        <f aca="false">IF(C725="","",IFERROR(VLOOKUP(C725,EQUIPOS!$B$3:$G$18,6,0),""))</f>
        <v/>
      </c>
      <c r="G725" s="8"/>
      <c r="H725" s="5"/>
      <c r="I725" s="5"/>
      <c r="J725" s="9"/>
      <c r="K725" s="17" t="str">
        <f aca="false">IF(H725="","",IFERROR(SUMIFS(BD_PLAN!$I$3:$I$312,BD_PLAN!$B$3:$B$312,E725,BD_PLAN!$C$3:$C$312,INDEX(BD_CICLO!$F$3:$F$54,MATCH(E725&amp;"|"&amp;H725,BD_CICLO!$G$3:$G$54,0))),""))</f>
        <v/>
      </c>
      <c r="L725" s="9"/>
      <c r="M725" s="9"/>
      <c r="N725" s="1" t="str">
        <f aca="false">IF(C725="","",C725&amp;"|"&amp;COUNTIF(C$3:C725,C725))</f>
        <v/>
      </c>
      <c r="O725" s="1" t="str">
        <f aca="false">IF(OR(C725="",M725=""),"",C725&amp;"|"&amp;COUNTIFS(C$3:C725,C725,M$3:M725,"&lt;&gt;"))</f>
        <v/>
      </c>
    </row>
    <row r="726" customFormat="false" ht="15" hidden="false" customHeight="false" outlineLevel="0" collapsed="false">
      <c r="B726" s="7"/>
      <c r="C726" s="5"/>
      <c r="D726" s="9" t="str">
        <f aca="false">IF(C726="","",IFERROR(VLOOKUP(C726,EQUIPOS!$B$3:$C$18,2,0),"NO EXISTE"))</f>
        <v/>
      </c>
      <c r="E726" s="9" t="str">
        <f aca="false">IF(C726="","",IFERROR(VLOOKUP(C726,EQUIPOS!$B$3:$F$18,5,0),""))</f>
        <v/>
      </c>
      <c r="F726" s="5" t="str">
        <f aca="false">IF(C726="","",IFERROR(VLOOKUP(C726,EQUIPOS!$B$3:$G$18,6,0),""))</f>
        <v/>
      </c>
      <c r="G726" s="8"/>
      <c r="H726" s="5"/>
      <c r="I726" s="5"/>
      <c r="J726" s="9"/>
      <c r="K726" s="17" t="str">
        <f aca="false">IF(H726="","",IFERROR(SUMIFS(BD_PLAN!$I$3:$I$312,BD_PLAN!$B$3:$B$312,E726,BD_PLAN!$C$3:$C$312,INDEX(BD_CICLO!$F$3:$F$54,MATCH(E726&amp;"|"&amp;H726,BD_CICLO!$G$3:$G$54,0))),""))</f>
        <v/>
      </c>
      <c r="L726" s="9"/>
      <c r="M726" s="9"/>
      <c r="N726" s="1" t="str">
        <f aca="false">IF(C726="","",C726&amp;"|"&amp;COUNTIF(C$3:C726,C726))</f>
        <v/>
      </c>
      <c r="O726" s="1" t="str">
        <f aca="false">IF(OR(C726="",M726=""),"",C726&amp;"|"&amp;COUNTIFS(C$3:C726,C726,M$3:M726,"&lt;&gt;"))</f>
        <v/>
      </c>
    </row>
    <row r="727" customFormat="false" ht="15" hidden="false" customHeight="false" outlineLevel="0" collapsed="false">
      <c r="B727" s="7"/>
      <c r="C727" s="5"/>
      <c r="D727" s="9" t="str">
        <f aca="false">IF(C727="","",IFERROR(VLOOKUP(C727,EQUIPOS!$B$3:$C$18,2,0),"NO EXISTE"))</f>
        <v/>
      </c>
      <c r="E727" s="9" t="str">
        <f aca="false">IF(C727="","",IFERROR(VLOOKUP(C727,EQUIPOS!$B$3:$F$18,5,0),""))</f>
        <v/>
      </c>
      <c r="F727" s="5" t="str">
        <f aca="false">IF(C727="","",IFERROR(VLOOKUP(C727,EQUIPOS!$B$3:$G$18,6,0),""))</f>
        <v/>
      </c>
      <c r="G727" s="8"/>
      <c r="H727" s="5"/>
      <c r="I727" s="5"/>
      <c r="J727" s="9"/>
      <c r="K727" s="17" t="str">
        <f aca="false">IF(H727="","",IFERROR(SUMIFS(BD_PLAN!$I$3:$I$312,BD_PLAN!$B$3:$B$312,E727,BD_PLAN!$C$3:$C$312,INDEX(BD_CICLO!$F$3:$F$54,MATCH(E727&amp;"|"&amp;H727,BD_CICLO!$G$3:$G$54,0))),""))</f>
        <v/>
      </c>
      <c r="L727" s="9"/>
      <c r="M727" s="9"/>
      <c r="N727" s="1" t="str">
        <f aca="false">IF(C727="","",C727&amp;"|"&amp;COUNTIF(C$3:C727,C727))</f>
        <v/>
      </c>
      <c r="O727" s="1" t="str">
        <f aca="false">IF(OR(C727="",M727=""),"",C727&amp;"|"&amp;COUNTIFS(C$3:C727,C727,M$3:M727,"&lt;&gt;"))</f>
        <v/>
      </c>
    </row>
    <row r="728" customFormat="false" ht="15" hidden="false" customHeight="false" outlineLevel="0" collapsed="false">
      <c r="B728" s="7"/>
      <c r="C728" s="5"/>
      <c r="D728" s="9" t="str">
        <f aca="false">IF(C728="","",IFERROR(VLOOKUP(C728,EQUIPOS!$B$3:$C$18,2,0),"NO EXISTE"))</f>
        <v/>
      </c>
      <c r="E728" s="9" t="str">
        <f aca="false">IF(C728="","",IFERROR(VLOOKUP(C728,EQUIPOS!$B$3:$F$18,5,0),""))</f>
        <v/>
      </c>
      <c r="F728" s="5" t="str">
        <f aca="false">IF(C728="","",IFERROR(VLOOKUP(C728,EQUIPOS!$B$3:$G$18,6,0),""))</f>
        <v/>
      </c>
      <c r="G728" s="8"/>
      <c r="H728" s="5"/>
      <c r="I728" s="5"/>
      <c r="J728" s="9"/>
      <c r="K728" s="17" t="str">
        <f aca="false">IF(H728="","",IFERROR(SUMIFS(BD_PLAN!$I$3:$I$312,BD_PLAN!$B$3:$B$312,E728,BD_PLAN!$C$3:$C$312,INDEX(BD_CICLO!$F$3:$F$54,MATCH(E728&amp;"|"&amp;H728,BD_CICLO!$G$3:$G$54,0))),""))</f>
        <v/>
      </c>
      <c r="L728" s="9"/>
      <c r="M728" s="9"/>
      <c r="N728" s="1" t="str">
        <f aca="false">IF(C728="","",C728&amp;"|"&amp;COUNTIF(C$3:C728,C728))</f>
        <v/>
      </c>
      <c r="O728" s="1" t="str">
        <f aca="false">IF(OR(C728="",M728=""),"",C728&amp;"|"&amp;COUNTIFS(C$3:C728,C728,M$3:M728,"&lt;&gt;"))</f>
        <v/>
      </c>
    </row>
    <row r="729" customFormat="false" ht="15" hidden="false" customHeight="false" outlineLevel="0" collapsed="false">
      <c r="B729" s="7"/>
      <c r="C729" s="5"/>
      <c r="D729" s="9" t="str">
        <f aca="false">IF(C729="","",IFERROR(VLOOKUP(C729,EQUIPOS!$B$3:$C$18,2,0),"NO EXISTE"))</f>
        <v/>
      </c>
      <c r="E729" s="9" t="str">
        <f aca="false">IF(C729="","",IFERROR(VLOOKUP(C729,EQUIPOS!$B$3:$F$18,5,0),""))</f>
        <v/>
      </c>
      <c r="F729" s="5" t="str">
        <f aca="false">IF(C729="","",IFERROR(VLOOKUP(C729,EQUIPOS!$B$3:$G$18,6,0),""))</f>
        <v/>
      </c>
      <c r="G729" s="8"/>
      <c r="H729" s="5"/>
      <c r="I729" s="5"/>
      <c r="J729" s="9"/>
      <c r="K729" s="17" t="str">
        <f aca="false">IF(H729="","",IFERROR(SUMIFS(BD_PLAN!$I$3:$I$312,BD_PLAN!$B$3:$B$312,E729,BD_PLAN!$C$3:$C$312,INDEX(BD_CICLO!$F$3:$F$54,MATCH(E729&amp;"|"&amp;H729,BD_CICLO!$G$3:$G$54,0))),""))</f>
        <v/>
      </c>
      <c r="L729" s="9"/>
      <c r="M729" s="9"/>
      <c r="N729" s="1" t="str">
        <f aca="false">IF(C729="","",C729&amp;"|"&amp;COUNTIF(C$3:C729,C729))</f>
        <v/>
      </c>
      <c r="O729" s="1" t="str">
        <f aca="false">IF(OR(C729="",M729=""),"",C729&amp;"|"&amp;COUNTIFS(C$3:C729,C729,M$3:M729,"&lt;&gt;"))</f>
        <v/>
      </c>
    </row>
    <row r="730" customFormat="false" ht="15" hidden="false" customHeight="false" outlineLevel="0" collapsed="false">
      <c r="B730" s="7"/>
      <c r="C730" s="5"/>
      <c r="D730" s="9" t="str">
        <f aca="false">IF(C730="","",IFERROR(VLOOKUP(C730,EQUIPOS!$B$3:$C$18,2,0),"NO EXISTE"))</f>
        <v/>
      </c>
      <c r="E730" s="9" t="str">
        <f aca="false">IF(C730="","",IFERROR(VLOOKUP(C730,EQUIPOS!$B$3:$F$18,5,0),""))</f>
        <v/>
      </c>
      <c r="F730" s="5" t="str">
        <f aca="false">IF(C730="","",IFERROR(VLOOKUP(C730,EQUIPOS!$B$3:$G$18,6,0),""))</f>
        <v/>
      </c>
      <c r="G730" s="8"/>
      <c r="H730" s="5"/>
      <c r="I730" s="5"/>
      <c r="J730" s="9"/>
      <c r="K730" s="17" t="str">
        <f aca="false">IF(H730="","",IFERROR(SUMIFS(BD_PLAN!$I$3:$I$312,BD_PLAN!$B$3:$B$312,E730,BD_PLAN!$C$3:$C$312,INDEX(BD_CICLO!$F$3:$F$54,MATCH(E730&amp;"|"&amp;H730,BD_CICLO!$G$3:$G$54,0))),""))</f>
        <v/>
      </c>
      <c r="L730" s="9"/>
      <c r="M730" s="9"/>
      <c r="N730" s="1" t="str">
        <f aca="false">IF(C730="","",C730&amp;"|"&amp;COUNTIF(C$3:C730,C730))</f>
        <v/>
      </c>
      <c r="O730" s="1" t="str">
        <f aca="false">IF(OR(C730="",M730=""),"",C730&amp;"|"&amp;COUNTIFS(C$3:C730,C730,M$3:M730,"&lt;&gt;"))</f>
        <v/>
      </c>
    </row>
    <row r="731" customFormat="false" ht="15" hidden="false" customHeight="false" outlineLevel="0" collapsed="false">
      <c r="B731" s="7"/>
      <c r="C731" s="5"/>
      <c r="D731" s="9" t="str">
        <f aca="false">IF(C731="","",IFERROR(VLOOKUP(C731,EQUIPOS!$B$3:$C$18,2,0),"NO EXISTE"))</f>
        <v/>
      </c>
      <c r="E731" s="9" t="str">
        <f aca="false">IF(C731="","",IFERROR(VLOOKUP(C731,EQUIPOS!$B$3:$F$18,5,0),""))</f>
        <v/>
      </c>
      <c r="F731" s="5" t="str">
        <f aca="false">IF(C731="","",IFERROR(VLOOKUP(C731,EQUIPOS!$B$3:$G$18,6,0),""))</f>
        <v/>
      </c>
      <c r="G731" s="8"/>
      <c r="H731" s="5"/>
      <c r="I731" s="5"/>
      <c r="J731" s="9"/>
      <c r="K731" s="17" t="str">
        <f aca="false">IF(H731="","",IFERROR(SUMIFS(BD_PLAN!$I$3:$I$312,BD_PLAN!$B$3:$B$312,E731,BD_PLAN!$C$3:$C$312,INDEX(BD_CICLO!$F$3:$F$54,MATCH(E731&amp;"|"&amp;H731,BD_CICLO!$G$3:$G$54,0))),""))</f>
        <v/>
      </c>
      <c r="L731" s="9"/>
      <c r="M731" s="9"/>
      <c r="N731" s="1" t="str">
        <f aca="false">IF(C731="","",C731&amp;"|"&amp;COUNTIF(C$3:C731,C731))</f>
        <v/>
      </c>
      <c r="O731" s="1" t="str">
        <f aca="false">IF(OR(C731="",M731=""),"",C731&amp;"|"&amp;COUNTIFS(C$3:C731,C731,M$3:M731,"&lt;&gt;"))</f>
        <v/>
      </c>
    </row>
    <row r="732" customFormat="false" ht="15" hidden="false" customHeight="false" outlineLevel="0" collapsed="false">
      <c r="B732" s="7"/>
      <c r="C732" s="5"/>
      <c r="D732" s="9" t="str">
        <f aca="false">IF(C732="","",IFERROR(VLOOKUP(C732,EQUIPOS!$B$3:$C$18,2,0),"NO EXISTE"))</f>
        <v/>
      </c>
      <c r="E732" s="9" t="str">
        <f aca="false">IF(C732="","",IFERROR(VLOOKUP(C732,EQUIPOS!$B$3:$F$18,5,0),""))</f>
        <v/>
      </c>
      <c r="F732" s="5" t="str">
        <f aca="false">IF(C732="","",IFERROR(VLOOKUP(C732,EQUIPOS!$B$3:$G$18,6,0),""))</f>
        <v/>
      </c>
      <c r="G732" s="8"/>
      <c r="H732" s="5"/>
      <c r="I732" s="5"/>
      <c r="J732" s="9"/>
      <c r="K732" s="17" t="str">
        <f aca="false">IF(H732="","",IFERROR(SUMIFS(BD_PLAN!$I$3:$I$312,BD_PLAN!$B$3:$B$312,E732,BD_PLAN!$C$3:$C$312,INDEX(BD_CICLO!$F$3:$F$54,MATCH(E732&amp;"|"&amp;H732,BD_CICLO!$G$3:$G$54,0))),""))</f>
        <v/>
      </c>
      <c r="L732" s="9"/>
      <c r="M732" s="9"/>
      <c r="N732" s="1" t="str">
        <f aca="false">IF(C732="","",C732&amp;"|"&amp;COUNTIF(C$3:C732,C732))</f>
        <v/>
      </c>
      <c r="O732" s="1" t="str">
        <f aca="false">IF(OR(C732="",M732=""),"",C732&amp;"|"&amp;COUNTIFS(C$3:C732,C732,M$3:M732,"&lt;&gt;"))</f>
        <v/>
      </c>
    </row>
    <row r="733" customFormat="false" ht="15" hidden="false" customHeight="false" outlineLevel="0" collapsed="false">
      <c r="B733" s="7"/>
      <c r="C733" s="5"/>
      <c r="D733" s="9" t="str">
        <f aca="false">IF(C733="","",IFERROR(VLOOKUP(C733,EQUIPOS!$B$3:$C$18,2,0),"NO EXISTE"))</f>
        <v/>
      </c>
      <c r="E733" s="9" t="str">
        <f aca="false">IF(C733="","",IFERROR(VLOOKUP(C733,EQUIPOS!$B$3:$F$18,5,0),""))</f>
        <v/>
      </c>
      <c r="F733" s="5" t="str">
        <f aca="false">IF(C733="","",IFERROR(VLOOKUP(C733,EQUIPOS!$B$3:$G$18,6,0),""))</f>
        <v/>
      </c>
      <c r="G733" s="8"/>
      <c r="H733" s="5"/>
      <c r="I733" s="5"/>
      <c r="J733" s="9"/>
      <c r="K733" s="17" t="str">
        <f aca="false">IF(H733="","",IFERROR(SUMIFS(BD_PLAN!$I$3:$I$312,BD_PLAN!$B$3:$B$312,E733,BD_PLAN!$C$3:$C$312,INDEX(BD_CICLO!$F$3:$F$54,MATCH(E733&amp;"|"&amp;H733,BD_CICLO!$G$3:$G$54,0))),""))</f>
        <v/>
      </c>
      <c r="L733" s="9"/>
      <c r="M733" s="9"/>
      <c r="N733" s="1" t="str">
        <f aca="false">IF(C733="","",C733&amp;"|"&amp;COUNTIF(C$3:C733,C733))</f>
        <v/>
      </c>
      <c r="O733" s="1" t="str">
        <f aca="false">IF(OR(C733="",M733=""),"",C733&amp;"|"&amp;COUNTIFS(C$3:C733,C733,M$3:M733,"&lt;&gt;"))</f>
        <v/>
      </c>
    </row>
    <row r="734" customFormat="false" ht="15" hidden="false" customHeight="false" outlineLevel="0" collapsed="false">
      <c r="B734" s="7"/>
      <c r="C734" s="5"/>
      <c r="D734" s="9" t="str">
        <f aca="false">IF(C734="","",IFERROR(VLOOKUP(C734,EQUIPOS!$B$3:$C$18,2,0),"NO EXISTE"))</f>
        <v/>
      </c>
      <c r="E734" s="9" t="str">
        <f aca="false">IF(C734="","",IFERROR(VLOOKUP(C734,EQUIPOS!$B$3:$F$18,5,0),""))</f>
        <v/>
      </c>
      <c r="F734" s="5" t="str">
        <f aca="false">IF(C734="","",IFERROR(VLOOKUP(C734,EQUIPOS!$B$3:$G$18,6,0),""))</f>
        <v/>
      </c>
      <c r="G734" s="8"/>
      <c r="H734" s="5"/>
      <c r="I734" s="5"/>
      <c r="J734" s="9"/>
      <c r="K734" s="17" t="str">
        <f aca="false">IF(H734="","",IFERROR(SUMIFS(BD_PLAN!$I$3:$I$312,BD_PLAN!$B$3:$B$312,E734,BD_PLAN!$C$3:$C$312,INDEX(BD_CICLO!$F$3:$F$54,MATCH(E734&amp;"|"&amp;H734,BD_CICLO!$G$3:$G$54,0))),""))</f>
        <v/>
      </c>
      <c r="L734" s="9"/>
      <c r="M734" s="9"/>
      <c r="N734" s="1" t="str">
        <f aca="false">IF(C734="","",C734&amp;"|"&amp;COUNTIF(C$3:C734,C734))</f>
        <v/>
      </c>
      <c r="O734" s="1" t="str">
        <f aca="false">IF(OR(C734="",M734=""),"",C734&amp;"|"&amp;COUNTIFS(C$3:C734,C734,M$3:M734,"&lt;&gt;"))</f>
        <v/>
      </c>
    </row>
    <row r="735" customFormat="false" ht="15" hidden="false" customHeight="false" outlineLevel="0" collapsed="false">
      <c r="B735" s="7"/>
      <c r="C735" s="5"/>
      <c r="D735" s="9" t="str">
        <f aca="false">IF(C735="","",IFERROR(VLOOKUP(C735,EQUIPOS!$B$3:$C$18,2,0),"NO EXISTE"))</f>
        <v/>
      </c>
      <c r="E735" s="9" t="str">
        <f aca="false">IF(C735="","",IFERROR(VLOOKUP(C735,EQUIPOS!$B$3:$F$18,5,0),""))</f>
        <v/>
      </c>
      <c r="F735" s="5" t="str">
        <f aca="false">IF(C735="","",IFERROR(VLOOKUP(C735,EQUIPOS!$B$3:$G$18,6,0),""))</f>
        <v/>
      </c>
      <c r="G735" s="8"/>
      <c r="H735" s="5"/>
      <c r="I735" s="5"/>
      <c r="J735" s="9"/>
      <c r="K735" s="17" t="str">
        <f aca="false">IF(H735="","",IFERROR(SUMIFS(BD_PLAN!$I$3:$I$312,BD_PLAN!$B$3:$B$312,E735,BD_PLAN!$C$3:$C$312,INDEX(BD_CICLO!$F$3:$F$54,MATCH(E735&amp;"|"&amp;H735,BD_CICLO!$G$3:$G$54,0))),""))</f>
        <v/>
      </c>
      <c r="L735" s="9"/>
      <c r="M735" s="9"/>
      <c r="N735" s="1" t="str">
        <f aca="false">IF(C735="","",C735&amp;"|"&amp;COUNTIF(C$3:C735,C735))</f>
        <v/>
      </c>
      <c r="O735" s="1" t="str">
        <f aca="false">IF(OR(C735="",M735=""),"",C735&amp;"|"&amp;COUNTIFS(C$3:C735,C735,M$3:M735,"&lt;&gt;"))</f>
        <v/>
      </c>
    </row>
    <row r="736" customFormat="false" ht="15" hidden="false" customHeight="false" outlineLevel="0" collapsed="false">
      <c r="B736" s="7"/>
      <c r="C736" s="5"/>
      <c r="D736" s="9" t="str">
        <f aca="false">IF(C736="","",IFERROR(VLOOKUP(C736,EQUIPOS!$B$3:$C$18,2,0),"NO EXISTE"))</f>
        <v/>
      </c>
      <c r="E736" s="9" t="str">
        <f aca="false">IF(C736="","",IFERROR(VLOOKUP(C736,EQUIPOS!$B$3:$F$18,5,0),""))</f>
        <v/>
      </c>
      <c r="F736" s="5" t="str">
        <f aca="false">IF(C736="","",IFERROR(VLOOKUP(C736,EQUIPOS!$B$3:$G$18,6,0),""))</f>
        <v/>
      </c>
      <c r="G736" s="8"/>
      <c r="H736" s="5"/>
      <c r="I736" s="5"/>
      <c r="J736" s="9"/>
      <c r="K736" s="17" t="str">
        <f aca="false">IF(H736="","",IFERROR(SUMIFS(BD_PLAN!$I$3:$I$312,BD_PLAN!$B$3:$B$312,E736,BD_PLAN!$C$3:$C$312,INDEX(BD_CICLO!$F$3:$F$54,MATCH(E736&amp;"|"&amp;H736,BD_CICLO!$G$3:$G$54,0))),""))</f>
        <v/>
      </c>
      <c r="L736" s="9"/>
      <c r="M736" s="9"/>
      <c r="N736" s="1" t="str">
        <f aca="false">IF(C736="","",C736&amp;"|"&amp;COUNTIF(C$3:C736,C736))</f>
        <v/>
      </c>
      <c r="O736" s="1" t="str">
        <f aca="false">IF(OR(C736="",M736=""),"",C736&amp;"|"&amp;COUNTIFS(C$3:C736,C736,M$3:M736,"&lt;&gt;"))</f>
        <v/>
      </c>
    </row>
    <row r="737" customFormat="false" ht="15" hidden="false" customHeight="false" outlineLevel="0" collapsed="false">
      <c r="B737" s="7"/>
      <c r="C737" s="5"/>
      <c r="D737" s="9" t="str">
        <f aca="false">IF(C737="","",IFERROR(VLOOKUP(C737,EQUIPOS!$B$3:$C$18,2,0),"NO EXISTE"))</f>
        <v/>
      </c>
      <c r="E737" s="9" t="str">
        <f aca="false">IF(C737="","",IFERROR(VLOOKUP(C737,EQUIPOS!$B$3:$F$18,5,0),""))</f>
        <v/>
      </c>
      <c r="F737" s="5" t="str">
        <f aca="false">IF(C737="","",IFERROR(VLOOKUP(C737,EQUIPOS!$B$3:$G$18,6,0),""))</f>
        <v/>
      </c>
      <c r="G737" s="8"/>
      <c r="H737" s="5"/>
      <c r="I737" s="5"/>
      <c r="J737" s="9"/>
      <c r="K737" s="17" t="str">
        <f aca="false">IF(H737="","",IFERROR(SUMIFS(BD_PLAN!$I$3:$I$312,BD_PLAN!$B$3:$B$312,E737,BD_PLAN!$C$3:$C$312,INDEX(BD_CICLO!$F$3:$F$54,MATCH(E737&amp;"|"&amp;H737,BD_CICLO!$G$3:$G$54,0))),""))</f>
        <v/>
      </c>
      <c r="L737" s="9"/>
      <c r="M737" s="9"/>
      <c r="N737" s="1" t="str">
        <f aca="false">IF(C737="","",C737&amp;"|"&amp;COUNTIF(C$3:C737,C737))</f>
        <v/>
      </c>
      <c r="O737" s="1" t="str">
        <f aca="false">IF(OR(C737="",M737=""),"",C737&amp;"|"&amp;COUNTIFS(C$3:C737,C737,M$3:M737,"&lt;&gt;"))</f>
        <v/>
      </c>
    </row>
    <row r="738" customFormat="false" ht="15" hidden="false" customHeight="false" outlineLevel="0" collapsed="false">
      <c r="B738" s="7"/>
      <c r="C738" s="5"/>
      <c r="D738" s="9" t="str">
        <f aca="false">IF(C738="","",IFERROR(VLOOKUP(C738,EQUIPOS!$B$3:$C$18,2,0),"NO EXISTE"))</f>
        <v/>
      </c>
      <c r="E738" s="9" t="str">
        <f aca="false">IF(C738="","",IFERROR(VLOOKUP(C738,EQUIPOS!$B$3:$F$18,5,0),""))</f>
        <v/>
      </c>
      <c r="F738" s="5" t="str">
        <f aca="false">IF(C738="","",IFERROR(VLOOKUP(C738,EQUIPOS!$B$3:$G$18,6,0),""))</f>
        <v/>
      </c>
      <c r="G738" s="8"/>
      <c r="H738" s="5"/>
      <c r="I738" s="5"/>
      <c r="J738" s="9"/>
      <c r="K738" s="17" t="str">
        <f aca="false">IF(H738="","",IFERROR(SUMIFS(BD_PLAN!$I$3:$I$312,BD_PLAN!$B$3:$B$312,E738,BD_PLAN!$C$3:$C$312,INDEX(BD_CICLO!$F$3:$F$54,MATCH(E738&amp;"|"&amp;H738,BD_CICLO!$G$3:$G$54,0))),""))</f>
        <v/>
      </c>
      <c r="L738" s="9"/>
      <c r="M738" s="9"/>
      <c r="N738" s="1" t="str">
        <f aca="false">IF(C738="","",C738&amp;"|"&amp;COUNTIF(C$3:C738,C738))</f>
        <v/>
      </c>
      <c r="O738" s="1" t="str">
        <f aca="false">IF(OR(C738="",M738=""),"",C738&amp;"|"&amp;COUNTIFS(C$3:C738,C738,M$3:M738,"&lt;&gt;"))</f>
        <v/>
      </c>
    </row>
    <row r="739" customFormat="false" ht="15" hidden="false" customHeight="false" outlineLevel="0" collapsed="false">
      <c r="B739" s="7"/>
      <c r="C739" s="5"/>
      <c r="D739" s="9" t="str">
        <f aca="false">IF(C739="","",IFERROR(VLOOKUP(C739,EQUIPOS!$B$3:$C$18,2,0),"NO EXISTE"))</f>
        <v/>
      </c>
      <c r="E739" s="9" t="str">
        <f aca="false">IF(C739="","",IFERROR(VLOOKUP(C739,EQUIPOS!$B$3:$F$18,5,0),""))</f>
        <v/>
      </c>
      <c r="F739" s="5" t="str">
        <f aca="false">IF(C739="","",IFERROR(VLOOKUP(C739,EQUIPOS!$B$3:$G$18,6,0),""))</f>
        <v/>
      </c>
      <c r="G739" s="8"/>
      <c r="H739" s="5"/>
      <c r="I739" s="5"/>
      <c r="J739" s="9"/>
      <c r="K739" s="17" t="str">
        <f aca="false">IF(H739="","",IFERROR(SUMIFS(BD_PLAN!$I$3:$I$312,BD_PLAN!$B$3:$B$312,E739,BD_PLAN!$C$3:$C$312,INDEX(BD_CICLO!$F$3:$F$54,MATCH(E739&amp;"|"&amp;H739,BD_CICLO!$G$3:$G$54,0))),""))</f>
        <v/>
      </c>
      <c r="L739" s="9"/>
      <c r="M739" s="9"/>
      <c r="N739" s="1" t="str">
        <f aca="false">IF(C739="","",C739&amp;"|"&amp;COUNTIF(C$3:C739,C739))</f>
        <v/>
      </c>
      <c r="O739" s="1" t="str">
        <f aca="false">IF(OR(C739="",M739=""),"",C739&amp;"|"&amp;COUNTIFS(C$3:C739,C739,M$3:M739,"&lt;&gt;"))</f>
        <v/>
      </c>
    </row>
    <row r="740" customFormat="false" ht="15" hidden="false" customHeight="false" outlineLevel="0" collapsed="false">
      <c r="B740" s="7"/>
      <c r="C740" s="5"/>
      <c r="D740" s="9" t="str">
        <f aca="false">IF(C740="","",IFERROR(VLOOKUP(C740,EQUIPOS!$B$3:$C$18,2,0),"NO EXISTE"))</f>
        <v/>
      </c>
      <c r="E740" s="9" t="str">
        <f aca="false">IF(C740="","",IFERROR(VLOOKUP(C740,EQUIPOS!$B$3:$F$18,5,0),""))</f>
        <v/>
      </c>
      <c r="F740" s="5" t="str">
        <f aca="false">IF(C740="","",IFERROR(VLOOKUP(C740,EQUIPOS!$B$3:$G$18,6,0),""))</f>
        <v/>
      </c>
      <c r="G740" s="8"/>
      <c r="H740" s="5"/>
      <c r="I740" s="5"/>
      <c r="J740" s="9"/>
      <c r="K740" s="17" t="str">
        <f aca="false">IF(H740="","",IFERROR(SUMIFS(BD_PLAN!$I$3:$I$312,BD_PLAN!$B$3:$B$312,E740,BD_PLAN!$C$3:$C$312,INDEX(BD_CICLO!$F$3:$F$54,MATCH(E740&amp;"|"&amp;H740,BD_CICLO!$G$3:$G$54,0))),""))</f>
        <v/>
      </c>
      <c r="L740" s="9"/>
      <c r="M740" s="9"/>
      <c r="N740" s="1" t="str">
        <f aca="false">IF(C740="","",C740&amp;"|"&amp;COUNTIF(C$3:C740,C740))</f>
        <v/>
      </c>
      <c r="O740" s="1" t="str">
        <f aca="false">IF(OR(C740="",M740=""),"",C740&amp;"|"&amp;COUNTIFS(C$3:C740,C740,M$3:M740,"&lt;&gt;"))</f>
        <v/>
      </c>
    </row>
    <row r="741" customFormat="false" ht="15" hidden="false" customHeight="false" outlineLevel="0" collapsed="false">
      <c r="B741" s="7"/>
      <c r="C741" s="5"/>
      <c r="D741" s="9" t="str">
        <f aca="false">IF(C741="","",IFERROR(VLOOKUP(C741,EQUIPOS!$B$3:$C$18,2,0),"NO EXISTE"))</f>
        <v/>
      </c>
      <c r="E741" s="9" t="str">
        <f aca="false">IF(C741="","",IFERROR(VLOOKUP(C741,EQUIPOS!$B$3:$F$18,5,0),""))</f>
        <v/>
      </c>
      <c r="F741" s="5" t="str">
        <f aca="false">IF(C741="","",IFERROR(VLOOKUP(C741,EQUIPOS!$B$3:$G$18,6,0),""))</f>
        <v/>
      </c>
      <c r="G741" s="8"/>
      <c r="H741" s="5"/>
      <c r="I741" s="5"/>
      <c r="J741" s="9"/>
      <c r="K741" s="17" t="str">
        <f aca="false">IF(H741="","",IFERROR(SUMIFS(BD_PLAN!$I$3:$I$312,BD_PLAN!$B$3:$B$312,E741,BD_PLAN!$C$3:$C$312,INDEX(BD_CICLO!$F$3:$F$54,MATCH(E741&amp;"|"&amp;H741,BD_CICLO!$G$3:$G$54,0))),""))</f>
        <v/>
      </c>
      <c r="L741" s="9"/>
      <c r="M741" s="9"/>
      <c r="N741" s="1" t="str">
        <f aca="false">IF(C741="","",C741&amp;"|"&amp;COUNTIF(C$3:C741,C741))</f>
        <v/>
      </c>
      <c r="O741" s="1" t="str">
        <f aca="false">IF(OR(C741="",M741=""),"",C741&amp;"|"&amp;COUNTIFS(C$3:C741,C741,M$3:M741,"&lt;&gt;"))</f>
        <v/>
      </c>
    </row>
    <row r="742" customFormat="false" ht="15" hidden="false" customHeight="false" outlineLevel="0" collapsed="false">
      <c r="B742" s="7"/>
      <c r="C742" s="5"/>
      <c r="D742" s="9" t="str">
        <f aca="false">IF(C742="","",IFERROR(VLOOKUP(C742,EQUIPOS!$B$3:$C$18,2,0),"NO EXISTE"))</f>
        <v/>
      </c>
      <c r="E742" s="9" t="str">
        <f aca="false">IF(C742="","",IFERROR(VLOOKUP(C742,EQUIPOS!$B$3:$F$18,5,0),""))</f>
        <v/>
      </c>
      <c r="F742" s="5" t="str">
        <f aca="false">IF(C742="","",IFERROR(VLOOKUP(C742,EQUIPOS!$B$3:$G$18,6,0),""))</f>
        <v/>
      </c>
      <c r="G742" s="8"/>
      <c r="H742" s="5"/>
      <c r="I742" s="5"/>
      <c r="J742" s="9"/>
      <c r="K742" s="17" t="str">
        <f aca="false">IF(H742="","",IFERROR(SUMIFS(BD_PLAN!$I$3:$I$312,BD_PLAN!$B$3:$B$312,E742,BD_PLAN!$C$3:$C$312,INDEX(BD_CICLO!$F$3:$F$54,MATCH(E742&amp;"|"&amp;H742,BD_CICLO!$G$3:$G$54,0))),""))</f>
        <v/>
      </c>
      <c r="L742" s="9"/>
      <c r="M742" s="9"/>
      <c r="N742" s="1" t="str">
        <f aca="false">IF(C742="","",C742&amp;"|"&amp;COUNTIF(C$3:C742,C742))</f>
        <v/>
      </c>
      <c r="O742" s="1" t="str">
        <f aca="false">IF(OR(C742="",M742=""),"",C742&amp;"|"&amp;COUNTIFS(C$3:C742,C742,M$3:M742,"&lt;&gt;"))</f>
        <v/>
      </c>
    </row>
    <row r="743" customFormat="false" ht="15" hidden="false" customHeight="false" outlineLevel="0" collapsed="false">
      <c r="B743" s="7"/>
      <c r="C743" s="5"/>
      <c r="D743" s="9" t="str">
        <f aca="false">IF(C743="","",IFERROR(VLOOKUP(C743,EQUIPOS!$B$3:$C$18,2,0),"NO EXISTE"))</f>
        <v/>
      </c>
      <c r="E743" s="9" t="str">
        <f aca="false">IF(C743="","",IFERROR(VLOOKUP(C743,EQUIPOS!$B$3:$F$18,5,0),""))</f>
        <v/>
      </c>
      <c r="F743" s="5" t="str">
        <f aca="false">IF(C743="","",IFERROR(VLOOKUP(C743,EQUIPOS!$B$3:$G$18,6,0),""))</f>
        <v/>
      </c>
      <c r="G743" s="8"/>
      <c r="H743" s="5"/>
      <c r="I743" s="5"/>
      <c r="J743" s="9"/>
      <c r="K743" s="17" t="str">
        <f aca="false">IF(H743="","",IFERROR(SUMIFS(BD_PLAN!$I$3:$I$312,BD_PLAN!$B$3:$B$312,E743,BD_PLAN!$C$3:$C$312,INDEX(BD_CICLO!$F$3:$F$54,MATCH(E743&amp;"|"&amp;H743,BD_CICLO!$G$3:$G$54,0))),""))</f>
        <v/>
      </c>
      <c r="L743" s="9"/>
      <c r="M743" s="9"/>
      <c r="N743" s="1" t="str">
        <f aca="false">IF(C743="","",C743&amp;"|"&amp;COUNTIF(C$3:C743,C743))</f>
        <v/>
      </c>
      <c r="O743" s="1" t="str">
        <f aca="false">IF(OR(C743="",M743=""),"",C743&amp;"|"&amp;COUNTIFS(C$3:C743,C743,M$3:M743,"&lt;&gt;"))</f>
        <v/>
      </c>
    </row>
    <row r="744" customFormat="false" ht="15" hidden="false" customHeight="false" outlineLevel="0" collapsed="false">
      <c r="B744" s="7"/>
      <c r="C744" s="5"/>
      <c r="D744" s="9" t="str">
        <f aca="false">IF(C744="","",IFERROR(VLOOKUP(C744,EQUIPOS!$B$3:$C$18,2,0),"NO EXISTE"))</f>
        <v/>
      </c>
      <c r="E744" s="9" t="str">
        <f aca="false">IF(C744="","",IFERROR(VLOOKUP(C744,EQUIPOS!$B$3:$F$18,5,0),""))</f>
        <v/>
      </c>
      <c r="F744" s="5" t="str">
        <f aca="false">IF(C744="","",IFERROR(VLOOKUP(C744,EQUIPOS!$B$3:$G$18,6,0),""))</f>
        <v/>
      </c>
      <c r="G744" s="8"/>
      <c r="H744" s="5"/>
      <c r="I744" s="5"/>
      <c r="J744" s="9"/>
      <c r="K744" s="17" t="str">
        <f aca="false">IF(H744="","",IFERROR(SUMIFS(BD_PLAN!$I$3:$I$312,BD_PLAN!$B$3:$B$312,E744,BD_PLAN!$C$3:$C$312,INDEX(BD_CICLO!$F$3:$F$54,MATCH(E744&amp;"|"&amp;H744,BD_CICLO!$G$3:$G$54,0))),""))</f>
        <v/>
      </c>
      <c r="L744" s="9"/>
      <c r="M744" s="9"/>
      <c r="N744" s="1" t="str">
        <f aca="false">IF(C744="","",C744&amp;"|"&amp;COUNTIF(C$3:C744,C744))</f>
        <v/>
      </c>
      <c r="O744" s="1" t="str">
        <f aca="false">IF(OR(C744="",M744=""),"",C744&amp;"|"&amp;COUNTIFS(C$3:C744,C744,M$3:M744,"&lt;&gt;"))</f>
        <v/>
      </c>
    </row>
    <row r="745" customFormat="false" ht="15" hidden="false" customHeight="false" outlineLevel="0" collapsed="false">
      <c r="B745" s="7"/>
      <c r="C745" s="5"/>
      <c r="D745" s="9" t="str">
        <f aca="false">IF(C745="","",IFERROR(VLOOKUP(C745,EQUIPOS!$B$3:$C$18,2,0),"NO EXISTE"))</f>
        <v/>
      </c>
      <c r="E745" s="9" t="str">
        <f aca="false">IF(C745="","",IFERROR(VLOOKUP(C745,EQUIPOS!$B$3:$F$18,5,0),""))</f>
        <v/>
      </c>
      <c r="F745" s="5" t="str">
        <f aca="false">IF(C745="","",IFERROR(VLOOKUP(C745,EQUIPOS!$B$3:$G$18,6,0),""))</f>
        <v/>
      </c>
      <c r="G745" s="8"/>
      <c r="H745" s="5"/>
      <c r="I745" s="5"/>
      <c r="J745" s="9"/>
      <c r="K745" s="17" t="str">
        <f aca="false">IF(H745="","",IFERROR(SUMIFS(BD_PLAN!$I$3:$I$312,BD_PLAN!$B$3:$B$312,E745,BD_PLAN!$C$3:$C$312,INDEX(BD_CICLO!$F$3:$F$54,MATCH(E745&amp;"|"&amp;H745,BD_CICLO!$G$3:$G$54,0))),""))</f>
        <v/>
      </c>
      <c r="L745" s="9"/>
      <c r="M745" s="9"/>
      <c r="N745" s="1" t="str">
        <f aca="false">IF(C745="","",C745&amp;"|"&amp;COUNTIF(C$3:C745,C745))</f>
        <v/>
      </c>
      <c r="O745" s="1" t="str">
        <f aca="false">IF(OR(C745="",M745=""),"",C745&amp;"|"&amp;COUNTIFS(C$3:C745,C745,M$3:M745,"&lt;&gt;"))</f>
        <v/>
      </c>
    </row>
    <row r="746" customFormat="false" ht="15" hidden="false" customHeight="false" outlineLevel="0" collapsed="false">
      <c r="B746" s="7"/>
      <c r="C746" s="5"/>
      <c r="D746" s="9" t="str">
        <f aca="false">IF(C746="","",IFERROR(VLOOKUP(C746,EQUIPOS!$B$3:$C$18,2,0),"NO EXISTE"))</f>
        <v/>
      </c>
      <c r="E746" s="9" t="str">
        <f aca="false">IF(C746="","",IFERROR(VLOOKUP(C746,EQUIPOS!$B$3:$F$18,5,0),""))</f>
        <v/>
      </c>
      <c r="F746" s="5" t="str">
        <f aca="false">IF(C746="","",IFERROR(VLOOKUP(C746,EQUIPOS!$B$3:$G$18,6,0),""))</f>
        <v/>
      </c>
      <c r="G746" s="8"/>
      <c r="H746" s="5"/>
      <c r="I746" s="5"/>
      <c r="J746" s="9"/>
      <c r="K746" s="17" t="str">
        <f aca="false">IF(H746="","",IFERROR(SUMIFS(BD_PLAN!$I$3:$I$312,BD_PLAN!$B$3:$B$312,E746,BD_PLAN!$C$3:$C$312,INDEX(BD_CICLO!$F$3:$F$54,MATCH(E746&amp;"|"&amp;H746,BD_CICLO!$G$3:$G$54,0))),""))</f>
        <v/>
      </c>
      <c r="L746" s="9"/>
      <c r="M746" s="9"/>
      <c r="N746" s="1" t="str">
        <f aca="false">IF(C746="","",C746&amp;"|"&amp;COUNTIF(C$3:C746,C746))</f>
        <v/>
      </c>
      <c r="O746" s="1" t="str">
        <f aca="false">IF(OR(C746="",M746=""),"",C746&amp;"|"&amp;COUNTIFS(C$3:C746,C746,M$3:M746,"&lt;&gt;"))</f>
        <v/>
      </c>
    </row>
    <row r="747" customFormat="false" ht="15" hidden="false" customHeight="false" outlineLevel="0" collapsed="false">
      <c r="B747" s="7"/>
      <c r="C747" s="5"/>
      <c r="D747" s="9" t="str">
        <f aca="false">IF(C747="","",IFERROR(VLOOKUP(C747,EQUIPOS!$B$3:$C$18,2,0),"NO EXISTE"))</f>
        <v/>
      </c>
      <c r="E747" s="9" t="str">
        <f aca="false">IF(C747="","",IFERROR(VLOOKUP(C747,EQUIPOS!$B$3:$F$18,5,0),""))</f>
        <v/>
      </c>
      <c r="F747" s="5" t="str">
        <f aca="false">IF(C747="","",IFERROR(VLOOKUP(C747,EQUIPOS!$B$3:$G$18,6,0),""))</f>
        <v/>
      </c>
      <c r="G747" s="8"/>
      <c r="H747" s="5"/>
      <c r="I747" s="5"/>
      <c r="J747" s="9"/>
      <c r="K747" s="17" t="str">
        <f aca="false">IF(H747="","",IFERROR(SUMIFS(BD_PLAN!$I$3:$I$312,BD_PLAN!$B$3:$B$312,E747,BD_PLAN!$C$3:$C$312,INDEX(BD_CICLO!$F$3:$F$54,MATCH(E747&amp;"|"&amp;H747,BD_CICLO!$G$3:$G$54,0))),""))</f>
        <v/>
      </c>
      <c r="L747" s="9"/>
      <c r="M747" s="9"/>
      <c r="N747" s="1" t="str">
        <f aca="false">IF(C747="","",C747&amp;"|"&amp;COUNTIF(C$3:C747,C747))</f>
        <v/>
      </c>
      <c r="O747" s="1" t="str">
        <f aca="false">IF(OR(C747="",M747=""),"",C747&amp;"|"&amp;COUNTIFS(C$3:C747,C747,M$3:M747,"&lt;&gt;"))</f>
        <v/>
      </c>
    </row>
    <row r="748" customFormat="false" ht="15" hidden="false" customHeight="false" outlineLevel="0" collapsed="false">
      <c r="B748" s="7"/>
      <c r="C748" s="5"/>
      <c r="D748" s="9" t="str">
        <f aca="false">IF(C748="","",IFERROR(VLOOKUP(C748,EQUIPOS!$B$3:$C$18,2,0),"NO EXISTE"))</f>
        <v/>
      </c>
      <c r="E748" s="9" t="str">
        <f aca="false">IF(C748="","",IFERROR(VLOOKUP(C748,EQUIPOS!$B$3:$F$18,5,0),""))</f>
        <v/>
      </c>
      <c r="F748" s="5" t="str">
        <f aca="false">IF(C748="","",IFERROR(VLOOKUP(C748,EQUIPOS!$B$3:$G$18,6,0),""))</f>
        <v/>
      </c>
      <c r="G748" s="8"/>
      <c r="H748" s="5"/>
      <c r="I748" s="5"/>
      <c r="J748" s="9"/>
      <c r="K748" s="17" t="str">
        <f aca="false">IF(H748="","",IFERROR(SUMIFS(BD_PLAN!$I$3:$I$312,BD_PLAN!$B$3:$B$312,E748,BD_PLAN!$C$3:$C$312,INDEX(BD_CICLO!$F$3:$F$54,MATCH(E748&amp;"|"&amp;H748,BD_CICLO!$G$3:$G$54,0))),""))</f>
        <v/>
      </c>
      <c r="L748" s="9"/>
      <c r="M748" s="9"/>
      <c r="N748" s="1" t="str">
        <f aca="false">IF(C748="","",C748&amp;"|"&amp;COUNTIF(C$3:C748,C748))</f>
        <v/>
      </c>
      <c r="O748" s="1" t="str">
        <f aca="false">IF(OR(C748="",M748=""),"",C748&amp;"|"&amp;COUNTIFS(C$3:C748,C748,M$3:M748,"&lt;&gt;"))</f>
        <v/>
      </c>
    </row>
    <row r="749" customFormat="false" ht="15" hidden="false" customHeight="false" outlineLevel="0" collapsed="false">
      <c r="B749" s="7"/>
      <c r="C749" s="5"/>
      <c r="D749" s="9" t="str">
        <f aca="false">IF(C749="","",IFERROR(VLOOKUP(C749,EQUIPOS!$B$3:$C$18,2,0),"NO EXISTE"))</f>
        <v/>
      </c>
      <c r="E749" s="9" t="str">
        <f aca="false">IF(C749="","",IFERROR(VLOOKUP(C749,EQUIPOS!$B$3:$F$18,5,0),""))</f>
        <v/>
      </c>
      <c r="F749" s="5" t="str">
        <f aca="false">IF(C749="","",IFERROR(VLOOKUP(C749,EQUIPOS!$B$3:$G$18,6,0),""))</f>
        <v/>
      </c>
      <c r="G749" s="8"/>
      <c r="H749" s="5"/>
      <c r="I749" s="5"/>
      <c r="J749" s="9"/>
      <c r="K749" s="17" t="str">
        <f aca="false">IF(H749="","",IFERROR(SUMIFS(BD_PLAN!$I$3:$I$312,BD_PLAN!$B$3:$B$312,E749,BD_PLAN!$C$3:$C$312,INDEX(BD_CICLO!$F$3:$F$54,MATCH(E749&amp;"|"&amp;H749,BD_CICLO!$G$3:$G$54,0))),""))</f>
        <v/>
      </c>
      <c r="L749" s="9"/>
      <c r="M749" s="9"/>
      <c r="N749" s="1" t="str">
        <f aca="false">IF(C749="","",C749&amp;"|"&amp;COUNTIF(C$3:C749,C749))</f>
        <v/>
      </c>
      <c r="O749" s="1" t="str">
        <f aca="false">IF(OR(C749="",M749=""),"",C749&amp;"|"&amp;COUNTIFS(C$3:C749,C749,M$3:M749,"&lt;&gt;"))</f>
        <v/>
      </c>
    </row>
    <row r="750" customFormat="false" ht="15" hidden="false" customHeight="false" outlineLevel="0" collapsed="false">
      <c r="B750" s="7"/>
      <c r="C750" s="5"/>
      <c r="D750" s="9" t="str">
        <f aca="false">IF(C750="","",IFERROR(VLOOKUP(C750,EQUIPOS!$B$3:$C$18,2,0),"NO EXISTE"))</f>
        <v/>
      </c>
      <c r="E750" s="9" t="str">
        <f aca="false">IF(C750="","",IFERROR(VLOOKUP(C750,EQUIPOS!$B$3:$F$18,5,0),""))</f>
        <v/>
      </c>
      <c r="F750" s="5" t="str">
        <f aca="false">IF(C750="","",IFERROR(VLOOKUP(C750,EQUIPOS!$B$3:$G$18,6,0),""))</f>
        <v/>
      </c>
      <c r="G750" s="8"/>
      <c r="H750" s="5"/>
      <c r="I750" s="5"/>
      <c r="J750" s="9"/>
      <c r="K750" s="17" t="str">
        <f aca="false">IF(H750="","",IFERROR(SUMIFS(BD_PLAN!$I$3:$I$312,BD_PLAN!$B$3:$B$312,E750,BD_PLAN!$C$3:$C$312,INDEX(BD_CICLO!$F$3:$F$54,MATCH(E750&amp;"|"&amp;H750,BD_CICLO!$G$3:$G$54,0))),""))</f>
        <v/>
      </c>
      <c r="L750" s="9"/>
      <c r="M750" s="9"/>
      <c r="N750" s="1" t="str">
        <f aca="false">IF(C750="","",C750&amp;"|"&amp;COUNTIF(C$3:C750,C750))</f>
        <v/>
      </c>
      <c r="O750" s="1" t="str">
        <f aca="false">IF(OR(C750="",M750=""),"",C750&amp;"|"&amp;COUNTIFS(C$3:C750,C750,M$3:M750,"&lt;&gt;"))</f>
        <v/>
      </c>
    </row>
    <row r="751" customFormat="false" ht="15" hidden="false" customHeight="false" outlineLevel="0" collapsed="false">
      <c r="B751" s="7"/>
      <c r="C751" s="5"/>
      <c r="D751" s="9" t="str">
        <f aca="false">IF(C751="","",IFERROR(VLOOKUP(C751,EQUIPOS!$B$3:$C$18,2,0),"NO EXISTE"))</f>
        <v/>
      </c>
      <c r="E751" s="9" t="str">
        <f aca="false">IF(C751="","",IFERROR(VLOOKUP(C751,EQUIPOS!$B$3:$F$18,5,0),""))</f>
        <v/>
      </c>
      <c r="F751" s="5" t="str">
        <f aca="false">IF(C751="","",IFERROR(VLOOKUP(C751,EQUIPOS!$B$3:$G$18,6,0),""))</f>
        <v/>
      </c>
      <c r="G751" s="8"/>
      <c r="H751" s="5"/>
      <c r="I751" s="5"/>
      <c r="J751" s="9"/>
      <c r="K751" s="17" t="str">
        <f aca="false">IF(H751="","",IFERROR(SUMIFS(BD_PLAN!$I$3:$I$312,BD_PLAN!$B$3:$B$312,E751,BD_PLAN!$C$3:$C$312,INDEX(BD_CICLO!$F$3:$F$54,MATCH(E751&amp;"|"&amp;H751,BD_CICLO!$G$3:$G$54,0))),""))</f>
        <v/>
      </c>
      <c r="L751" s="9"/>
      <c r="M751" s="9"/>
      <c r="N751" s="1" t="str">
        <f aca="false">IF(C751="","",C751&amp;"|"&amp;COUNTIF(C$3:C751,C751))</f>
        <v/>
      </c>
      <c r="O751" s="1" t="str">
        <f aca="false">IF(OR(C751="",M751=""),"",C751&amp;"|"&amp;COUNTIFS(C$3:C751,C751,M$3:M751,"&lt;&gt;"))</f>
        <v/>
      </c>
    </row>
    <row r="752" customFormat="false" ht="15" hidden="false" customHeight="false" outlineLevel="0" collapsed="false">
      <c r="B752" s="7"/>
      <c r="C752" s="5"/>
      <c r="D752" s="9" t="str">
        <f aca="false">IF(C752="","",IFERROR(VLOOKUP(C752,EQUIPOS!$B$3:$C$18,2,0),"NO EXISTE"))</f>
        <v/>
      </c>
      <c r="E752" s="9" t="str">
        <f aca="false">IF(C752="","",IFERROR(VLOOKUP(C752,EQUIPOS!$B$3:$F$18,5,0),""))</f>
        <v/>
      </c>
      <c r="F752" s="5" t="str">
        <f aca="false">IF(C752="","",IFERROR(VLOOKUP(C752,EQUIPOS!$B$3:$G$18,6,0),""))</f>
        <v/>
      </c>
      <c r="G752" s="8"/>
      <c r="H752" s="5"/>
      <c r="I752" s="5"/>
      <c r="J752" s="9"/>
      <c r="K752" s="17" t="str">
        <f aca="false">IF(H752="","",IFERROR(SUMIFS(BD_PLAN!$I$3:$I$312,BD_PLAN!$B$3:$B$312,E752,BD_PLAN!$C$3:$C$312,INDEX(BD_CICLO!$F$3:$F$54,MATCH(E752&amp;"|"&amp;H752,BD_CICLO!$G$3:$G$54,0))),""))</f>
        <v/>
      </c>
      <c r="L752" s="9"/>
      <c r="M752" s="9"/>
      <c r="N752" s="1" t="str">
        <f aca="false">IF(C752="","",C752&amp;"|"&amp;COUNTIF(C$3:C752,C752))</f>
        <v/>
      </c>
      <c r="O752" s="1" t="str">
        <f aca="false">IF(OR(C752="",M752=""),"",C752&amp;"|"&amp;COUNTIFS(C$3:C752,C752,M$3:M752,"&lt;&gt;"))</f>
        <v/>
      </c>
    </row>
    <row r="753" customFormat="false" ht="15" hidden="false" customHeight="false" outlineLevel="0" collapsed="false">
      <c r="B753" s="7"/>
      <c r="C753" s="5"/>
      <c r="D753" s="9" t="str">
        <f aca="false">IF(C753="","",IFERROR(VLOOKUP(C753,EQUIPOS!$B$3:$C$18,2,0),"NO EXISTE"))</f>
        <v/>
      </c>
      <c r="E753" s="9" t="str">
        <f aca="false">IF(C753="","",IFERROR(VLOOKUP(C753,EQUIPOS!$B$3:$F$18,5,0),""))</f>
        <v/>
      </c>
      <c r="F753" s="5" t="str">
        <f aca="false">IF(C753="","",IFERROR(VLOOKUP(C753,EQUIPOS!$B$3:$G$18,6,0),""))</f>
        <v/>
      </c>
      <c r="G753" s="8"/>
      <c r="H753" s="5"/>
      <c r="I753" s="5"/>
      <c r="J753" s="9"/>
      <c r="K753" s="17" t="str">
        <f aca="false">IF(H753="","",IFERROR(SUMIFS(BD_PLAN!$I$3:$I$312,BD_PLAN!$B$3:$B$312,E753,BD_PLAN!$C$3:$C$312,INDEX(BD_CICLO!$F$3:$F$54,MATCH(E753&amp;"|"&amp;H753,BD_CICLO!$G$3:$G$54,0))),""))</f>
        <v/>
      </c>
      <c r="L753" s="9"/>
      <c r="M753" s="9"/>
      <c r="N753" s="1" t="str">
        <f aca="false">IF(C753="","",C753&amp;"|"&amp;COUNTIF(C$3:C753,C753))</f>
        <v/>
      </c>
      <c r="O753" s="1" t="str">
        <f aca="false">IF(OR(C753="",M753=""),"",C753&amp;"|"&amp;COUNTIFS(C$3:C753,C753,M$3:M753,"&lt;&gt;"))</f>
        <v/>
      </c>
    </row>
    <row r="754" customFormat="false" ht="15" hidden="false" customHeight="false" outlineLevel="0" collapsed="false">
      <c r="B754" s="7"/>
      <c r="C754" s="5"/>
      <c r="D754" s="9" t="str">
        <f aca="false">IF(C754="","",IFERROR(VLOOKUP(C754,EQUIPOS!$B$3:$C$18,2,0),"NO EXISTE"))</f>
        <v/>
      </c>
      <c r="E754" s="9" t="str">
        <f aca="false">IF(C754="","",IFERROR(VLOOKUP(C754,EQUIPOS!$B$3:$F$18,5,0),""))</f>
        <v/>
      </c>
      <c r="F754" s="5" t="str">
        <f aca="false">IF(C754="","",IFERROR(VLOOKUP(C754,EQUIPOS!$B$3:$G$18,6,0),""))</f>
        <v/>
      </c>
      <c r="G754" s="8"/>
      <c r="H754" s="5"/>
      <c r="I754" s="5"/>
      <c r="J754" s="9"/>
      <c r="K754" s="17" t="str">
        <f aca="false">IF(H754="","",IFERROR(SUMIFS(BD_PLAN!$I$3:$I$312,BD_PLAN!$B$3:$B$312,E754,BD_PLAN!$C$3:$C$312,INDEX(BD_CICLO!$F$3:$F$54,MATCH(E754&amp;"|"&amp;H754,BD_CICLO!$G$3:$G$54,0))),""))</f>
        <v/>
      </c>
      <c r="L754" s="9"/>
      <c r="M754" s="9"/>
      <c r="N754" s="1" t="str">
        <f aca="false">IF(C754="","",C754&amp;"|"&amp;COUNTIF(C$3:C754,C754))</f>
        <v/>
      </c>
      <c r="O754" s="1" t="str">
        <f aca="false">IF(OR(C754="",M754=""),"",C754&amp;"|"&amp;COUNTIFS(C$3:C754,C754,M$3:M754,"&lt;&gt;"))</f>
        <v/>
      </c>
    </row>
    <row r="755" customFormat="false" ht="15" hidden="false" customHeight="false" outlineLevel="0" collapsed="false">
      <c r="B755" s="7"/>
      <c r="C755" s="5"/>
      <c r="D755" s="9" t="str">
        <f aca="false">IF(C755="","",IFERROR(VLOOKUP(C755,EQUIPOS!$B$3:$C$18,2,0),"NO EXISTE"))</f>
        <v/>
      </c>
      <c r="E755" s="9" t="str">
        <f aca="false">IF(C755="","",IFERROR(VLOOKUP(C755,EQUIPOS!$B$3:$F$18,5,0),""))</f>
        <v/>
      </c>
      <c r="F755" s="5" t="str">
        <f aca="false">IF(C755="","",IFERROR(VLOOKUP(C755,EQUIPOS!$B$3:$G$18,6,0),""))</f>
        <v/>
      </c>
      <c r="G755" s="8"/>
      <c r="H755" s="5"/>
      <c r="I755" s="5"/>
      <c r="J755" s="9"/>
      <c r="K755" s="17" t="str">
        <f aca="false">IF(H755="","",IFERROR(SUMIFS(BD_PLAN!$I$3:$I$312,BD_PLAN!$B$3:$B$312,E755,BD_PLAN!$C$3:$C$312,INDEX(BD_CICLO!$F$3:$F$54,MATCH(E755&amp;"|"&amp;H755,BD_CICLO!$G$3:$G$54,0))),""))</f>
        <v/>
      </c>
      <c r="L755" s="9"/>
      <c r="M755" s="9"/>
      <c r="N755" s="1" t="str">
        <f aca="false">IF(C755="","",C755&amp;"|"&amp;COUNTIF(C$3:C755,C755))</f>
        <v/>
      </c>
      <c r="O755" s="1" t="str">
        <f aca="false">IF(OR(C755="",M755=""),"",C755&amp;"|"&amp;COUNTIFS(C$3:C755,C755,M$3:M755,"&lt;&gt;"))</f>
        <v/>
      </c>
    </row>
    <row r="756" customFormat="false" ht="15" hidden="false" customHeight="false" outlineLevel="0" collapsed="false">
      <c r="B756" s="7"/>
      <c r="C756" s="5"/>
      <c r="D756" s="9" t="str">
        <f aca="false">IF(C756="","",IFERROR(VLOOKUP(C756,EQUIPOS!$B$3:$C$18,2,0),"NO EXISTE"))</f>
        <v/>
      </c>
      <c r="E756" s="9" t="str">
        <f aca="false">IF(C756="","",IFERROR(VLOOKUP(C756,EQUIPOS!$B$3:$F$18,5,0),""))</f>
        <v/>
      </c>
      <c r="F756" s="5" t="str">
        <f aca="false">IF(C756="","",IFERROR(VLOOKUP(C756,EQUIPOS!$B$3:$G$18,6,0),""))</f>
        <v/>
      </c>
      <c r="G756" s="8"/>
      <c r="H756" s="5"/>
      <c r="I756" s="5"/>
      <c r="J756" s="9"/>
      <c r="K756" s="17" t="str">
        <f aca="false">IF(H756="","",IFERROR(SUMIFS(BD_PLAN!$I$3:$I$312,BD_PLAN!$B$3:$B$312,E756,BD_PLAN!$C$3:$C$312,INDEX(BD_CICLO!$F$3:$F$54,MATCH(E756&amp;"|"&amp;H756,BD_CICLO!$G$3:$G$54,0))),""))</f>
        <v/>
      </c>
      <c r="L756" s="9"/>
      <c r="M756" s="9"/>
      <c r="N756" s="1" t="str">
        <f aca="false">IF(C756="","",C756&amp;"|"&amp;COUNTIF(C$3:C756,C756))</f>
        <v/>
      </c>
      <c r="O756" s="1" t="str">
        <f aca="false">IF(OR(C756="",M756=""),"",C756&amp;"|"&amp;COUNTIFS(C$3:C756,C756,M$3:M756,"&lt;&gt;"))</f>
        <v/>
      </c>
    </row>
    <row r="757" customFormat="false" ht="15" hidden="false" customHeight="false" outlineLevel="0" collapsed="false">
      <c r="B757" s="7"/>
      <c r="C757" s="5"/>
      <c r="D757" s="9" t="str">
        <f aca="false">IF(C757="","",IFERROR(VLOOKUP(C757,EQUIPOS!$B$3:$C$18,2,0),"NO EXISTE"))</f>
        <v/>
      </c>
      <c r="E757" s="9" t="str">
        <f aca="false">IF(C757="","",IFERROR(VLOOKUP(C757,EQUIPOS!$B$3:$F$18,5,0),""))</f>
        <v/>
      </c>
      <c r="F757" s="5" t="str">
        <f aca="false">IF(C757="","",IFERROR(VLOOKUP(C757,EQUIPOS!$B$3:$G$18,6,0),""))</f>
        <v/>
      </c>
      <c r="G757" s="8"/>
      <c r="H757" s="5"/>
      <c r="I757" s="5"/>
      <c r="J757" s="9"/>
      <c r="K757" s="17" t="str">
        <f aca="false">IF(H757="","",IFERROR(SUMIFS(BD_PLAN!$I$3:$I$312,BD_PLAN!$B$3:$B$312,E757,BD_PLAN!$C$3:$C$312,INDEX(BD_CICLO!$F$3:$F$54,MATCH(E757&amp;"|"&amp;H757,BD_CICLO!$G$3:$G$54,0))),""))</f>
        <v/>
      </c>
      <c r="L757" s="9"/>
      <c r="M757" s="9"/>
      <c r="N757" s="1" t="str">
        <f aca="false">IF(C757="","",C757&amp;"|"&amp;COUNTIF(C$3:C757,C757))</f>
        <v/>
      </c>
      <c r="O757" s="1" t="str">
        <f aca="false">IF(OR(C757="",M757=""),"",C757&amp;"|"&amp;COUNTIFS(C$3:C757,C757,M$3:M757,"&lt;&gt;"))</f>
        <v/>
      </c>
    </row>
    <row r="758" customFormat="false" ht="15" hidden="false" customHeight="false" outlineLevel="0" collapsed="false">
      <c r="B758" s="7"/>
      <c r="C758" s="5"/>
      <c r="D758" s="9" t="str">
        <f aca="false">IF(C758="","",IFERROR(VLOOKUP(C758,EQUIPOS!$B$3:$C$18,2,0),"NO EXISTE"))</f>
        <v/>
      </c>
      <c r="E758" s="9" t="str">
        <f aca="false">IF(C758="","",IFERROR(VLOOKUP(C758,EQUIPOS!$B$3:$F$18,5,0),""))</f>
        <v/>
      </c>
      <c r="F758" s="5" t="str">
        <f aca="false">IF(C758="","",IFERROR(VLOOKUP(C758,EQUIPOS!$B$3:$G$18,6,0),""))</f>
        <v/>
      </c>
      <c r="G758" s="8"/>
      <c r="H758" s="5"/>
      <c r="I758" s="5"/>
      <c r="J758" s="9"/>
      <c r="K758" s="17" t="str">
        <f aca="false">IF(H758="","",IFERROR(SUMIFS(BD_PLAN!$I$3:$I$312,BD_PLAN!$B$3:$B$312,E758,BD_PLAN!$C$3:$C$312,INDEX(BD_CICLO!$F$3:$F$54,MATCH(E758&amp;"|"&amp;H758,BD_CICLO!$G$3:$G$54,0))),""))</f>
        <v/>
      </c>
      <c r="L758" s="9"/>
      <c r="M758" s="9"/>
      <c r="N758" s="1" t="str">
        <f aca="false">IF(C758="","",C758&amp;"|"&amp;COUNTIF(C$3:C758,C758))</f>
        <v/>
      </c>
      <c r="O758" s="1" t="str">
        <f aca="false">IF(OR(C758="",M758=""),"",C758&amp;"|"&amp;COUNTIFS(C$3:C758,C758,M$3:M758,"&lt;&gt;"))</f>
        <v/>
      </c>
    </row>
    <row r="759" customFormat="false" ht="15" hidden="false" customHeight="false" outlineLevel="0" collapsed="false">
      <c r="B759" s="7"/>
      <c r="C759" s="5"/>
      <c r="D759" s="9" t="str">
        <f aca="false">IF(C759="","",IFERROR(VLOOKUP(C759,EQUIPOS!$B$3:$C$18,2,0),"NO EXISTE"))</f>
        <v/>
      </c>
      <c r="E759" s="9" t="str">
        <f aca="false">IF(C759="","",IFERROR(VLOOKUP(C759,EQUIPOS!$B$3:$F$18,5,0),""))</f>
        <v/>
      </c>
      <c r="F759" s="5" t="str">
        <f aca="false">IF(C759="","",IFERROR(VLOOKUP(C759,EQUIPOS!$B$3:$G$18,6,0),""))</f>
        <v/>
      </c>
      <c r="G759" s="8"/>
      <c r="H759" s="5"/>
      <c r="I759" s="5"/>
      <c r="J759" s="9"/>
      <c r="K759" s="17" t="str">
        <f aca="false">IF(H759="","",IFERROR(SUMIFS(BD_PLAN!$I$3:$I$312,BD_PLAN!$B$3:$B$312,E759,BD_PLAN!$C$3:$C$312,INDEX(BD_CICLO!$F$3:$F$54,MATCH(E759&amp;"|"&amp;H759,BD_CICLO!$G$3:$G$54,0))),""))</f>
        <v/>
      </c>
      <c r="L759" s="9"/>
      <c r="M759" s="9"/>
      <c r="N759" s="1" t="str">
        <f aca="false">IF(C759="","",C759&amp;"|"&amp;COUNTIF(C$3:C759,C759))</f>
        <v/>
      </c>
      <c r="O759" s="1" t="str">
        <f aca="false">IF(OR(C759="",M759=""),"",C759&amp;"|"&amp;COUNTIFS(C$3:C759,C759,M$3:M759,"&lt;&gt;"))</f>
        <v/>
      </c>
    </row>
    <row r="760" customFormat="false" ht="15" hidden="false" customHeight="false" outlineLevel="0" collapsed="false">
      <c r="B760" s="7"/>
      <c r="C760" s="5"/>
      <c r="D760" s="9" t="str">
        <f aca="false">IF(C760="","",IFERROR(VLOOKUP(C760,EQUIPOS!$B$3:$C$18,2,0),"NO EXISTE"))</f>
        <v/>
      </c>
      <c r="E760" s="9" t="str">
        <f aca="false">IF(C760="","",IFERROR(VLOOKUP(C760,EQUIPOS!$B$3:$F$18,5,0),""))</f>
        <v/>
      </c>
      <c r="F760" s="5" t="str">
        <f aca="false">IF(C760="","",IFERROR(VLOOKUP(C760,EQUIPOS!$B$3:$G$18,6,0),""))</f>
        <v/>
      </c>
      <c r="G760" s="8"/>
      <c r="H760" s="5"/>
      <c r="I760" s="5"/>
      <c r="J760" s="9"/>
      <c r="K760" s="17" t="str">
        <f aca="false">IF(H760="","",IFERROR(SUMIFS(BD_PLAN!$I$3:$I$312,BD_PLAN!$B$3:$B$312,E760,BD_PLAN!$C$3:$C$312,INDEX(BD_CICLO!$F$3:$F$54,MATCH(E760&amp;"|"&amp;H760,BD_CICLO!$G$3:$G$54,0))),""))</f>
        <v/>
      </c>
      <c r="L760" s="9"/>
      <c r="M760" s="9"/>
      <c r="N760" s="1" t="str">
        <f aca="false">IF(C760="","",C760&amp;"|"&amp;COUNTIF(C$3:C760,C760))</f>
        <v/>
      </c>
      <c r="O760" s="1" t="str">
        <f aca="false">IF(OR(C760="",M760=""),"",C760&amp;"|"&amp;COUNTIFS(C$3:C760,C760,M$3:M760,"&lt;&gt;"))</f>
        <v/>
      </c>
    </row>
    <row r="761" customFormat="false" ht="15" hidden="false" customHeight="false" outlineLevel="0" collapsed="false">
      <c r="B761" s="7"/>
      <c r="C761" s="5"/>
      <c r="D761" s="9" t="str">
        <f aca="false">IF(C761="","",IFERROR(VLOOKUP(C761,EQUIPOS!$B$3:$C$18,2,0),"NO EXISTE"))</f>
        <v/>
      </c>
      <c r="E761" s="9" t="str">
        <f aca="false">IF(C761="","",IFERROR(VLOOKUP(C761,EQUIPOS!$B$3:$F$18,5,0),""))</f>
        <v/>
      </c>
      <c r="F761" s="5" t="str">
        <f aca="false">IF(C761="","",IFERROR(VLOOKUP(C761,EQUIPOS!$B$3:$G$18,6,0),""))</f>
        <v/>
      </c>
      <c r="G761" s="8"/>
      <c r="H761" s="5"/>
      <c r="I761" s="5"/>
      <c r="J761" s="9"/>
      <c r="K761" s="17" t="str">
        <f aca="false">IF(H761="","",IFERROR(SUMIFS(BD_PLAN!$I$3:$I$312,BD_PLAN!$B$3:$B$312,E761,BD_PLAN!$C$3:$C$312,INDEX(BD_CICLO!$F$3:$F$54,MATCH(E761&amp;"|"&amp;H761,BD_CICLO!$G$3:$G$54,0))),""))</f>
        <v/>
      </c>
      <c r="L761" s="9"/>
      <c r="M761" s="9"/>
      <c r="N761" s="1" t="str">
        <f aca="false">IF(C761="","",C761&amp;"|"&amp;COUNTIF(C$3:C761,C761))</f>
        <v/>
      </c>
      <c r="O761" s="1" t="str">
        <f aca="false">IF(OR(C761="",M761=""),"",C761&amp;"|"&amp;COUNTIFS(C$3:C761,C761,M$3:M761,"&lt;&gt;"))</f>
        <v/>
      </c>
    </row>
    <row r="762" customFormat="false" ht="15" hidden="false" customHeight="false" outlineLevel="0" collapsed="false">
      <c r="B762" s="7"/>
      <c r="C762" s="5"/>
      <c r="D762" s="9" t="str">
        <f aca="false">IF(C762="","",IFERROR(VLOOKUP(C762,EQUIPOS!$B$3:$C$18,2,0),"NO EXISTE"))</f>
        <v/>
      </c>
      <c r="E762" s="9" t="str">
        <f aca="false">IF(C762="","",IFERROR(VLOOKUP(C762,EQUIPOS!$B$3:$F$18,5,0),""))</f>
        <v/>
      </c>
      <c r="F762" s="5" t="str">
        <f aca="false">IF(C762="","",IFERROR(VLOOKUP(C762,EQUIPOS!$B$3:$G$18,6,0),""))</f>
        <v/>
      </c>
      <c r="G762" s="8"/>
      <c r="H762" s="5"/>
      <c r="I762" s="5"/>
      <c r="J762" s="9"/>
      <c r="K762" s="17" t="str">
        <f aca="false">IF(H762="","",IFERROR(SUMIFS(BD_PLAN!$I$3:$I$312,BD_PLAN!$B$3:$B$312,E762,BD_PLAN!$C$3:$C$312,INDEX(BD_CICLO!$F$3:$F$54,MATCH(E762&amp;"|"&amp;H762,BD_CICLO!$G$3:$G$54,0))),""))</f>
        <v/>
      </c>
      <c r="L762" s="9"/>
      <c r="M762" s="9"/>
      <c r="N762" s="1" t="str">
        <f aca="false">IF(C762="","",C762&amp;"|"&amp;COUNTIF(C$3:C762,C762))</f>
        <v/>
      </c>
      <c r="O762" s="1" t="str">
        <f aca="false">IF(OR(C762="",M762=""),"",C762&amp;"|"&amp;COUNTIFS(C$3:C762,C762,M$3:M762,"&lt;&gt;"))</f>
        <v/>
      </c>
    </row>
    <row r="763" customFormat="false" ht="15" hidden="false" customHeight="false" outlineLevel="0" collapsed="false">
      <c r="B763" s="7"/>
      <c r="C763" s="5"/>
      <c r="D763" s="9" t="str">
        <f aca="false">IF(C763="","",IFERROR(VLOOKUP(C763,EQUIPOS!$B$3:$C$18,2,0),"NO EXISTE"))</f>
        <v/>
      </c>
      <c r="E763" s="9" t="str">
        <f aca="false">IF(C763="","",IFERROR(VLOOKUP(C763,EQUIPOS!$B$3:$F$18,5,0),""))</f>
        <v/>
      </c>
      <c r="F763" s="5" t="str">
        <f aca="false">IF(C763="","",IFERROR(VLOOKUP(C763,EQUIPOS!$B$3:$G$18,6,0),""))</f>
        <v/>
      </c>
      <c r="G763" s="8"/>
      <c r="H763" s="5"/>
      <c r="I763" s="5"/>
      <c r="J763" s="9"/>
      <c r="K763" s="17" t="str">
        <f aca="false">IF(H763="","",IFERROR(SUMIFS(BD_PLAN!$I$3:$I$312,BD_PLAN!$B$3:$B$312,E763,BD_PLAN!$C$3:$C$312,INDEX(BD_CICLO!$F$3:$F$54,MATCH(E763&amp;"|"&amp;H763,BD_CICLO!$G$3:$G$54,0))),""))</f>
        <v/>
      </c>
      <c r="L763" s="9"/>
      <c r="M763" s="9"/>
      <c r="N763" s="1" t="str">
        <f aca="false">IF(C763="","",C763&amp;"|"&amp;COUNTIF(C$3:C763,C763))</f>
        <v/>
      </c>
      <c r="O763" s="1" t="str">
        <f aca="false">IF(OR(C763="",M763=""),"",C763&amp;"|"&amp;COUNTIFS(C$3:C763,C763,M$3:M763,"&lt;&gt;"))</f>
        <v/>
      </c>
    </row>
    <row r="764" customFormat="false" ht="15" hidden="false" customHeight="false" outlineLevel="0" collapsed="false">
      <c r="B764" s="7"/>
      <c r="C764" s="5"/>
      <c r="D764" s="9" t="str">
        <f aca="false">IF(C764="","",IFERROR(VLOOKUP(C764,EQUIPOS!$B$3:$C$18,2,0),"NO EXISTE"))</f>
        <v/>
      </c>
      <c r="E764" s="9" t="str">
        <f aca="false">IF(C764="","",IFERROR(VLOOKUP(C764,EQUIPOS!$B$3:$F$18,5,0),""))</f>
        <v/>
      </c>
      <c r="F764" s="5" t="str">
        <f aca="false">IF(C764="","",IFERROR(VLOOKUP(C764,EQUIPOS!$B$3:$G$18,6,0),""))</f>
        <v/>
      </c>
      <c r="G764" s="8"/>
      <c r="H764" s="5"/>
      <c r="I764" s="5"/>
      <c r="J764" s="9"/>
      <c r="K764" s="17" t="str">
        <f aca="false">IF(H764="","",IFERROR(SUMIFS(BD_PLAN!$I$3:$I$312,BD_PLAN!$B$3:$B$312,E764,BD_PLAN!$C$3:$C$312,INDEX(BD_CICLO!$F$3:$F$54,MATCH(E764&amp;"|"&amp;H764,BD_CICLO!$G$3:$G$54,0))),""))</f>
        <v/>
      </c>
      <c r="L764" s="9"/>
      <c r="M764" s="9"/>
      <c r="N764" s="1" t="str">
        <f aca="false">IF(C764="","",C764&amp;"|"&amp;COUNTIF(C$3:C764,C764))</f>
        <v/>
      </c>
      <c r="O764" s="1" t="str">
        <f aca="false">IF(OR(C764="",M764=""),"",C764&amp;"|"&amp;COUNTIFS(C$3:C764,C764,M$3:M764,"&lt;&gt;"))</f>
        <v/>
      </c>
    </row>
    <row r="765" customFormat="false" ht="15" hidden="false" customHeight="false" outlineLevel="0" collapsed="false">
      <c r="B765" s="7"/>
      <c r="C765" s="5"/>
      <c r="D765" s="9" t="str">
        <f aca="false">IF(C765="","",IFERROR(VLOOKUP(C765,EQUIPOS!$B$3:$C$18,2,0),"NO EXISTE"))</f>
        <v/>
      </c>
      <c r="E765" s="9" t="str">
        <f aca="false">IF(C765="","",IFERROR(VLOOKUP(C765,EQUIPOS!$B$3:$F$18,5,0),""))</f>
        <v/>
      </c>
      <c r="F765" s="5" t="str">
        <f aca="false">IF(C765="","",IFERROR(VLOOKUP(C765,EQUIPOS!$B$3:$G$18,6,0),""))</f>
        <v/>
      </c>
      <c r="G765" s="8"/>
      <c r="H765" s="5"/>
      <c r="I765" s="5"/>
      <c r="J765" s="9"/>
      <c r="K765" s="17" t="str">
        <f aca="false">IF(H765="","",IFERROR(SUMIFS(BD_PLAN!$I$3:$I$312,BD_PLAN!$B$3:$B$312,E765,BD_PLAN!$C$3:$C$312,INDEX(BD_CICLO!$F$3:$F$54,MATCH(E765&amp;"|"&amp;H765,BD_CICLO!$G$3:$G$54,0))),""))</f>
        <v/>
      </c>
      <c r="L765" s="9"/>
      <c r="M765" s="9"/>
      <c r="N765" s="1" t="str">
        <f aca="false">IF(C765="","",C765&amp;"|"&amp;COUNTIF(C$3:C765,C765))</f>
        <v/>
      </c>
      <c r="O765" s="1" t="str">
        <f aca="false">IF(OR(C765="",M765=""),"",C765&amp;"|"&amp;COUNTIFS(C$3:C765,C765,M$3:M765,"&lt;&gt;"))</f>
        <v/>
      </c>
    </row>
    <row r="766" customFormat="false" ht="15" hidden="false" customHeight="false" outlineLevel="0" collapsed="false">
      <c r="B766" s="7"/>
      <c r="C766" s="5"/>
      <c r="D766" s="9" t="str">
        <f aca="false">IF(C766="","",IFERROR(VLOOKUP(C766,EQUIPOS!$B$3:$C$18,2,0),"NO EXISTE"))</f>
        <v/>
      </c>
      <c r="E766" s="9" t="str">
        <f aca="false">IF(C766="","",IFERROR(VLOOKUP(C766,EQUIPOS!$B$3:$F$18,5,0),""))</f>
        <v/>
      </c>
      <c r="F766" s="5" t="str">
        <f aca="false">IF(C766="","",IFERROR(VLOOKUP(C766,EQUIPOS!$B$3:$G$18,6,0),""))</f>
        <v/>
      </c>
      <c r="G766" s="8"/>
      <c r="H766" s="5"/>
      <c r="I766" s="5"/>
      <c r="J766" s="9"/>
      <c r="K766" s="17" t="str">
        <f aca="false">IF(H766="","",IFERROR(SUMIFS(BD_PLAN!$I$3:$I$312,BD_PLAN!$B$3:$B$312,E766,BD_PLAN!$C$3:$C$312,INDEX(BD_CICLO!$F$3:$F$54,MATCH(E766&amp;"|"&amp;H766,BD_CICLO!$G$3:$G$54,0))),""))</f>
        <v/>
      </c>
      <c r="L766" s="9"/>
      <c r="M766" s="9"/>
      <c r="N766" s="1" t="str">
        <f aca="false">IF(C766="","",C766&amp;"|"&amp;COUNTIF(C$3:C766,C766))</f>
        <v/>
      </c>
      <c r="O766" s="1" t="str">
        <f aca="false">IF(OR(C766="",M766=""),"",C766&amp;"|"&amp;COUNTIFS(C$3:C766,C766,M$3:M766,"&lt;&gt;"))</f>
        <v/>
      </c>
    </row>
    <row r="767" customFormat="false" ht="15" hidden="false" customHeight="false" outlineLevel="0" collapsed="false">
      <c r="B767" s="7"/>
      <c r="C767" s="5"/>
      <c r="D767" s="9" t="str">
        <f aca="false">IF(C767="","",IFERROR(VLOOKUP(C767,EQUIPOS!$B$3:$C$18,2,0),"NO EXISTE"))</f>
        <v/>
      </c>
      <c r="E767" s="9" t="str">
        <f aca="false">IF(C767="","",IFERROR(VLOOKUP(C767,EQUIPOS!$B$3:$F$18,5,0),""))</f>
        <v/>
      </c>
      <c r="F767" s="5" t="str">
        <f aca="false">IF(C767="","",IFERROR(VLOOKUP(C767,EQUIPOS!$B$3:$G$18,6,0),""))</f>
        <v/>
      </c>
      <c r="G767" s="8"/>
      <c r="H767" s="5"/>
      <c r="I767" s="5"/>
      <c r="J767" s="9"/>
      <c r="K767" s="17" t="str">
        <f aca="false">IF(H767="","",IFERROR(SUMIFS(BD_PLAN!$I$3:$I$312,BD_PLAN!$B$3:$B$312,E767,BD_PLAN!$C$3:$C$312,INDEX(BD_CICLO!$F$3:$F$54,MATCH(E767&amp;"|"&amp;H767,BD_CICLO!$G$3:$G$54,0))),""))</f>
        <v/>
      </c>
      <c r="L767" s="9"/>
      <c r="M767" s="9"/>
      <c r="N767" s="1" t="str">
        <f aca="false">IF(C767="","",C767&amp;"|"&amp;COUNTIF(C$3:C767,C767))</f>
        <v/>
      </c>
      <c r="O767" s="1" t="str">
        <f aca="false">IF(OR(C767="",M767=""),"",C767&amp;"|"&amp;COUNTIFS(C$3:C767,C767,M$3:M767,"&lt;&gt;"))</f>
        <v/>
      </c>
    </row>
    <row r="768" customFormat="false" ht="15" hidden="false" customHeight="false" outlineLevel="0" collapsed="false">
      <c r="B768" s="7"/>
      <c r="C768" s="5"/>
      <c r="D768" s="9" t="str">
        <f aca="false">IF(C768="","",IFERROR(VLOOKUP(C768,EQUIPOS!$B$3:$C$18,2,0),"NO EXISTE"))</f>
        <v/>
      </c>
      <c r="E768" s="9" t="str">
        <f aca="false">IF(C768="","",IFERROR(VLOOKUP(C768,EQUIPOS!$B$3:$F$18,5,0),""))</f>
        <v/>
      </c>
      <c r="F768" s="5" t="str">
        <f aca="false">IF(C768="","",IFERROR(VLOOKUP(C768,EQUIPOS!$B$3:$G$18,6,0),""))</f>
        <v/>
      </c>
      <c r="G768" s="8"/>
      <c r="H768" s="5"/>
      <c r="I768" s="5"/>
      <c r="J768" s="9"/>
      <c r="K768" s="17" t="str">
        <f aca="false">IF(H768="","",IFERROR(SUMIFS(BD_PLAN!$I$3:$I$312,BD_PLAN!$B$3:$B$312,E768,BD_PLAN!$C$3:$C$312,INDEX(BD_CICLO!$F$3:$F$54,MATCH(E768&amp;"|"&amp;H768,BD_CICLO!$G$3:$G$54,0))),""))</f>
        <v/>
      </c>
      <c r="L768" s="9"/>
      <c r="M768" s="9"/>
      <c r="N768" s="1" t="str">
        <f aca="false">IF(C768="","",C768&amp;"|"&amp;COUNTIF(C$3:C768,C768))</f>
        <v/>
      </c>
      <c r="O768" s="1" t="str">
        <f aca="false">IF(OR(C768="",M768=""),"",C768&amp;"|"&amp;COUNTIFS(C$3:C768,C768,M$3:M768,"&lt;&gt;"))</f>
        <v/>
      </c>
    </row>
    <row r="769" customFormat="false" ht="15" hidden="false" customHeight="false" outlineLevel="0" collapsed="false">
      <c r="B769" s="7"/>
      <c r="C769" s="5"/>
      <c r="D769" s="9" t="str">
        <f aca="false">IF(C769="","",IFERROR(VLOOKUP(C769,EQUIPOS!$B$3:$C$18,2,0),"NO EXISTE"))</f>
        <v/>
      </c>
      <c r="E769" s="9" t="str">
        <f aca="false">IF(C769="","",IFERROR(VLOOKUP(C769,EQUIPOS!$B$3:$F$18,5,0),""))</f>
        <v/>
      </c>
      <c r="F769" s="5" t="str">
        <f aca="false">IF(C769="","",IFERROR(VLOOKUP(C769,EQUIPOS!$B$3:$G$18,6,0),""))</f>
        <v/>
      </c>
      <c r="G769" s="8"/>
      <c r="H769" s="5"/>
      <c r="I769" s="5"/>
      <c r="J769" s="9"/>
      <c r="K769" s="17" t="str">
        <f aca="false">IF(H769="","",IFERROR(SUMIFS(BD_PLAN!$I$3:$I$312,BD_PLAN!$B$3:$B$312,E769,BD_PLAN!$C$3:$C$312,INDEX(BD_CICLO!$F$3:$F$54,MATCH(E769&amp;"|"&amp;H769,BD_CICLO!$G$3:$G$54,0))),""))</f>
        <v/>
      </c>
      <c r="L769" s="9"/>
      <c r="M769" s="9"/>
      <c r="N769" s="1" t="str">
        <f aca="false">IF(C769="","",C769&amp;"|"&amp;COUNTIF(C$3:C769,C769))</f>
        <v/>
      </c>
      <c r="O769" s="1" t="str">
        <f aca="false">IF(OR(C769="",M769=""),"",C769&amp;"|"&amp;COUNTIFS(C$3:C769,C769,M$3:M769,"&lt;&gt;"))</f>
        <v/>
      </c>
    </row>
    <row r="770" customFormat="false" ht="15" hidden="false" customHeight="false" outlineLevel="0" collapsed="false">
      <c r="B770" s="7"/>
      <c r="C770" s="5"/>
      <c r="D770" s="9" t="str">
        <f aca="false">IF(C770="","",IFERROR(VLOOKUP(C770,EQUIPOS!$B$3:$C$18,2,0),"NO EXISTE"))</f>
        <v/>
      </c>
      <c r="E770" s="9" t="str">
        <f aca="false">IF(C770="","",IFERROR(VLOOKUP(C770,EQUIPOS!$B$3:$F$18,5,0),""))</f>
        <v/>
      </c>
      <c r="F770" s="5" t="str">
        <f aca="false">IF(C770="","",IFERROR(VLOOKUP(C770,EQUIPOS!$B$3:$G$18,6,0),""))</f>
        <v/>
      </c>
      <c r="G770" s="8"/>
      <c r="H770" s="5"/>
      <c r="I770" s="5"/>
      <c r="J770" s="9"/>
      <c r="K770" s="17" t="str">
        <f aca="false">IF(H770="","",IFERROR(SUMIFS(BD_PLAN!$I$3:$I$312,BD_PLAN!$B$3:$B$312,E770,BD_PLAN!$C$3:$C$312,INDEX(BD_CICLO!$F$3:$F$54,MATCH(E770&amp;"|"&amp;H770,BD_CICLO!$G$3:$G$54,0))),""))</f>
        <v/>
      </c>
      <c r="L770" s="9"/>
      <c r="M770" s="9"/>
      <c r="N770" s="1" t="str">
        <f aca="false">IF(C770="","",C770&amp;"|"&amp;COUNTIF(C$3:C770,C770))</f>
        <v/>
      </c>
      <c r="O770" s="1" t="str">
        <f aca="false">IF(OR(C770="",M770=""),"",C770&amp;"|"&amp;COUNTIFS(C$3:C770,C770,M$3:M770,"&lt;&gt;"))</f>
        <v/>
      </c>
    </row>
    <row r="771" customFormat="false" ht="15" hidden="false" customHeight="false" outlineLevel="0" collapsed="false">
      <c r="B771" s="7"/>
      <c r="C771" s="5"/>
      <c r="D771" s="9" t="str">
        <f aca="false">IF(C771="","",IFERROR(VLOOKUP(C771,EQUIPOS!$B$3:$C$18,2,0),"NO EXISTE"))</f>
        <v/>
      </c>
      <c r="E771" s="9" t="str">
        <f aca="false">IF(C771="","",IFERROR(VLOOKUP(C771,EQUIPOS!$B$3:$F$18,5,0),""))</f>
        <v/>
      </c>
      <c r="F771" s="5" t="str">
        <f aca="false">IF(C771="","",IFERROR(VLOOKUP(C771,EQUIPOS!$B$3:$G$18,6,0),""))</f>
        <v/>
      </c>
      <c r="G771" s="8"/>
      <c r="H771" s="5"/>
      <c r="I771" s="5"/>
      <c r="J771" s="9"/>
      <c r="K771" s="17" t="str">
        <f aca="false">IF(H771="","",IFERROR(SUMIFS(BD_PLAN!$I$3:$I$312,BD_PLAN!$B$3:$B$312,E771,BD_PLAN!$C$3:$C$312,INDEX(BD_CICLO!$F$3:$F$54,MATCH(E771&amp;"|"&amp;H771,BD_CICLO!$G$3:$G$54,0))),""))</f>
        <v/>
      </c>
      <c r="L771" s="9"/>
      <c r="M771" s="9"/>
      <c r="N771" s="1" t="str">
        <f aca="false">IF(C771="","",C771&amp;"|"&amp;COUNTIF(C$3:C771,C771))</f>
        <v/>
      </c>
      <c r="O771" s="1" t="str">
        <f aca="false">IF(OR(C771="",M771=""),"",C771&amp;"|"&amp;COUNTIFS(C$3:C771,C771,M$3:M771,"&lt;&gt;"))</f>
        <v/>
      </c>
    </row>
    <row r="772" customFormat="false" ht="15" hidden="false" customHeight="false" outlineLevel="0" collapsed="false">
      <c r="B772" s="7"/>
      <c r="C772" s="5"/>
      <c r="D772" s="9" t="str">
        <f aca="false">IF(C772="","",IFERROR(VLOOKUP(C772,EQUIPOS!$B$3:$C$18,2,0),"NO EXISTE"))</f>
        <v/>
      </c>
      <c r="E772" s="9" t="str">
        <f aca="false">IF(C772="","",IFERROR(VLOOKUP(C772,EQUIPOS!$B$3:$F$18,5,0),""))</f>
        <v/>
      </c>
      <c r="F772" s="5" t="str">
        <f aca="false">IF(C772="","",IFERROR(VLOOKUP(C772,EQUIPOS!$B$3:$G$18,6,0),""))</f>
        <v/>
      </c>
      <c r="G772" s="8"/>
      <c r="H772" s="5"/>
      <c r="I772" s="5"/>
      <c r="J772" s="9"/>
      <c r="K772" s="17" t="str">
        <f aca="false">IF(H772="","",IFERROR(SUMIFS(BD_PLAN!$I$3:$I$312,BD_PLAN!$B$3:$B$312,E772,BD_PLAN!$C$3:$C$312,INDEX(BD_CICLO!$F$3:$F$54,MATCH(E772&amp;"|"&amp;H772,BD_CICLO!$G$3:$G$54,0))),""))</f>
        <v/>
      </c>
      <c r="L772" s="9"/>
      <c r="M772" s="9"/>
      <c r="N772" s="1" t="str">
        <f aca="false">IF(C772="","",C772&amp;"|"&amp;COUNTIF(C$3:C772,C772))</f>
        <v/>
      </c>
      <c r="O772" s="1" t="str">
        <f aca="false">IF(OR(C772="",M772=""),"",C772&amp;"|"&amp;COUNTIFS(C$3:C772,C772,M$3:M772,"&lt;&gt;"))</f>
        <v/>
      </c>
    </row>
    <row r="773" customFormat="false" ht="15" hidden="false" customHeight="false" outlineLevel="0" collapsed="false">
      <c r="B773" s="7"/>
      <c r="C773" s="5"/>
      <c r="D773" s="9" t="str">
        <f aca="false">IF(C773="","",IFERROR(VLOOKUP(C773,EQUIPOS!$B$3:$C$18,2,0),"NO EXISTE"))</f>
        <v/>
      </c>
      <c r="E773" s="9" t="str">
        <f aca="false">IF(C773="","",IFERROR(VLOOKUP(C773,EQUIPOS!$B$3:$F$18,5,0),""))</f>
        <v/>
      </c>
      <c r="F773" s="5" t="str">
        <f aca="false">IF(C773="","",IFERROR(VLOOKUP(C773,EQUIPOS!$B$3:$G$18,6,0),""))</f>
        <v/>
      </c>
      <c r="G773" s="8"/>
      <c r="H773" s="5"/>
      <c r="I773" s="5"/>
      <c r="J773" s="9"/>
      <c r="K773" s="17" t="str">
        <f aca="false">IF(H773="","",IFERROR(SUMIFS(BD_PLAN!$I$3:$I$312,BD_PLAN!$B$3:$B$312,E773,BD_PLAN!$C$3:$C$312,INDEX(BD_CICLO!$F$3:$F$54,MATCH(E773&amp;"|"&amp;H773,BD_CICLO!$G$3:$G$54,0))),""))</f>
        <v/>
      </c>
      <c r="L773" s="9"/>
      <c r="M773" s="9"/>
      <c r="N773" s="1" t="str">
        <f aca="false">IF(C773="","",C773&amp;"|"&amp;COUNTIF(C$3:C773,C773))</f>
        <v/>
      </c>
      <c r="O773" s="1" t="str">
        <f aca="false">IF(OR(C773="",M773=""),"",C773&amp;"|"&amp;COUNTIFS(C$3:C773,C773,M$3:M773,"&lt;&gt;"))</f>
        <v/>
      </c>
    </row>
    <row r="774" customFormat="false" ht="15" hidden="false" customHeight="false" outlineLevel="0" collapsed="false">
      <c r="B774" s="7"/>
      <c r="C774" s="5"/>
      <c r="D774" s="9" t="str">
        <f aca="false">IF(C774="","",IFERROR(VLOOKUP(C774,EQUIPOS!$B$3:$C$18,2,0),"NO EXISTE"))</f>
        <v/>
      </c>
      <c r="E774" s="9" t="str">
        <f aca="false">IF(C774="","",IFERROR(VLOOKUP(C774,EQUIPOS!$B$3:$F$18,5,0),""))</f>
        <v/>
      </c>
      <c r="F774" s="5" t="str">
        <f aca="false">IF(C774="","",IFERROR(VLOOKUP(C774,EQUIPOS!$B$3:$G$18,6,0),""))</f>
        <v/>
      </c>
      <c r="G774" s="8"/>
      <c r="H774" s="5"/>
      <c r="I774" s="5"/>
      <c r="J774" s="9"/>
      <c r="K774" s="17" t="str">
        <f aca="false">IF(H774="","",IFERROR(SUMIFS(BD_PLAN!$I$3:$I$312,BD_PLAN!$B$3:$B$312,E774,BD_PLAN!$C$3:$C$312,INDEX(BD_CICLO!$F$3:$F$54,MATCH(E774&amp;"|"&amp;H774,BD_CICLO!$G$3:$G$54,0))),""))</f>
        <v/>
      </c>
      <c r="L774" s="9"/>
      <c r="M774" s="9"/>
      <c r="N774" s="1" t="str">
        <f aca="false">IF(C774="","",C774&amp;"|"&amp;COUNTIF(C$3:C774,C774))</f>
        <v/>
      </c>
      <c r="O774" s="1" t="str">
        <f aca="false">IF(OR(C774="",M774=""),"",C774&amp;"|"&amp;COUNTIFS(C$3:C774,C774,M$3:M774,"&lt;&gt;"))</f>
        <v/>
      </c>
    </row>
    <row r="775" customFormat="false" ht="15" hidden="false" customHeight="false" outlineLevel="0" collapsed="false">
      <c r="B775" s="7"/>
      <c r="C775" s="5"/>
      <c r="D775" s="9" t="str">
        <f aca="false">IF(C775="","",IFERROR(VLOOKUP(C775,EQUIPOS!$B$3:$C$18,2,0),"NO EXISTE"))</f>
        <v/>
      </c>
      <c r="E775" s="9" t="str">
        <f aca="false">IF(C775="","",IFERROR(VLOOKUP(C775,EQUIPOS!$B$3:$F$18,5,0),""))</f>
        <v/>
      </c>
      <c r="F775" s="5" t="str">
        <f aca="false">IF(C775="","",IFERROR(VLOOKUP(C775,EQUIPOS!$B$3:$G$18,6,0),""))</f>
        <v/>
      </c>
      <c r="G775" s="8"/>
      <c r="H775" s="5"/>
      <c r="I775" s="5"/>
      <c r="J775" s="9"/>
      <c r="K775" s="17" t="str">
        <f aca="false">IF(H775="","",IFERROR(SUMIFS(BD_PLAN!$I$3:$I$312,BD_PLAN!$B$3:$B$312,E775,BD_PLAN!$C$3:$C$312,INDEX(BD_CICLO!$F$3:$F$54,MATCH(E775&amp;"|"&amp;H775,BD_CICLO!$G$3:$G$54,0))),""))</f>
        <v/>
      </c>
      <c r="L775" s="9"/>
      <c r="M775" s="9"/>
      <c r="N775" s="1" t="str">
        <f aca="false">IF(C775="","",C775&amp;"|"&amp;COUNTIF(C$3:C775,C775))</f>
        <v/>
      </c>
      <c r="O775" s="1" t="str">
        <f aca="false">IF(OR(C775="",M775=""),"",C775&amp;"|"&amp;COUNTIFS(C$3:C775,C775,M$3:M775,"&lt;&gt;"))</f>
        <v/>
      </c>
    </row>
    <row r="776" customFormat="false" ht="15" hidden="false" customHeight="false" outlineLevel="0" collapsed="false">
      <c r="B776" s="7"/>
      <c r="C776" s="5"/>
      <c r="D776" s="9" t="str">
        <f aca="false">IF(C776="","",IFERROR(VLOOKUP(C776,EQUIPOS!$B$3:$C$18,2,0),"NO EXISTE"))</f>
        <v/>
      </c>
      <c r="E776" s="9" t="str">
        <f aca="false">IF(C776="","",IFERROR(VLOOKUP(C776,EQUIPOS!$B$3:$F$18,5,0),""))</f>
        <v/>
      </c>
      <c r="F776" s="5" t="str">
        <f aca="false">IF(C776="","",IFERROR(VLOOKUP(C776,EQUIPOS!$B$3:$G$18,6,0),""))</f>
        <v/>
      </c>
      <c r="G776" s="8"/>
      <c r="H776" s="5"/>
      <c r="I776" s="5"/>
      <c r="J776" s="9"/>
      <c r="K776" s="17" t="str">
        <f aca="false">IF(H776="","",IFERROR(SUMIFS(BD_PLAN!$I$3:$I$312,BD_PLAN!$B$3:$B$312,E776,BD_PLAN!$C$3:$C$312,INDEX(BD_CICLO!$F$3:$F$54,MATCH(E776&amp;"|"&amp;H776,BD_CICLO!$G$3:$G$54,0))),""))</f>
        <v/>
      </c>
      <c r="L776" s="9"/>
      <c r="M776" s="9"/>
      <c r="N776" s="1" t="str">
        <f aca="false">IF(C776="","",C776&amp;"|"&amp;COUNTIF(C$3:C776,C776))</f>
        <v/>
      </c>
      <c r="O776" s="1" t="str">
        <f aca="false">IF(OR(C776="",M776=""),"",C776&amp;"|"&amp;COUNTIFS(C$3:C776,C776,M$3:M776,"&lt;&gt;"))</f>
        <v/>
      </c>
    </row>
    <row r="777" customFormat="false" ht="15" hidden="false" customHeight="false" outlineLevel="0" collapsed="false">
      <c r="B777" s="7"/>
      <c r="C777" s="5"/>
      <c r="D777" s="9" t="str">
        <f aca="false">IF(C777="","",IFERROR(VLOOKUP(C777,EQUIPOS!$B$3:$C$18,2,0),"NO EXISTE"))</f>
        <v/>
      </c>
      <c r="E777" s="9" t="str">
        <f aca="false">IF(C777="","",IFERROR(VLOOKUP(C777,EQUIPOS!$B$3:$F$18,5,0),""))</f>
        <v/>
      </c>
      <c r="F777" s="5" t="str">
        <f aca="false">IF(C777="","",IFERROR(VLOOKUP(C777,EQUIPOS!$B$3:$G$18,6,0),""))</f>
        <v/>
      </c>
      <c r="G777" s="8"/>
      <c r="H777" s="5"/>
      <c r="I777" s="5"/>
      <c r="J777" s="9"/>
      <c r="K777" s="17" t="str">
        <f aca="false">IF(H777="","",IFERROR(SUMIFS(BD_PLAN!$I$3:$I$312,BD_PLAN!$B$3:$B$312,E777,BD_PLAN!$C$3:$C$312,INDEX(BD_CICLO!$F$3:$F$54,MATCH(E777&amp;"|"&amp;H777,BD_CICLO!$G$3:$G$54,0))),""))</f>
        <v/>
      </c>
      <c r="L777" s="9"/>
      <c r="M777" s="9"/>
      <c r="N777" s="1" t="str">
        <f aca="false">IF(C777="","",C777&amp;"|"&amp;COUNTIF(C$3:C777,C777))</f>
        <v/>
      </c>
      <c r="O777" s="1" t="str">
        <f aca="false">IF(OR(C777="",M777=""),"",C777&amp;"|"&amp;COUNTIFS(C$3:C777,C777,M$3:M777,"&lt;&gt;"))</f>
        <v/>
      </c>
    </row>
    <row r="778" customFormat="false" ht="15" hidden="false" customHeight="false" outlineLevel="0" collapsed="false">
      <c r="B778" s="7"/>
      <c r="C778" s="5"/>
      <c r="D778" s="9" t="str">
        <f aca="false">IF(C778="","",IFERROR(VLOOKUP(C778,EQUIPOS!$B$3:$C$18,2,0),"NO EXISTE"))</f>
        <v/>
      </c>
      <c r="E778" s="9" t="str">
        <f aca="false">IF(C778="","",IFERROR(VLOOKUP(C778,EQUIPOS!$B$3:$F$18,5,0),""))</f>
        <v/>
      </c>
      <c r="F778" s="5" t="str">
        <f aca="false">IF(C778="","",IFERROR(VLOOKUP(C778,EQUIPOS!$B$3:$G$18,6,0),""))</f>
        <v/>
      </c>
      <c r="G778" s="8"/>
      <c r="H778" s="5"/>
      <c r="I778" s="5"/>
      <c r="J778" s="9"/>
      <c r="K778" s="17" t="str">
        <f aca="false">IF(H778="","",IFERROR(SUMIFS(BD_PLAN!$I$3:$I$312,BD_PLAN!$B$3:$B$312,E778,BD_PLAN!$C$3:$C$312,INDEX(BD_CICLO!$F$3:$F$54,MATCH(E778&amp;"|"&amp;H778,BD_CICLO!$G$3:$G$54,0))),""))</f>
        <v/>
      </c>
      <c r="L778" s="9"/>
      <c r="M778" s="9"/>
      <c r="N778" s="1" t="str">
        <f aca="false">IF(C778="","",C778&amp;"|"&amp;COUNTIF(C$3:C778,C778))</f>
        <v/>
      </c>
      <c r="O778" s="1" t="str">
        <f aca="false">IF(OR(C778="",M778=""),"",C778&amp;"|"&amp;COUNTIFS(C$3:C778,C778,M$3:M778,"&lt;&gt;"))</f>
        <v/>
      </c>
    </row>
    <row r="779" customFormat="false" ht="15" hidden="false" customHeight="false" outlineLevel="0" collapsed="false">
      <c r="B779" s="7"/>
      <c r="C779" s="5"/>
      <c r="D779" s="9" t="str">
        <f aca="false">IF(C779="","",IFERROR(VLOOKUP(C779,EQUIPOS!$B$3:$C$18,2,0),"NO EXISTE"))</f>
        <v/>
      </c>
      <c r="E779" s="9" t="str">
        <f aca="false">IF(C779="","",IFERROR(VLOOKUP(C779,EQUIPOS!$B$3:$F$18,5,0),""))</f>
        <v/>
      </c>
      <c r="F779" s="5" t="str">
        <f aca="false">IF(C779="","",IFERROR(VLOOKUP(C779,EQUIPOS!$B$3:$G$18,6,0),""))</f>
        <v/>
      </c>
      <c r="G779" s="8"/>
      <c r="H779" s="5"/>
      <c r="I779" s="5"/>
      <c r="J779" s="9"/>
      <c r="K779" s="17" t="str">
        <f aca="false">IF(H779="","",IFERROR(SUMIFS(BD_PLAN!$I$3:$I$312,BD_PLAN!$B$3:$B$312,E779,BD_PLAN!$C$3:$C$312,INDEX(BD_CICLO!$F$3:$F$54,MATCH(E779&amp;"|"&amp;H779,BD_CICLO!$G$3:$G$54,0))),""))</f>
        <v/>
      </c>
      <c r="L779" s="9"/>
      <c r="M779" s="9"/>
      <c r="N779" s="1" t="str">
        <f aca="false">IF(C779="","",C779&amp;"|"&amp;COUNTIF(C$3:C779,C779))</f>
        <v/>
      </c>
      <c r="O779" s="1" t="str">
        <f aca="false">IF(OR(C779="",M779=""),"",C779&amp;"|"&amp;COUNTIFS(C$3:C779,C779,M$3:M779,"&lt;&gt;"))</f>
        <v/>
      </c>
    </row>
    <row r="780" customFormat="false" ht="15" hidden="false" customHeight="false" outlineLevel="0" collapsed="false">
      <c r="B780" s="7"/>
      <c r="C780" s="5"/>
      <c r="D780" s="9" t="str">
        <f aca="false">IF(C780="","",IFERROR(VLOOKUP(C780,EQUIPOS!$B$3:$C$18,2,0),"NO EXISTE"))</f>
        <v/>
      </c>
      <c r="E780" s="9" t="str">
        <f aca="false">IF(C780="","",IFERROR(VLOOKUP(C780,EQUIPOS!$B$3:$F$18,5,0),""))</f>
        <v/>
      </c>
      <c r="F780" s="5" t="str">
        <f aca="false">IF(C780="","",IFERROR(VLOOKUP(C780,EQUIPOS!$B$3:$G$18,6,0),""))</f>
        <v/>
      </c>
      <c r="G780" s="8"/>
      <c r="H780" s="5"/>
      <c r="I780" s="5"/>
      <c r="J780" s="9"/>
      <c r="K780" s="17" t="str">
        <f aca="false">IF(H780="","",IFERROR(SUMIFS(BD_PLAN!$I$3:$I$312,BD_PLAN!$B$3:$B$312,E780,BD_PLAN!$C$3:$C$312,INDEX(BD_CICLO!$F$3:$F$54,MATCH(E780&amp;"|"&amp;H780,BD_CICLO!$G$3:$G$54,0))),""))</f>
        <v/>
      </c>
      <c r="L780" s="9"/>
      <c r="M780" s="9"/>
      <c r="N780" s="1" t="str">
        <f aca="false">IF(C780="","",C780&amp;"|"&amp;COUNTIF(C$3:C780,C780))</f>
        <v/>
      </c>
      <c r="O780" s="1" t="str">
        <f aca="false">IF(OR(C780="",M780=""),"",C780&amp;"|"&amp;COUNTIFS(C$3:C780,C780,M$3:M780,"&lt;&gt;"))</f>
        <v/>
      </c>
    </row>
    <row r="781" customFormat="false" ht="15" hidden="false" customHeight="false" outlineLevel="0" collapsed="false">
      <c r="B781" s="7"/>
      <c r="C781" s="5"/>
      <c r="D781" s="9" t="str">
        <f aca="false">IF(C781="","",IFERROR(VLOOKUP(C781,EQUIPOS!$B$3:$C$18,2,0),"NO EXISTE"))</f>
        <v/>
      </c>
      <c r="E781" s="9" t="str">
        <f aca="false">IF(C781="","",IFERROR(VLOOKUP(C781,EQUIPOS!$B$3:$F$18,5,0),""))</f>
        <v/>
      </c>
      <c r="F781" s="5" t="str">
        <f aca="false">IF(C781="","",IFERROR(VLOOKUP(C781,EQUIPOS!$B$3:$G$18,6,0),""))</f>
        <v/>
      </c>
      <c r="G781" s="8"/>
      <c r="H781" s="5"/>
      <c r="I781" s="5"/>
      <c r="J781" s="9"/>
      <c r="K781" s="17" t="str">
        <f aca="false">IF(H781="","",IFERROR(SUMIFS(BD_PLAN!$I$3:$I$312,BD_PLAN!$B$3:$B$312,E781,BD_PLAN!$C$3:$C$312,INDEX(BD_CICLO!$F$3:$F$54,MATCH(E781&amp;"|"&amp;H781,BD_CICLO!$G$3:$G$54,0))),""))</f>
        <v/>
      </c>
      <c r="L781" s="9"/>
      <c r="M781" s="9"/>
      <c r="N781" s="1" t="str">
        <f aca="false">IF(C781="","",C781&amp;"|"&amp;COUNTIF(C$3:C781,C781))</f>
        <v/>
      </c>
      <c r="O781" s="1" t="str">
        <f aca="false">IF(OR(C781="",M781=""),"",C781&amp;"|"&amp;COUNTIFS(C$3:C781,C781,M$3:M781,"&lt;&gt;"))</f>
        <v/>
      </c>
    </row>
    <row r="782" customFormat="false" ht="15" hidden="false" customHeight="false" outlineLevel="0" collapsed="false">
      <c r="B782" s="7"/>
      <c r="C782" s="5"/>
      <c r="D782" s="9" t="str">
        <f aca="false">IF(C782="","",IFERROR(VLOOKUP(C782,EQUIPOS!$B$3:$C$18,2,0),"NO EXISTE"))</f>
        <v/>
      </c>
      <c r="E782" s="9" t="str">
        <f aca="false">IF(C782="","",IFERROR(VLOOKUP(C782,EQUIPOS!$B$3:$F$18,5,0),""))</f>
        <v/>
      </c>
      <c r="F782" s="5" t="str">
        <f aca="false">IF(C782="","",IFERROR(VLOOKUP(C782,EQUIPOS!$B$3:$G$18,6,0),""))</f>
        <v/>
      </c>
      <c r="G782" s="8"/>
      <c r="H782" s="5"/>
      <c r="I782" s="5"/>
      <c r="J782" s="9"/>
      <c r="K782" s="17" t="str">
        <f aca="false">IF(H782="","",IFERROR(SUMIFS(BD_PLAN!$I$3:$I$312,BD_PLAN!$B$3:$B$312,E782,BD_PLAN!$C$3:$C$312,INDEX(BD_CICLO!$F$3:$F$54,MATCH(E782&amp;"|"&amp;H782,BD_CICLO!$G$3:$G$54,0))),""))</f>
        <v/>
      </c>
      <c r="L782" s="9"/>
      <c r="M782" s="9"/>
      <c r="N782" s="1" t="str">
        <f aca="false">IF(C782="","",C782&amp;"|"&amp;COUNTIF(C$3:C782,C782))</f>
        <v/>
      </c>
      <c r="O782" s="1" t="str">
        <f aca="false">IF(OR(C782="",M782=""),"",C782&amp;"|"&amp;COUNTIFS(C$3:C782,C782,M$3:M782,"&lt;&gt;"))</f>
        <v/>
      </c>
    </row>
    <row r="783" customFormat="false" ht="15" hidden="false" customHeight="false" outlineLevel="0" collapsed="false">
      <c r="B783" s="7"/>
      <c r="C783" s="5"/>
      <c r="D783" s="9" t="str">
        <f aca="false">IF(C783="","",IFERROR(VLOOKUP(C783,EQUIPOS!$B$3:$C$18,2,0),"NO EXISTE"))</f>
        <v/>
      </c>
      <c r="E783" s="9" t="str">
        <f aca="false">IF(C783="","",IFERROR(VLOOKUP(C783,EQUIPOS!$B$3:$F$18,5,0),""))</f>
        <v/>
      </c>
      <c r="F783" s="5" t="str">
        <f aca="false">IF(C783="","",IFERROR(VLOOKUP(C783,EQUIPOS!$B$3:$G$18,6,0),""))</f>
        <v/>
      </c>
      <c r="G783" s="8"/>
      <c r="H783" s="5"/>
      <c r="I783" s="5"/>
      <c r="J783" s="9"/>
      <c r="K783" s="17" t="str">
        <f aca="false">IF(H783="","",IFERROR(SUMIFS(BD_PLAN!$I$3:$I$312,BD_PLAN!$B$3:$B$312,E783,BD_PLAN!$C$3:$C$312,INDEX(BD_CICLO!$F$3:$F$54,MATCH(E783&amp;"|"&amp;H783,BD_CICLO!$G$3:$G$54,0))),""))</f>
        <v/>
      </c>
      <c r="L783" s="9"/>
      <c r="M783" s="9"/>
      <c r="N783" s="1" t="str">
        <f aca="false">IF(C783="","",C783&amp;"|"&amp;COUNTIF(C$3:C783,C783))</f>
        <v/>
      </c>
      <c r="O783" s="1" t="str">
        <f aca="false">IF(OR(C783="",M783=""),"",C783&amp;"|"&amp;COUNTIFS(C$3:C783,C783,M$3:M783,"&lt;&gt;"))</f>
        <v/>
      </c>
    </row>
    <row r="784" customFormat="false" ht="15" hidden="false" customHeight="false" outlineLevel="0" collapsed="false">
      <c r="B784" s="7"/>
      <c r="C784" s="5"/>
      <c r="D784" s="9" t="str">
        <f aca="false">IF(C784="","",IFERROR(VLOOKUP(C784,EQUIPOS!$B$3:$C$18,2,0),"NO EXISTE"))</f>
        <v/>
      </c>
      <c r="E784" s="9" t="str">
        <f aca="false">IF(C784="","",IFERROR(VLOOKUP(C784,EQUIPOS!$B$3:$F$18,5,0),""))</f>
        <v/>
      </c>
      <c r="F784" s="5" t="str">
        <f aca="false">IF(C784="","",IFERROR(VLOOKUP(C784,EQUIPOS!$B$3:$G$18,6,0),""))</f>
        <v/>
      </c>
      <c r="G784" s="8"/>
      <c r="H784" s="5"/>
      <c r="I784" s="5"/>
      <c r="J784" s="9"/>
      <c r="K784" s="17" t="str">
        <f aca="false">IF(H784="","",IFERROR(SUMIFS(BD_PLAN!$I$3:$I$312,BD_PLAN!$B$3:$B$312,E784,BD_PLAN!$C$3:$C$312,INDEX(BD_CICLO!$F$3:$F$54,MATCH(E784&amp;"|"&amp;H784,BD_CICLO!$G$3:$G$54,0))),""))</f>
        <v/>
      </c>
      <c r="L784" s="9"/>
      <c r="M784" s="9"/>
      <c r="N784" s="1" t="str">
        <f aca="false">IF(C784="","",C784&amp;"|"&amp;COUNTIF(C$3:C784,C784))</f>
        <v/>
      </c>
      <c r="O784" s="1" t="str">
        <f aca="false">IF(OR(C784="",M784=""),"",C784&amp;"|"&amp;COUNTIFS(C$3:C784,C784,M$3:M784,"&lt;&gt;"))</f>
        <v/>
      </c>
    </row>
    <row r="785" customFormat="false" ht="15" hidden="false" customHeight="false" outlineLevel="0" collapsed="false">
      <c r="B785" s="7"/>
      <c r="C785" s="5"/>
      <c r="D785" s="9" t="str">
        <f aca="false">IF(C785="","",IFERROR(VLOOKUP(C785,EQUIPOS!$B$3:$C$18,2,0),"NO EXISTE"))</f>
        <v/>
      </c>
      <c r="E785" s="9" t="str">
        <f aca="false">IF(C785="","",IFERROR(VLOOKUP(C785,EQUIPOS!$B$3:$F$18,5,0),""))</f>
        <v/>
      </c>
      <c r="F785" s="5" t="str">
        <f aca="false">IF(C785="","",IFERROR(VLOOKUP(C785,EQUIPOS!$B$3:$G$18,6,0),""))</f>
        <v/>
      </c>
      <c r="G785" s="8"/>
      <c r="H785" s="5"/>
      <c r="I785" s="5"/>
      <c r="J785" s="9"/>
      <c r="K785" s="17" t="str">
        <f aca="false">IF(H785="","",IFERROR(SUMIFS(BD_PLAN!$I$3:$I$312,BD_PLAN!$B$3:$B$312,E785,BD_PLAN!$C$3:$C$312,INDEX(BD_CICLO!$F$3:$F$54,MATCH(E785&amp;"|"&amp;H785,BD_CICLO!$G$3:$G$54,0))),""))</f>
        <v/>
      </c>
      <c r="L785" s="9"/>
      <c r="M785" s="9"/>
      <c r="N785" s="1" t="str">
        <f aca="false">IF(C785="","",C785&amp;"|"&amp;COUNTIF(C$3:C785,C785))</f>
        <v/>
      </c>
      <c r="O785" s="1" t="str">
        <f aca="false">IF(OR(C785="",M785=""),"",C785&amp;"|"&amp;COUNTIFS(C$3:C785,C785,M$3:M785,"&lt;&gt;"))</f>
        <v/>
      </c>
    </row>
    <row r="786" customFormat="false" ht="15" hidden="false" customHeight="false" outlineLevel="0" collapsed="false">
      <c r="B786" s="7"/>
      <c r="C786" s="5"/>
      <c r="D786" s="9" t="str">
        <f aca="false">IF(C786="","",IFERROR(VLOOKUP(C786,EQUIPOS!$B$3:$C$18,2,0),"NO EXISTE"))</f>
        <v/>
      </c>
      <c r="E786" s="9" t="str">
        <f aca="false">IF(C786="","",IFERROR(VLOOKUP(C786,EQUIPOS!$B$3:$F$18,5,0),""))</f>
        <v/>
      </c>
      <c r="F786" s="5" t="str">
        <f aca="false">IF(C786="","",IFERROR(VLOOKUP(C786,EQUIPOS!$B$3:$G$18,6,0),""))</f>
        <v/>
      </c>
      <c r="G786" s="8"/>
      <c r="H786" s="5"/>
      <c r="I786" s="5"/>
      <c r="J786" s="9"/>
      <c r="K786" s="17" t="str">
        <f aca="false">IF(H786="","",IFERROR(SUMIFS(BD_PLAN!$I$3:$I$312,BD_PLAN!$B$3:$B$312,E786,BD_PLAN!$C$3:$C$312,INDEX(BD_CICLO!$F$3:$F$54,MATCH(E786&amp;"|"&amp;H786,BD_CICLO!$G$3:$G$54,0))),""))</f>
        <v/>
      </c>
      <c r="L786" s="9"/>
      <c r="M786" s="9"/>
      <c r="N786" s="1" t="str">
        <f aca="false">IF(C786="","",C786&amp;"|"&amp;COUNTIF(C$3:C786,C786))</f>
        <v/>
      </c>
      <c r="O786" s="1" t="str">
        <f aca="false">IF(OR(C786="",M786=""),"",C786&amp;"|"&amp;COUNTIFS(C$3:C786,C786,M$3:M786,"&lt;&gt;"))</f>
        <v/>
      </c>
    </row>
    <row r="787" customFormat="false" ht="15" hidden="false" customHeight="false" outlineLevel="0" collapsed="false">
      <c r="B787" s="7"/>
      <c r="C787" s="5"/>
      <c r="D787" s="9" t="str">
        <f aca="false">IF(C787="","",IFERROR(VLOOKUP(C787,EQUIPOS!$B$3:$C$18,2,0),"NO EXISTE"))</f>
        <v/>
      </c>
      <c r="E787" s="9" t="str">
        <f aca="false">IF(C787="","",IFERROR(VLOOKUP(C787,EQUIPOS!$B$3:$F$18,5,0),""))</f>
        <v/>
      </c>
      <c r="F787" s="5" t="str">
        <f aca="false">IF(C787="","",IFERROR(VLOOKUP(C787,EQUIPOS!$B$3:$G$18,6,0),""))</f>
        <v/>
      </c>
      <c r="G787" s="8"/>
      <c r="H787" s="5"/>
      <c r="I787" s="5"/>
      <c r="J787" s="9"/>
      <c r="K787" s="17" t="str">
        <f aca="false">IF(H787="","",IFERROR(SUMIFS(BD_PLAN!$I$3:$I$312,BD_PLAN!$B$3:$B$312,E787,BD_PLAN!$C$3:$C$312,INDEX(BD_CICLO!$F$3:$F$54,MATCH(E787&amp;"|"&amp;H787,BD_CICLO!$G$3:$G$54,0))),""))</f>
        <v/>
      </c>
      <c r="L787" s="9"/>
      <c r="M787" s="9"/>
      <c r="N787" s="1" t="str">
        <f aca="false">IF(C787="","",C787&amp;"|"&amp;COUNTIF(C$3:C787,C787))</f>
        <v/>
      </c>
      <c r="O787" s="1" t="str">
        <f aca="false">IF(OR(C787="",M787=""),"",C787&amp;"|"&amp;COUNTIFS(C$3:C787,C787,M$3:M787,"&lt;&gt;"))</f>
        <v/>
      </c>
    </row>
    <row r="788" customFormat="false" ht="15" hidden="false" customHeight="false" outlineLevel="0" collapsed="false">
      <c r="B788" s="7"/>
      <c r="C788" s="5"/>
      <c r="D788" s="9" t="str">
        <f aca="false">IF(C788="","",IFERROR(VLOOKUP(C788,EQUIPOS!$B$3:$C$18,2,0),"NO EXISTE"))</f>
        <v/>
      </c>
      <c r="E788" s="9" t="str">
        <f aca="false">IF(C788="","",IFERROR(VLOOKUP(C788,EQUIPOS!$B$3:$F$18,5,0),""))</f>
        <v/>
      </c>
      <c r="F788" s="5" t="str">
        <f aca="false">IF(C788="","",IFERROR(VLOOKUP(C788,EQUIPOS!$B$3:$G$18,6,0),""))</f>
        <v/>
      </c>
      <c r="G788" s="8"/>
      <c r="H788" s="5"/>
      <c r="I788" s="5"/>
      <c r="J788" s="9"/>
      <c r="K788" s="17" t="str">
        <f aca="false">IF(H788="","",IFERROR(SUMIFS(BD_PLAN!$I$3:$I$312,BD_PLAN!$B$3:$B$312,E788,BD_PLAN!$C$3:$C$312,INDEX(BD_CICLO!$F$3:$F$54,MATCH(E788&amp;"|"&amp;H788,BD_CICLO!$G$3:$G$54,0))),""))</f>
        <v/>
      </c>
      <c r="L788" s="9"/>
      <c r="M788" s="9"/>
      <c r="N788" s="1" t="str">
        <f aca="false">IF(C788="","",C788&amp;"|"&amp;COUNTIF(C$3:C788,C788))</f>
        <v/>
      </c>
      <c r="O788" s="1" t="str">
        <f aca="false">IF(OR(C788="",M788=""),"",C788&amp;"|"&amp;COUNTIFS(C$3:C788,C788,M$3:M788,"&lt;&gt;"))</f>
        <v/>
      </c>
    </row>
    <row r="789" customFormat="false" ht="15" hidden="false" customHeight="false" outlineLevel="0" collapsed="false">
      <c r="B789" s="7"/>
      <c r="C789" s="5"/>
      <c r="D789" s="9" t="str">
        <f aca="false">IF(C789="","",IFERROR(VLOOKUP(C789,EQUIPOS!$B$3:$C$18,2,0),"NO EXISTE"))</f>
        <v/>
      </c>
      <c r="E789" s="9" t="str">
        <f aca="false">IF(C789="","",IFERROR(VLOOKUP(C789,EQUIPOS!$B$3:$F$18,5,0),""))</f>
        <v/>
      </c>
      <c r="F789" s="5" t="str">
        <f aca="false">IF(C789="","",IFERROR(VLOOKUP(C789,EQUIPOS!$B$3:$G$18,6,0),""))</f>
        <v/>
      </c>
      <c r="G789" s="8"/>
      <c r="H789" s="5"/>
      <c r="I789" s="5"/>
      <c r="J789" s="9"/>
      <c r="K789" s="17" t="str">
        <f aca="false">IF(H789="","",IFERROR(SUMIFS(BD_PLAN!$I$3:$I$312,BD_PLAN!$B$3:$B$312,E789,BD_PLAN!$C$3:$C$312,INDEX(BD_CICLO!$F$3:$F$54,MATCH(E789&amp;"|"&amp;H789,BD_CICLO!$G$3:$G$54,0))),""))</f>
        <v/>
      </c>
      <c r="L789" s="9"/>
      <c r="M789" s="9"/>
      <c r="N789" s="1" t="str">
        <f aca="false">IF(C789="","",C789&amp;"|"&amp;COUNTIF(C$3:C789,C789))</f>
        <v/>
      </c>
      <c r="O789" s="1" t="str">
        <f aca="false">IF(OR(C789="",M789=""),"",C789&amp;"|"&amp;COUNTIFS(C$3:C789,C789,M$3:M789,"&lt;&gt;"))</f>
        <v/>
      </c>
    </row>
    <row r="790" customFormat="false" ht="15" hidden="false" customHeight="false" outlineLevel="0" collapsed="false">
      <c r="B790" s="7"/>
      <c r="C790" s="5"/>
      <c r="D790" s="9" t="str">
        <f aca="false">IF(C790="","",IFERROR(VLOOKUP(C790,EQUIPOS!$B$3:$C$18,2,0),"NO EXISTE"))</f>
        <v/>
      </c>
      <c r="E790" s="9" t="str">
        <f aca="false">IF(C790="","",IFERROR(VLOOKUP(C790,EQUIPOS!$B$3:$F$18,5,0),""))</f>
        <v/>
      </c>
      <c r="F790" s="5" t="str">
        <f aca="false">IF(C790="","",IFERROR(VLOOKUP(C790,EQUIPOS!$B$3:$G$18,6,0),""))</f>
        <v/>
      </c>
      <c r="G790" s="8"/>
      <c r="H790" s="5"/>
      <c r="I790" s="5"/>
      <c r="J790" s="9"/>
      <c r="K790" s="17" t="str">
        <f aca="false">IF(H790="","",IFERROR(SUMIFS(BD_PLAN!$I$3:$I$312,BD_PLAN!$B$3:$B$312,E790,BD_PLAN!$C$3:$C$312,INDEX(BD_CICLO!$F$3:$F$54,MATCH(E790&amp;"|"&amp;H790,BD_CICLO!$G$3:$G$54,0))),""))</f>
        <v/>
      </c>
      <c r="L790" s="9"/>
      <c r="M790" s="9"/>
      <c r="N790" s="1" t="str">
        <f aca="false">IF(C790="","",C790&amp;"|"&amp;COUNTIF(C$3:C790,C790))</f>
        <v/>
      </c>
      <c r="O790" s="1" t="str">
        <f aca="false">IF(OR(C790="",M790=""),"",C790&amp;"|"&amp;COUNTIFS(C$3:C790,C790,M$3:M790,"&lt;&gt;"))</f>
        <v/>
      </c>
    </row>
    <row r="791" customFormat="false" ht="15" hidden="false" customHeight="false" outlineLevel="0" collapsed="false">
      <c r="B791" s="7"/>
      <c r="C791" s="5"/>
      <c r="D791" s="9" t="str">
        <f aca="false">IF(C791="","",IFERROR(VLOOKUP(C791,EQUIPOS!$B$3:$C$18,2,0),"NO EXISTE"))</f>
        <v/>
      </c>
      <c r="E791" s="9" t="str">
        <f aca="false">IF(C791="","",IFERROR(VLOOKUP(C791,EQUIPOS!$B$3:$F$18,5,0),""))</f>
        <v/>
      </c>
      <c r="F791" s="5" t="str">
        <f aca="false">IF(C791="","",IFERROR(VLOOKUP(C791,EQUIPOS!$B$3:$G$18,6,0),""))</f>
        <v/>
      </c>
      <c r="G791" s="8"/>
      <c r="H791" s="5"/>
      <c r="I791" s="5"/>
      <c r="J791" s="9"/>
      <c r="K791" s="17" t="str">
        <f aca="false">IF(H791="","",IFERROR(SUMIFS(BD_PLAN!$I$3:$I$312,BD_PLAN!$B$3:$B$312,E791,BD_PLAN!$C$3:$C$312,INDEX(BD_CICLO!$F$3:$F$54,MATCH(E791&amp;"|"&amp;H791,BD_CICLO!$G$3:$G$54,0))),""))</f>
        <v/>
      </c>
      <c r="L791" s="9"/>
      <c r="M791" s="9"/>
      <c r="N791" s="1" t="str">
        <f aca="false">IF(C791="","",C791&amp;"|"&amp;COUNTIF(C$3:C791,C791))</f>
        <v/>
      </c>
      <c r="O791" s="1" t="str">
        <f aca="false">IF(OR(C791="",M791=""),"",C791&amp;"|"&amp;COUNTIFS(C$3:C791,C791,M$3:M791,"&lt;&gt;"))</f>
        <v/>
      </c>
    </row>
    <row r="792" customFormat="false" ht="15" hidden="false" customHeight="false" outlineLevel="0" collapsed="false">
      <c r="B792" s="7"/>
      <c r="C792" s="5"/>
      <c r="D792" s="9" t="str">
        <f aca="false">IF(C792="","",IFERROR(VLOOKUP(C792,EQUIPOS!$B$3:$C$18,2,0),"NO EXISTE"))</f>
        <v/>
      </c>
      <c r="E792" s="9" t="str">
        <f aca="false">IF(C792="","",IFERROR(VLOOKUP(C792,EQUIPOS!$B$3:$F$18,5,0),""))</f>
        <v/>
      </c>
      <c r="F792" s="5" t="str">
        <f aca="false">IF(C792="","",IFERROR(VLOOKUP(C792,EQUIPOS!$B$3:$G$18,6,0),""))</f>
        <v/>
      </c>
      <c r="G792" s="8"/>
      <c r="H792" s="5"/>
      <c r="I792" s="5"/>
      <c r="J792" s="9"/>
      <c r="K792" s="17" t="str">
        <f aca="false">IF(H792="","",IFERROR(SUMIFS(BD_PLAN!$I$3:$I$312,BD_PLAN!$B$3:$B$312,E792,BD_PLAN!$C$3:$C$312,INDEX(BD_CICLO!$F$3:$F$54,MATCH(E792&amp;"|"&amp;H792,BD_CICLO!$G$3:$G$54,0))),""))</f>
        <v/>
      </c>
      <c r="L792" s="9"/>
      <c r="M792" s="9"/>
      <c r="N792" s="1" t="str">
        <f aca="false">IF(C792="","",C792&amp;"|"&amp;COUNTIF(C$3:C792,C792))</f>
        <v/>
      </c>
      <c r="O792" s="1" t="str">
        <f aca="false">IF(OR(C792="",M792=""),"",C792&amp;"|"&amp;COUNTIFS(C$3:C792,C792,M$3:M792,"&lt;&gt;"))</f>
        <v/>
      </c>
    </row>
    <row r="793" customFormat="false" ht="15" hidden="false" customHeight="false" outlineLevel="0" collapsed="false">
      <c r="B793" s="7"/>
      <c r="C793" s="5"/>
      <c r="D793" s="9" t="str">
        <f aca="false">IF(C793="","",IFERROR(VLOOKUP(C793,EQUIPOS!$B$3:$C$18,2,0),"NO EXISTE"))</f>
        <v/>
      </c>
      <c r="E793" s="9" t="str">
        <f aca="false">IF(C793="","",IFERROR(VLOOKUP(C793,EQUIPOS!$B$3:$F$18,5,0),""))</f>
        <v/>
      </c>
      <c r="F793" s="5" t="str">
        <f aca="false">IF(C793="","",IFERROR(VLOOKUP(C793,EQUIPOS!$B$3:$G$18,6,0),""))</f>
        <v/>
      </c>
      <c r="G793" s="8"/>
      <c r="H793" s="5"/>
      <c r="I793" s="5"/>
      <c r="J793" s="9"/>
      <c r="K793" s="17" t="str">
        <f aca="false">IF(H793="","",IFERROR(SUMIFS(BD_PLAN!$I$3:$I$312,BD_PLAN!$B$3:$B$312,E793,BD_PLAN!$C$3:$C$312,INDEX(BD_CICLO!$F$3:$F$54,MATCH(E793&amp;"|"&amp;H793,BD_CICLO!$G$3:$G$54,0))),""))</f>
        <v/>
      </c>
      <c r="L793" s="9"/>
      <c r="M793" s="9"/>
      <c r="N793" s="1" t="str">
        <f aca="false">IF(C793="","",C793&amp;"|"&amp;COUNTIF(C$3:C793,C793))</f>
        <v/>
      </c>
      <c r="O793" s="1" t="str">
        <f aca="false">IF(OR(C793="",M793=""),"",C793&amp;"|"&amp;COUNTIFS(C$3:C793,C793,M$3:M793,"&lt;&gt;"))</f>
        <v/>
      </c>
    </row>
    <row r="794" customFormat="false" ht="15" hidden="false" customHeight="false" outlineLevel="0" collapsed="false">
      <c r="B794" s="7"/>
      <c r="C794" s="5"/>
      <c r="D794" s="9" t="str">
        <f aca="false">IF(C794="","",IFERROR(VLOOKUP(C794,EQUIPOS!$B$3:$C$18,2,0),"NO EXISTE"))</f>
        <v/>
      </c>
      <c r="E794" s="9" t="str">
        <f aca="false">IF(C794="","",IFERROR(VLOOKUP(C794,EQUIPOS!$B$3:$F$18,5,0),""))</f>
        <v/>
      </c>
      <c r="F794" s="5" t="str">
        <f aca="false">IF(C794="","",IFERROR(VLOOKUP(C794,EQUIPOS!$B$3:$G$18,6,0),""))</f>
        <v/>
      </c>
      <c r="G794" s="8"/>
      <c r="H794" s="5"/>
      <c r="I794" s="5"/>
      <c r="J794" s="9"/>
      <c r="K794" s="17" t="str">
        <f aca="false">IF(H794="","",IFERROR(SUMIFS(BD_PLAN!$I$3:$I$312,BD_PLAN!$B$3:$B$312,E794,BD_PLAN!$C$3:$C$312,INDEX(BD_CICLO!$F$3:$F$54,MATCH(E794&amp;"|"&amp;H794,BD_CICLO!$G$3:$G$54,0))),""))</f>
        <v/>
      </c>
      <c r="L794" s="9"/>
      <c r="M794" s="9"/>
      <c r="N794" s="1" t="str">
        <f aca="false">IF(C794="","",C794&amp;"|"&amp;COUNTIF(C$3:C794,C794))</f>
        <v/>
      </c>
      <c r="O794" s="1" t="str">
        <f aca="false">IF(OR(C794="",M794=""),"",C794&amp;"|"&amp;COUNTIFS(C$3:C794,C794,M$3:M794,"&lt;&gt;"))</f>
        <v/>
      </c>
    </row>
    <row r="795" customFormat="false" ht="15" hidden="false" customHeight="false" outlineLevel="0" collapsed="false">
      <c r="B795" s="7"/>
      <c r="C795" s="5"/>
      <c r="D795" s="9" t="str">
        <f aca="false">IF(C795="","",IFERROR(VLOOKUP(C795,EQUIPOS!$B$3:$C$18,2,0),"NO EXISTE"))</f>
        <v/>
      </c>
      <c r="E795" s="9" t="str">
        <f aca="false">IF(C795="","",IFERROR(VLOOKUP(C795,EQUIPOS!$B$3:$F$18,5,0),""))</f>
        <v/>
      </c>
      <c r="F795" s="5" t="str">
        <f aca="false">IF(C795="","",IFERROR(VLOOKUP(C795,EQUIPOS!$B$3:$G$18,6,0),""))</f>
        <v/>
      </c>
      <c r="G795" s="8"/>
      <c r="H795" s="5"/>
      <c r="I795" s="5"/>
      <c r="J795" s="9"/>
      <c r="K795" s="17" t="str">
        <f aca="false">IF(H795="","",IFERROR(SUMIFS(BD_PLAN!$I$3:$I$312,BD_PLAN!$B$3:$B$312,E795,BD_PLAN!$C$3:$C$312,INDEX(BD_CICLO!$F$3:$F$54,MATCH(E795&amp;"|"&amp;H795,BD_CICLO!$G$3:$G$54,0))),""))</f>
        <v/>
      </c>
      <c r="L795" s="9"/>
      <c r="M795" s="9"/>
      <c r="N795" s="1" t="str">
        <f aca="false">IF(C795="","",C795&amp;"|"&amp;COUNTIF(C$3:C795,C795))</f>
        <v/>
      </c>
      <c r="O795" s="1" t="str">
        <f aca="false">IF(OR(C795="",M795=""),"",C795&amp;"|"&amp;COUNTIFS(C$3:C795,C795,M$3:M795,"&lt;&gt;"))</f>
        <v/>
      </c>
    </row>
    <row r="796" customFormat="false" ht="15" hidden="false" customHeight="false" outlineLevel="0" collapsed="false">
      <c r="B796" s="7"/>
      <c r="C796" s="5"/>
      <c r="D796" s="9" t="str">
        <f aca="false">IF(C796="","",IFERROR(VLOOKUP(C796,EQUIPOS!$B$3:$C$18,2,0),"NO EXISTE"))</f>
        <v/>
      </c>
      <c r="E796" s="9" t="str">
        <f aca="false">IF(C796="","",IFERROR(VLOOKUP(C796,EQUIPOS!$B$3:$F$18,5,0),""))</f>
        <v/>
      </c>
      <c r="F796" s="5" t="str">
        <f aca="false">IF(C796="","",IFERROR(VLOOKUP(C796,EQUIPOS!$B$3:$G$18,6,0),""))</f>
        <v/>
      </c>
      <c r="G796" s="8"/>
      <c r="H796" s="5"/>
      <c r="I796" s="5"/>
      <c r="J796" s="9"/>
      <c r="K796" s="17" t="str">
        <f aca="false">IF(H796="","",IFERROR(SUMIFS(BD_PLAN!$I$3:$I$312,BD_PLAN!$B$3:$B$312,E796,BD_PLAN!$C$3:$C$312,INDEX(BD_CICLO!$F$3:$F$54,MATCH(E796&amp;"|"&amp;H796,BD_CICLO!$G$3:$G$54,0))),""))</f>
        <v/>
      </c>
      <c r="L796" s="9"/>
      <c r="M796" s="9"/>
      <c r="N796" s="1" t="str">
        <f aca="false">IF(C796="","",C796&amp;"|"&amp;COUNTIF(C$3:C796,C796))</f>
        <v/>
      </c>
      <c r="O796" s="1" t="str">
        <f aca="false">IF(OR(C796="",M796=""),"",C796&amp;"|"&amp;COUNTIFS(C$3:C796,C796,M$3:M796,"&lt;&gt;"))</f>
        <v/>
      </c>
    </row>
    <row r="797" customFormat="false" ht="15" hidden="false" customHeight="false" outlineLevel="0" collapsed="false">
      <c r="B797" s="7"/>
      <c r="C797" s="5"/>
      <c r="D797" s="9" t="str">
        <f aca="false">IF(C797="","",IFERROR(VLOOKUP(C797,EQUIPOS!$B$3:$C$18,2,0),"NO EXISTE"))</f>
        <v/>
      </c>
      <c r="E797" s="9" t="str">
        <f aca="false">IF(C797="","",IFERROR(VLOOKUP(C797,EQUIPOS!$B$3:$F$18,5,0),""))</f>
        <v/>
      </c>
      <c r="F797" s="5" t="str">
        <f aca="false">IF(C797="","",IFERROR(VLOOKUP(C797,EQUIPOS!$B$3:$G$18,6,0),""))</f>
        <v/>
      </c>
      <c r="G797" s="8"/>
      <c r="H797" s="5"/>
      <c r="I797" s="5"/>
      <c r="J797" s="9"/>
      <c r="K797" s="17" t="str">
        <f aca="false">IF(H797="","",IFERROR(SUMIFS(BD_PLAN!$I$3:$I$312,BD_PLAN!$B$3:$B$312,E797,BD_PLAN!$C$3:$C$312,INDEX(BD_CICLO!$F$3:$F$54,MATCH(E797&amp;"|"&amp;H797,BD_CICLO!$G$3:$G$54,0))),""))</f>
        <v/>
      </c>
      <c r="L797" s="9"/>
      <c r="M797" s="9"/>
      <c r="N797" s="1" t="str">
        <f aca="false">IF(C797="","",C797&amp;"|"&amp;COUNTIF(C$3:C797,C797))</f>
        <v/>
      </c>
      <c r="O797" s="1" t="str">
        <f aca="false">IF(OR(C797="",M797=""),"",C797&amp;"|"&amp;COUNTIFS(C$3:C797,C797,M$3:M797,"&lt;&gt;"))</f>
        <v/>
      </c>
    </row>
    <row r="798" customFormat="false" ht="15" hidden="false" customHeight="false" outlineLevel="0" collapsed="false">
      <c r="B798" s="7"/>
      <c r="C798" s="5"/>
      <c r="D798" s="9" t="str">
        <f aca="false">IF(C798="","",IFERROR(VLOOKUP(C798,EQUIPOS!$B$3:$C$18,2,0),"NO EXISTE"))</f>
        <v/>
      </c>
      <c r="E798" s="9" t="str">
        <f aca="false">IF(C798="","",IFERROR(VLOOKUP(C798,EQUIPOS!$B$3:$F$18,5,0),""))</f>
        <v/>
      </c>
      <c r="F798" s="5" t="str">
        <f aca="false">IF(C798="","",IFERROR(VLOOKUP(C798,EQUIPOS!$B$3:$G$18,6,0),""))</f>
        <v/>
      </c>
      <c r="G798" s="8"/>
      <c r="H798" s="5"/>
      <c r="I798" s="5"/>
      <c r="J798" s="9"/>
      <c r="K798" s="17" t="str">
        <f aca="false">IF(H798="","",IFERROR(SUMIFS(BD_PLAN!$I$3:$I$312,BD_PLAN!$B$3:$B$312,E798,BD_PLAN!$C$3:$C$312,INDEX(BD_CICLO!$F$3:$F$54,MATCH(E798&amp;"|"&amp;H798,BD_CICLO!$G$3:$G$54,0))),""))</f>
        <v/>
      </c>
      <c r="L798" s="9"/>
      <c r="M798" s="9"/>
      <c r="N798" s="1" t="str">
        <f aca="false">IF(C798="","",C798&amp;"|"&amp;COUNTIF(C$3:C798,C798))</f>
        <v/>
      </c>
      <c r="O798" s="1" t="str">
        <f aca="false">IF(OR(C798="",M798=""),"",C798&amp;"|"&amp;COUNTIFS(C$3:C798,C798,M$3:M798,"&lt;&gt;"))</f>
        <v/>
      </c>
    </row>
    <row r="799" customFormat="false" ht="15" hidden="false" customHeight="false" outlineLevel="0" collapsed="false">
      <c r="B799" s="7"/>
      <c r="C799" s="5"/>
      <c r="D799" s="9" t="str">
        <f aca="false">IF(C799="","",IFERROR(VLOOKUP(C799,EQUIPOS!$B$3:$C$18,2,0),"NO EXISTE"))</f>
        <v/>
      </c>
      <c r="E799" s="9" t="str">
        <f aca="false">IF(C799="","",IFERROR(VLOOKUP(C799,EQUIPOS!$B$3:$F$18,5,0),""))</f>
        <v/>
      </c>
      <c r="F799" s="5" t="str">
        <f aca="false">IF(C799="","",IFERROR(VLOOKUP(C799,EQUIPOS!$B$3:$G$18,6,0),""))</f>
        <v/>
      </c>
      <c r="G799" s="8"/>
      <c r="H799" s="5"/>
      <c r="I799" s="5"/>
      <c r="J799" s="9"/>
      <c r="K799" s="17" t="str">
        <f aca="false">IF(H799="","",IFERROR(SUMIFS(BD_PLAN!$I$3:$I$312,BD_PLAN!$B$3:$B$312,E799,BD_PLAN!$C$3:$C$312,INDEX(BD_CICLO!$F$3:$F$54,MATCH(E799&amp;"|"&amp;H799,BD_CICLO!$G$3:$G$54,0))),""))</f>
        <v/>
      </c>
      <c r="L799" s="9"/>
      <c r="M799" s="9"/>
      <c r="N799" s="1" t="str">
        <f aca="false">IF(C799="","",C799&amp;"|"&amp;COUNTIF(C$3:C799,C799))</f>
        <v/>
      </c>
      <c r="O799" s="1" t="str">
        <f aca="false">IF(OR(C799="",M799=""),"",C799&amp;"|"&amp;COUNTIFS(C$3:C799,C799,M$3:M799,"&lt;&gt;"))</f>
        <v/>
      </c>
    </row>
    <row r="800" customFormat="false" ht="15" hidden="false" customHeight="false" outlineLevel="0" collapsed="false">
      <c r="B800" s="7"/>
      <c r="C800" s="5"/>
      <c r="D800" s="9" t="str">
        <f aca="false">IF(C800="","",IFERROR(VLOOKUP(C800,EQUIPOS!$B$3:$C$18,2,0),"NO EXISTE"))</f>
        <v/>
      </c>
      <c r="E800" s="9" t="str">
        <f aca="false">IF(C800="","",IFERROR(VLOOKUP(C800,EQUIPOS!$B$3:$F$18,5,0),""))</f>
        <v/>
      </c>
      <c r="F800" s="5" t="str">
        <f aca="false">IF(C800="","",IFERROR(VLOOKUP(C800,EQUIPOS!$B$3:$G$18,6,0),""))</f>
        <v/>
      </c>
      <c r="G800" s="8"/>
      <c r="H800" s="5"/>
      <c r="I800" s="5"/>
      <c r="J800" s="9"/>
      <c r="K800" s="17" t="str">
        <f aca="false">IF(H800="","",IFERROR(SUMIFS(BD_PLAN!$I$3:$I$312,BD_PLAN!$B$3:$B$312,E800,BD_PLAN!$C$3:$C$312,INDEX(BD_CICLO!$F$3:$F$54,MATCH(E800&amp;"|"&amp;H800,BD_CICLO!$G$3:$G$54,0))),""))</f>
        <v/>
      </c>
      <c r="L800" s="9"/>
      <c r="M800" s="9"/>
      <c r="N800" s="1" t="str">
        <f aca="false">IF(C800="","",C800&amp;"|"&amp;COUNTIF(C$3:C800,C800))</f>
        <v/>
      </c>
      <c r="O800" s="1" t="str">
        <f aca="false">IF(OR(C800="",M800=""),"",C800&amp;"|"&amp;COUNTIFS(C$3:C800,C800,M$3:M800,"&lt;&gt;"))</f>
        <v/>
      </c>
    </row>
    <row r="801" customFormat="false" ht="15" hidden="false" customHeight="false" outlineLevel="0" collapsed="false">
      <c r="B801" s="7"/>
      <c r="C801" s="5"/>
      <c r="D801" s="9" t="str">
        <f aca="false">IF(C801="","",IFERROR(VLOOKUP(C801,EQUIPOS!$B$3:$C$18,2,0),"NO EXISTE"))</f>
        <v/>
      </c>
      <c r="E801" s="9" t="str">
        <f aca="false">IF(C801="","",IFERROR(VLOOKUP(C801,EQUIPOS!$B$3:$F$18,5,0),""))</f>
        <v/>
      </c>
      <c r="F801" s="5" t="str">
        <f aca="false">IF(C801="","",IFERROR(VLOOKUP(C801,EQUIPOS!$B$3:$G$18,6,0),""))</f>
        <v/>
      </c>
      <c r="G801" s="8"/>
      <c r="H801" s="5"/>
      <c r="I801" s="5"/>
      <c r="J801" s="9"/>
      <c r="K801" s="17" t="str">
        <f aca="false">IF(H801="","",IFERROR(SUMIFS(BD_PLAN!$I$3:$I$312,BD_PLAN!$B$3:$B$312,E801,BD_PLAN!$C$3:$C$312,INDEX(BD_CICLO!$F$3:$F$54,MATCH(E801&amp;"|"&amp;H801,BD_CICLO!$G$3:$G$54,0))),""))</f>
        <v/>
      </c>
      <c r="L801" s="9"/>
      <c r="M801" s="9"/>
      <c r="N801" s="1" t="str">
        <f aca="false">IF(C801="","",C801&amp;"|"&amp;COUNTIF(C$3:C801,C801))</f>
        <v/>
      </c>
      <c r="O801" s="1" t="str">
        <f aca="false">IF(OR(C801="",M801=""),"",C801&amp;"|"&amp;COUNTIFS(C$3:C801,C801,M$3:M801,"&lt;&gt;"))</f>
        <v/>
      </c>
    </row>
    <row r="802" customFormat="false" ht="15" hidden="false" customHeight="false" outlineLevel="0" collapsed="false">
      <c r="B802" s="7"/>
      <c r="C802" s="5"/>
      <c r="D802" s="9" t="str">
        <f aca="false">IF(C802="","",IFERROR(VLOOKUP(C802,EQUIPOS!$B$3:$C$18,2,0),"NO EXISTE"))</f>
        <v/>
      </c>
      <c r="E802" s="9" t="str">
        <f aca="false">IF(C802="","",IFERROR(VLOOKUP(C802,EQUIPOS!$B$3:$F$18,5,0),""))</f>
        <v/>
      </c>
      <c r="F802" s="5" t="str">
        <f aca="false">IF(C802="","",IFERROR(VLOOKUP(C802,EQUIPOS!$B$3:$G$18,6,0),""))</f>
        <v/>
      </c>
      <c r="G802" s="8"/>
      <c r="H802" s="5"/>
      <c r="I802" s="5"/>
      <c r="J802" s="9"/>
      <c r="K802" s="17" t="str">
        <f aca="false">IF(H802="","",IFERROR(SUMIFS(BD_PLAN!$I$3:$I$312,BD_PLAN!$B$3:$B$312,E802,BD_PLAN!$C$3:$C$312,INDEX(BD_CICLO!$F$3:$F$54,MATCH(E802&amp;"|"&amp;H802,BD_CICLO!$G$3:$G$54,0))),""))</f>
        <v/>
      </c>
      <c r="L802" s="9"/>
      <c r="M802" s="9"/>
      <c r="N802" s="1" t="str">
        <f aca="false">IF(C802="","",C802&amp;"|"&amp;COUNTIF(C$3:C802,C802))</f>
        <v/>
      </c>
      <c r="O802" s="1" t="str">
        <f aca="false">IF(OR(C802="",M802=""),"",C802&amp;"|"&amp;COUNTIFS(C$3:C802,C802,M$3:M802,"&lt;&gt;"))</f>
        <v/>
      </c>
    </row>
    <row r="803" customFormat="false" ht="15" hidden="false" customHeight="false" outlineLevel="0" collapsed="false">
      <c r="B803" s="7"/>
      <c r="C803" s="5"/>
      <c r="D803" s="9" t="str">
        <f aca="false">IF(C803="","",IFERROR(VLOOKUP(C803,EQUIPOS!$B$3:$C$18,2,0),"NO EXISTE"))</f>
        <v/>
      </c>
      <c r="E803" s="9" t="str">
        <f aca="false">IF(C803="","",IFERROR(VLOOKUP(C803,EQUIPOS!$B$3:$F$18,5,0),""))</f>
        <v/>
      </c>
      <c r="F803" s="5" t="str">
        <f aca="false">IF(C803="","",IFERROR(VLOOKUP(C803,EQUIPOS!$B$3:$G$18,6,0),""))</f>
        <v/>
      </c>
      <c r="G803" s="8"/>
      <c r="H803" s="5"/>
      <c r="I803" s="5"/>
      <c r="J803" s="9"/>
      <c r="K803" s="17" t="str">
        <f aca="false">IF(H803="","",IFERROR(SUMIFS(BD_PLAN!$I$3:$I$312,BD_PLAN!$B$3:$B$312,E803,BD_PLAN!$C$3:$C$312,INDEX(BD_CICLO!$F$3:$F$54,MATCH(E803&amp;"|"&amp;H803,BD_CICLO!$G$3:$G$54,0))),""))</f>
        <v/>
      </c>
      <c r="L803" s="9"/>
      <c r="M803" s="9"/>
      <c r="N803" s="1" t="str">
        <f aca="false">IF(C803="","",C803&amp;"|"&amp;COUNTIF(C$3:C803,C803))</f>
        <v/>
      </c>
      <c r="O803" s="1" t="str">
        <f aca="false">IF(OR(C803="",M803=""),"",C803&amp;"|"&amp;COUNTIFS(C$3:C803,C803,M$3:M803,"&lt;&gt;"))</f>
        <v/>
      </c>
    </row>
    <row r="804" customFormat="false" ht="15" hidden="false" customHeight="false" outlineLevel="0" collapsed="false">
      <c r="B804" s="7"/>
      <c r="C804" s="5"/>
      <c r="D804" s="9" t="str">
        <f aca="false">IF(C804="","",IFERROR(VLOOKUP(C804,EQUIPOS!$B$3:$C$18,2,0),"NO EXISTE"))</f>
        <v/>
      </c>
      <c r="E804" s="9" t="str">
        <f aca="false">IF(C804="","",IFERROR(VLOOKUP(C804,EQUIPOS!$B$3:$F$18,5,0),""))</f>
        <v/>
      </c>
      <c r="F804" s="5" t="str">
        <f aca="false">IF(C804="","",IFERROR(VLOOKUP(C804,EQUIPOS!$B$3:$G$18,6,0),""))</f>
        <v/>
      </c>
      <c r="G804" s="8"/>
      <c r="H804" s="5"/>
      <c r="I804" s="5"/>
      <c r="J804" s="9"/>
      <c r="K804" s="17" t="str">
        <f aca="false">IF(H804="","",IFERROR(SUMIFS(BD_PLAN!$I$3:$I$312,BD_PLAN!$B$3:$B$312,E804,BD_PLAN!$C$3:$C$312,INDEX(BD_CICLO!$F$3:$F$54,MATCH(E804&amp;"|"&amp;H804,BD_CICLO!$G$3:$G$54,0))),""))</f>
        <v/>
      </c>
      <c r="L804" s="9"/>
      <c r="M804" s="9"/>
      <c r="N804" s="1" t="str">
        <f aca="false">IF(C804="","",C804&amp;"|"&amp;COUNTIF(C$3:C804,C804))</f>
        <v/>
      </c>
      <c r="O804" s="1" t="str">
        <f aca="false">IF(OR(C804="",M804=""),"",C804&amp;"|"&amp;COUNTIFS(C$3:C804,C804,M$3:M804,"&lt;&gt;"))</f>
        <v/>
      </c>
    </row>
    <row r="805" customFormat="false" ht="15" hidden="false" customHeight="false" outlineLevel="0" collapsed="false">
      <c r="B805" s="7"/>
      <c r="C805" s="5"/>
      <c r="D805" s="9" t="str">
        <f aca="false">IF(C805="","",IFERROR(VLOOKUP(C805,EQUIPOS!$B$3:$C$18,2,0),"NO EXISTE"))</f>
        <v/>
      </c>
      <c r="E805" s="9" t="str">
        <f aca="false">IF(C805="","",IFERROR(VLOOKUP(C805,EQUIPOS!$B$3:$F$18,5,0),""))</f>
        <v/>
      </c>
      <c r="F805" s="5" t="str">
        <f aca="false">IF(C805="","",IFERROR(VLOOKUP(C805,EQUIPOS!$B$3:$G$18,6,0),""))</f>
        <v/>
      </c>
      <c r="G805" s="8"/>
      <c r="H805" s="5"/>
      <c r="I805" s="5"/>
      <c r="J805" s="9"/>
      <c r="K805" s="17" t="str">
        <f aca="false">IF(H805="","",IFERROR(SUMIFS(BD_PLAN!$I$3:$I$312,BD_PLAN!$B$3:$B$312,E805,BD_PLAN!$C$3:$C$312,INDEX(BD_CICLO!$F$3:$F$54,MATCH(E805&amp;"|"&amp;H805,BD_CICLO!$G$3:$G$54,0))),""))</f>
        <v/>
      </c>
      <c r="L805" s="9"/>
      <c r="M805" s="9"/>
      <c r="N805" s="1" t="str">
        <f aca="false">IF(C805="","",C805&amp;"|"&amp;COUNTIF(C$3:C805,C805))</f>
        <v/>
      </c>
      <c r="O805" s="1" t="str">
        <f aca="false">IF(OR(C805="",M805=""),"",C805&amp;"|"&amp;COUNTIFS(C$3:C805,C805,M$3:M805,"&lt;&gt;"))</f>
        <v/>
      </c>
    </row>
    <row r="806" customFormat="false" ht="15" hidden="false" customHeight="false" outlineLevel="0" collapsed="false">
      <c r="B806" s="7"/>
      <c r="C806" s="5"/>
      <c r="D806" s="9" t="str">
        <f aca="false">IF(C806="","",IFERROR(VLOOKUP(C806,EQUIPOS!$B$3:$C$18,2,0),"NO EXISTE"))</f>
        <v/>
      </c>
      <c r="E806" s="9" t="str">
        <f aca="false">IF(C806="","",IFERROR(VLOOKUP(C806,EQUIPOS!$B$3:$F$18,5,0),""))</f>
        <v/>
      </c>
      <c r="F806" s="5" t="str">
        <f aca="false">IF(C806="","",IFERROR(VLOOKUP(C806,EQUIPOS!$B$3:$G$18,6,0),""))</f>
        <v/>
      </c>
      <c r="G806" s="8"/>
      <c r="H806" s="5"/>
      <c r="I806" s="5"/>
      <c r="J806" s="9"/>
      <c r="K806" s="17" t="str">
        <f aca="false">IF(H806="","",IFERROR(SUMIFS(BD_PLAN!$I$3:$I$312,BD_PLAN!$B$3:$B$312,E806,BD_PLAN!$C$3:$C$312,INDEX(BD_CICLO!$F$3:$F$54,MATCH(E806&amp;"|"&amp;H806,BD_CICLO!$G$3:$G$54,0))),""))</f>
        <v/>
      </c>
      <c r="L806" s="9"/>
      <c r="M806" s="9"/>
      <c r="N806" s="1" t="str">
        <f aca="false">IF(C806="","",C806&amp;"|"&amp;COUNTIF(C$3:C806,C806))</f>
        <v/>
      </c>
      <c r="O806" s="1" t="str">
        <f aca="false">IF(OR(C806="",M806=""),"",C806&amp;"|"&amp;COUNTIFS(C$3:C806,C806,M$3:M806,"&lt;&gt;"))</f>
        <v/>
      </c>
    </row>
    <row r="807" customFormat="false" ht="15" hidden="false" customHeight="false" outlineLevel="0" collapsed="false">
      <c r="B807" s="7"/>
      <c r="C807" s="5"/>
      <c r="D807" s="9" t="str">
        <f aca="false">IF(C807="","",IFERROR(VLOOKUP(C807,EQUIPOS!$B$3:$C$18,2,0),"NO EXISTE"))</f>
        <v/>
      </c>
      <c r="E807" s="9" t="str">
        <f aca="false">IF(C807="","",IFERROR(VLOOKUP(C807,EQUIPOS!$B$3:$F$18,5,0),""))</f>
        <v/>
      </c>
      <c r="F807" s="5" t="str">
        <f aca="false">IF(C807="","",IFERROR(VLOOKUP(C807,EQUIPOS!$B$3:$G$18,6,0),""))</f>
        <v/>
      </c>
      <c r="G807" s="8"/>
      <c r="H807" s="5"/>
      <c r="I807" s="5"/>
      <c r="J807" s="9"/>
      <c r="K807" s="17" t="str">
        <f aca="false">IF(H807="","",IFERROR(SUMIFS(BD_PLAN!$I$3:$I$312,BD_PLAN!$B$3:$B$312,E807,BD_PLAN!$C$3:$C$312,INDEX(BD_CICLO!$F$3:$F$54,MATCH(E807&amp;"|"&amp;H807,BD_CICLO!$G$3:$G$54,0))),""))</f>
        <v/>
      </c>
      <c r="L807" s="9"/>
      <c r="M807" s="9"/>
      <c r="N807" s="1" t="str">
        <f aca="false">IF(C807="","",C807&amp;"|"&amp;COUNTIF(C$3:C807,C807))</f>
        <v/>
      </c>
      <c r="O807" s="1" t="str">
        <f aca="false">IF(OR(C807="",M807=""),"",C807&amp;"|"&amp;COUNTIFS(C$3:C807,C807,M$3:M807,"&lt;&gt;"))</f>
        <v/>
      </c>
    </row>
    <row r="808" customFormat="false" ht="15" hidden="false" customHeight="false" outlineLevel="0" collapsed="false">
      <c r="B808" s="7"/>
      <c r="C808" s="5"/>
      <c r="D808" s="9" t="str">
        <f aca="false">IF(C808="","",IFERROR(VLOOKUP(C808,EQUIPOS!$B$3:$C$18,2,0),"NO EXISTE"))</f>
        <v/>
      </c>
      <c r="E808" s="9" t="str">
        <f aca="false">IF(C808="","",IFERROR(VLOOKUP(C808,EQUIPOS!$B$3:$F$18,5,0),""))</f>
        <v/>
      </c>
      <c r="F808" s="5" t="str">
        <f aca="false">IF(C808="","",IFERROR(VLOOKUP(C808,EQUIPOS!$B$3:$G$18,6,0),""))</f>
        <v/>
      </c>
      <c r="G808" s="8"/>
      <c r="H808" s="5"/>
      <c r="I808" s="5"/>
      <c r="J808" s="9"/>
      <c r="K808" s="17" t="str">
        <f aca="false">IF(H808="","",IFERROR(SUMIFS(BD_PLAN!$I$3:$I$312,BD_PLAN!$B$3:$B$312,E808,BD_PLAN!$C$3:$C$312,INDEX(BD_CICLO!$F$3:$F$54,MATCH(E808&amp;"|"&amp;H808,BD_CICLO!$G$3:$G$54,0))),""))</f>
        <v/>
      </c>
      <c r="L808" s="9"/>
      <c r="M808" s="9"/>
      <c r="N808" s="1" t="str">
        <f aca="false">IF(C808="","",C808&amp;"|"&amp;COUNTIF(C$3:C808,C808))</f>
        <v/>
      </c>
      <c r="O808" s="1" t="str">
        <f aca="false">IF(OR(C808="",M808=""),"",C808&amp;"|"&amp;COUNTIFS(C$3:C808,C808,M$3:M808,"&lt;&gt;"))</f>
        <v/>
      </c>
    </row>
    <row r="809" customFormat="false" ht="15" hidden="false" customHeight="false" outlineLevel="0" collapsed="false">
      <c r="B809" s="7"/>
      <c r="C809" s="5"/>
      <c r="D809" s="9" t="str">
        <f aca="false">IF(C809="","",IFERROR(VLOOKUP(C809,EQUIPOS!$B$3:$C$18,2,0),"NO EXISTE"))</f>
        <v/>
      </c>
      <c r="E809" s="9" t="str">
        <f aca="false">IF(C809="","",IFERROR(VLOOKUP(C809,EQUIPOS!$B$3:$F$18,5,0),""))</f>
        <v/>
      </c>
      <c r="F809" s="5" t="str">
        <f aca="false">IF(C809="","",IFERROR(VLOOKUP(C809,EQUIPOS!$B$3:$G$18,6,0),""))</f>
        <v/>
      </c>
      <c r="G809" s="8"/>
      <c r="H809" s="5"/>
      <c r="I809" s="5"/>
      <c r="J809" s="9"/>
      <c r="K809" s="17" t="str">
        <f aca="false">IF(H809="","",IFERROR(SUMIFS(BD_PLAN!$I$3:$I$312,BD_PLAN!$B$3:$B$312,E809,BD_PLAN!$C$3:$C$312,INDEX(BD_CICLO!$F$3:$F$54,MATCH(E809&amp;"|"&amp;H809,BD_CICLO!$G$3:$G$54,0))),""))</f>
        <v/>
      </c>
      <c r="L809" s="9"/>
      <c r="M809" s="9"/>
      <c r="N809" s="1" t="str">
        <f aca="false">IF(C809="","",C809&amp;"|"&amp;COUNTIF(C$3:C809,C809))</f>
        <v/>
      </c>
      <c r="O809" s="1" t="str">
        <f aca="false">IF(OR(C809="",M809=""),"",C809&amp;"|"&amp;COUNTIFS(C$3:C809,C809,M$3:M809,"&lt;&gt;"))</f>
        <v/>
      </c>
    </row>
    <row r="810" customFormat="false" ht="15" hidden="false" customHeight="false" outlineLevel="0" collapsed="false">
      <c r="B810" s="7"/>
      <c r="C810" s="5"/>
      <c r="D810" s="9" t="str">
        <f aca="false">IF(C810="","",IFERROR(VLOOKUP(C810,EQUIPOS!$B$3:$C$18,2,0),"NO EXISTE"))</f>
        <v/>
      </c>
      <c r="E810" s="9" t="str">
        <f aca="false">IF(C810="","",IFERROR(VLOOKUP(C810,EQUIPOS!$B$3:$F$18,5,0),""))</f>
        <v/>
      </c>
      <c r="F810" s="5" t="str">
        <f aca="false">IF(C810="","",IFERROR(VLOOKUP(C810,EQUIPOS!$B$3:$G$18,6,0),""))</f>
        <v/>
      </c>
      <c r="G810" s="8"/>
      <c r="H810" s="5"/>
      <c r="I810" s="5"/>
      <c r="J810" s="9"/>
      <c r="K810" s="17" t="str">
        <f aca="false">IF(H810="","",IFERROR(SUMIFS(BD_PLAN!$I$3:$I$312,BD_PLAN!$B$3:$B$312,E810,BD_PLAN!$C$3:$C$312,INDEX(BD_CICLO!$F$3:$F$54,MATCH(E810&amp;"|"&amp;H810,BD_CICLO!$G$3:$G$54,0))),""))</f>
        <v/>
      </c>
      <c r="L810" s="9"/>
      <c r="M810" s="9"/>
      <c r="N810" s="1" t="str">
        <f aca="false">IF(C810="","",C810&amp;"|"&amp;COUNTIF(C$3:C810,C810))</f>
        <v/>
      </c>
      <c r="O810" s="1" t="str">
        <f aca="false">IF(OR(C810="",M810=""),"",C810&amp;"|"&amp;COUNTIFS(C$3:C810,C810,M$3:M810,"&lt;&gt;"))</f>
        <v/>
      </c>
    </row>
    <row r="811" customFormat="false" ht="15" hidden="false" customHeight="false" outlineLevel="0" collapsed="false">
      <c r="B811" s="7"/>
      <c r="C811" s="5"/>
      <c r="D811" s="9" t="str">
        <f aca="false">IF(C811="","",IFERROR(VLOOKUP(C811,EQUIPOS!$B$3:$C$18,2,0),"NO EXISTE"))</f>
        <v/>
      </c>
      <c r="E811" s="9" t="str">
        <f aca="false">IF(C811="","",IFERROR(VLOOKUP(C811,EQUIPOS!$B$3:$F$18,5,0),""))</f>
        <v/>
      </c>
      <c r="F811" s="5" t="str">
        <f aca="false">IF(C811="","",IFERROR(VLOOKUP(C811,EQUIPOS!$B$3:$G$18,6,0),""))</f>
        <v/>
      </c>
      <c r="G811" s="8"/>
      <c r="H811" s="5"/>
      <c r="I811" s="5"/>
      <c r="J811" s="9"/>
      <c r="K811" s="17" t="str">
        <f aca="false">IF(H811="","",IFERROR(SUMIFS(BD_PLAN!$I$3:$I$312,BD_PLAN!$B$3:$B$312,E811,BD_PLAN!$C$3:$C$312,INDEX(BD_CICLO!$F$3:$F$54,MATCH(E811&amp;"|"&amp;H811,BD_CICLO!$G$3:$G$54,0))),""))</f>
        <v/>
      </c>
      <c r="L811" s="9"/>
      <c r="M811" s="9"/>
      <c r="N811" s="1" t="str">
        <f aca="false">IF(C811="","",C811&amp;"|"&amp;COUNTIF(C$3:C811,C811))</f>
        <v/>
      </c>
      <c r="O811" s="1" t="str">
        <f aca="false">IF(OR(C811="",M811=""),"",C811&amp;"|"&amp;COUNTIFS(C$3:C811,C811,M$3:M811,"&lt;&gt;"))</f>
        <v/>
      </c>
    </row>
    <row r="812" customFormat="false" ht="15" hidden="false" customHeight="false" outlineLevel="0" collapsed="false">
      <c r="B812" s="7"/>
      <c r="C812" s="5"/>
      <c r="D812" s="9" t="str">
        <f aca="false">IF(C812="","",IFERROR(VLOOKUP(C812,EQUIPOS!$B$3:$C$18,2,0),"NO EXISTE"))</f>
        <v/>
      </c>
      <c r="E812" s="9" t="str">
        <f aca="false">IF(C812="","",IFERROR(VLOOKUP(C812,EQUIPOS!$B$3:$F$18,5,0),""))</f>
        <v/>
      </c>
      <c r="F812" s="5" t="str">
        <f aca="false">IF(C812="","",IFERROR(VLOOKUP(C812,EQUIPOS!$B$3:$G$18,6,0),""))</f>
        <v/>
      </c>
      <c r="G812" s="8"/>
      <c r="H812" s="5"/>
      <c r="I812" s="5"/>
      <c r="J812" s="9"/>
      <c r="K812" s="17" t="str">
        <f aca="false">IF(H812="","",IFERROR(SUMIFS(BD_PLAN!$I$3:$I$312,BD_PLAN!$B$3:$B$312,E812,BD_PLAN!$C$3:$C$312,INDEX(BD_CICLO!$F$3:$F$54,MATCH(E812&amp;"|"&amp;H812,BD_CICLO!$G$3:$G$54,0))),""))</f>
        <v/>
      </c>
      <c r="L812" s="9"/>
      <c r="M812" s="9"/>
      <c r="N812" s="1" t="str">
        <f aca="false">IF(C812="","",C812&amp;"|"&amp;COUNTIF(C$3:C812,C812))</f>
        <v/>
      </c>
      <c r="O812" s="1" t="str">
        <f aca="false">IF(OR(C812="",M812=""),"",C812&amp;"|"&amp;COUNTIFS(C$3:C812,C812,M$3:M812,"&lt;&gt;"))</f>
        <v/>
      </c>
    </row>
    <row r="813" customFormat="false" ht="15" hidden="false" customHeight="false" outlineLevel="0" collapsed="false">
      <c r="B813" s="7"/>
      <c r="C813" s="5"/>
      <c r="D813" s="9" t="str">
        <f aca="false">IF(C813="","",IFERROR(VLOOKUP(C813,EQUIPOS!$B$3:$C$18,2,0),"NO EXISTE"))</f>
        <v/>
      </c>
      <c r="E813" s="9" t="str">
        <f aca="false">IF(C813="","",IFERROR(VLOOKUP(C813,EQUIPOS!$B$3:$F$18,5,0),""))</f>
        <v/>
      </c>
      <c r="F813" s="5" t="str">
        <f aca="false">IF(C813="","",IFERROR(VLOOKUP(C813,EQUIPOS!$B$3:$G$18,6,0),""))</f>
        <v/>
      </c>
      <c r="G813" s="8"/>
      <c r="H813" s="5"/>
      <c r="I813" s="5"/>
      <c r="J813" s="9"/>
      <c r="K813" s="17" t="str">
        <f aca="false">IF(H813="","",IFERROR(SUMIFS(BD_PLAN!$I$3:$I$312,BD_PLAN!$B$3:$B$312,E813,BD_PLAN!$C$3:$C$312,INDEX(BD_CICLO!$F$3:$F$54,MATCH(E813&amp;"|"&amp;H813,BD_CICLO!$G$3:$G$54,0))),""))</f>
        <v/>
      </c>
      <c r="L813" s="9"/>
      <c r="M813" s="9"/>
      <c r="N813" s="1" t="str">
        <f aca="false">IF(C813="","",C813&amp;"|"&amp;COUNTIF(C$3:C813,C813))</f>
        <v/>
      </c>
      <c r="O813" s="1" t="str">
        <f aca="false">IF(OR(C813="",M813=""),"",C813&amp;"|"&amp;COUNTIFS(C$3:C813,C813,M$3:M813,"&lt;&gt;"))</f>
        <v/>
      </c>
    </row>
    <row r="814" customFormat="false" ht="15" hidden="false" customHeight="false" outlineLevel="0" collapsed="false">
      <c r="B814" s="7"/>
      <c r="C814" s="5"/>
      <c r="D814" s="9" t="str">
        <f aca="false">IF(C814="","",IFERROR(VLOOKUP(C814,EQUIPOS!$B$3:$C$18,2,0),"NO EXISTE"))</f>
        <v/>
      </c>
      <c r="E814" s="9" t="str">
        <f aca="false">IF(C814="","",IFERROR(VLOOKUP(C814,EQUIPOS!$B$3:$F$18,5,0),""))</f>
        <v/>
      </c>
      <c r="F814" s="5" t="str">
        <f aca="false">IF(C814="","",IFERROR(VLOOKUP(C814,EQUIPOS!$B$3:$G$18,6,0),""))</f>
        <v/>
      </c>
      <c r="G814" s="8"/>
      <c r="H814" s="5"/>
      <c r="I814" s="5"/>
      <c r="J814" s="9"/>
      <c r="K814" s="17" t="str">
        <f aca="false">IF(H814="","",IFERROR(SUMIFS(BD_PLAN!$I$3:$I$312,BD_PLAN!$B$3:$B$312,E814,BD_PLAN!$C$3:$C$312,INDEX(BD_CICLO!$F$3:$F$54,MATCH(E814&amp;"|"&amp;H814,BD_CICLO!$G$3:$G$54,0))),""))</f>
        <v/>
      </c>
      <c r="L814" s="9"/>
      <c r="M814" s="9"/>
      <c r="N814" s="1" t="str">
        <f aca="false">IF(C814="","",C814&amp;"|"&amp;COUNTIF(C$3:C814,C814))</f>
        <v/>
      </c>
      <c r="O814" s="1" t="str">
        <f aca="false">IF(OR(C814="",M814=""),"",C814&amp;"|"&amp;COUNTIFS(C$3:C814,C814,M$3:M814,"&lt;&gt;"))</f>
        <v/>
      </c>
    </row>
    <row r="815" customFormat="false" ht="15" hidden="false" customHeight="false" outlineLevel="0" collapsed="false">
      <c r="B815" s="7"/>
      <c r="C815" s="5"/>
      <c r="D815" s="9" t="str">
        <f aca="false">IF(C815="","",IFERROR(VLOOKUP(C815,EQUIPOS!$B$3:$C$18,2,0),"NO EXISTE"))</f>
        <v/>
      </c>
      <c r="E815" s="9" t="str">
        <f aca="false">IF(C815="","",IFERROR(VLOOKUP(C815,EQUIPOS!$B$3:$F$18,5,0),""))</f>
        <v/>
      </c>
      <c r="F815" s="5" t="str">
        <f aca="false">IF(C815="","",IFERROR(VLOOKUP(C815,EQUIPOS!$B$3:$G$18,6,0),""))</f>
        <v/>
      </c>
      <c r="G815" s="8"/>
      <c r="H815" s="5"/>
      <c r="I815" s="5"/>
      <c r="J815" s="9"/>
      <c r="K815" s="17" t="str">
        <f aca="false">IF(H815="","",IFERROR(SUMIFS(BD_PLAN!$I$3:$I$312,BD_PLAN!$B$3:$B$312,E815,BD_PLAN!$C$3:$C$312,INDEX(BD_CICLO!$F$3:$F$54,MATCH(E815&amp;"|"&amp;H815,BD_CICLO!$G$3:$G$54,0))),""))</f>
        <v/>
      </c>
      <c r="L815" s="9"/>
      <c r="M815" s="9"/>
      <c r="N815" s="1" t="str">
        <f aca="false">IF(C815="","",C815&amp;"|"&amp;COUNTIF(C$3:C815,C815))</f>
        <v/>
      </c>
      <c r="O815" s="1" t="str">
        <f aca="false">IF(OR(C815="",M815=""),"",C815&amp;"|"&amp;COUNTIFS(C$3:C815,C815,M$3:M815,"&lt;&gt;"))</f>
        <v/>
      </c>
    </row>
    <row r="816" customFormat="false" ht="15" hidden="false" customHeight="false" outlineLevel="0" collapsed="false">
      <c r="B816" s="7"/>
      <c r="C816" s="5"/>
      <c r="D816" s="9" t="str">
        <f aca="false">IF(C816="","",IFERROR(VLOOKUP(C816,EQUIPOS!$B$3:$C$18,2,0),"NO EXISTE"))</f>
        <v/>
      </c>
      <c r="E816" s="9" t="str">
        <f aca="false">IF(C816="","",IFERROR(VLOOKUP(C816,EQUIPOS!$B$3:$F$18,5,0),""))</f>
        <v/>
      </c>
      <c r="F816" s="5" t="str">
        <f aca="false">IF(C816="","",IFERROR(VLOOKUP(C816,EQUIPOS!$B$3:$G$18,6,0),""))</f>
        <v/>
      </c>
      <c r="G816" s="8"/>
      <c r="H816" s="5"/>
      <c r="I816" s="5"/>
      <c r="J816" s="9"/>
      <c r="K816" s="17" t="str">
        <f aca="false">IF(H816="","",IFERROR(SUMIFS(BD_PLAN!$I$3:$I$312,BD_PLAN!$B$3:$B$312,E816,BD_PLAN!$C$3:$C$312,INDEX(BD_CICLO!$F$3:$F$54,MATCH(E816&amp;"|"&amp;H816,BD_CICLO!$G$3:$G$54,0))),""))</f>
        <v/>
      </c>
      <c r="L816" s="9"/>
      <c r="M816" s="9"/>
      <c r="N816" s="1" t="str">
        <f aca="false">IF(C816="","",C816&amp;"|"&amp;COUNTIF(C$3:C816,C816))</f>
        <v/>
      </c>
      <c r="O816" s="1" t="str">
        <f aca="false">IF(OR(C816="",M816=""),"",C816&amp;"|"&amp;COUNTIFS(C$3:C816,C816,M$3:M816,"&lt;&gt;"))</f>
        <v/>
      </c>
    </row>
    <row r="817" customFormat="false" ht="15" hidden="false" customHeight="false" outlineLevel="0" collapsed="false">
      <c r="B817" s="7"/>
      <c r="C817" s="5"/>
      <c r="D817" s="9" t="str">
        <f aca="false">IF(C817="","",IFERROR(VLOOKUP(C817,EQUIPOS!$B$3:$C$18,2,0),"NO EXISTE"))</f>
        <v/>
      </c>
      <c r="E817" s="9" t="str">
        <f aca="false">IF(C817="","",IFERROR(VLOOKUP(C817,EQUIPOS!$B$3:$F$18,5,0),""))</f>
        <v/>
      </c>
      <c r="F817" s="5" t="str">
        <f aca="false">IF(C817="","",IFERROR(VLOOKUP(C817,EQUIPOS!$B$3:$G$18,6,0),""))</f>
        <v/>
      </c>
      <c r="G817" s="8"/>
      <c r="H817" s="5"/>
      <c r="I817" s="5"/>
      <c r="J817" s="9"/>
      <c r="K817" s="17" t="str">
        <f aca="false">IF(H817="","",IFERROR(SUMIFS(BD_PLAN!$I$3:$I$312,BD_PLAN!$B$3:$B$312,E817,BD_PLAN!$C$3:$C$312,INDEX(BD_CICLO!$F$3:$F$54,MATCH(E817&amp;"|"&amp;H817,BD_CICLO!$G$3:$G$54,0))),""))</f>
        <v/>
      </c>
      <c r="L817" s="9"/>
      <c r="M817" s="9"/>
      <c r="N817" s="1" t="str">
        <f aca="false">IF(C817="","",C817&amp;"|"&amp;COUNTIF(C$3:C817,C817))</f>
        <v/>
      </c>
      <c r="O817" s="1" t="str">
        <f aca="false">IF(OR(C817="",M817=""),"",C817&amp;"|"&amp;COUNTIFS(C$3:C817,C817,M$3:M817,"&lt;&gt;"))</f>
        <v/>
      </c>
    </row>
    <row r="818" customFormat="false" ht="15" hidden="false" customHeight="false" outlineLevel="0" collapsed="false">
      <c r="B818" s="7"/>
      <c r="C818" s="5"/>
      <c r="D818" s="9" t="str">
        <f aca="false">IF(C818="","",IFERROR(VLOOKUP(C818,EQUIPOS!$B$3:$C$18,2,0),"NO EXISTE"))</f>
        <v/>
      </c>
      <c r="E818" s="9" t="str">
        <f aca="false">IF(C818="","",IFERROR(VLOOKUP(C818,EQUIPOS!$B$3:$F$18,5,0),""))</f>
        <v/>
      </c>
      <c r="F818" s="5" t="str">
        <f aca="false">IF(C818="","",IFERROR(VLOOKUP(C818,EQUIPOS!$B$3:$G$18,6,0),""))</f>
        <v/>
      </c>
      <c r="G818" s="8"/>
      <c r="H818" s="5"/>
      <c r="I818" s="5"/>
      <c r="J818" s="9"/>
      <c r="K818" s="17" t="str">
        <f aca="false">IF(H818="","",IFERROR(SUMIFS(BD_PLAN!$I$3:$I$312,BD_PLAN!$B$3:$B$312,E818,BD_PLAN!$C$3:$C$312,INDEX(BD_CICLO!$F$3:$F$54,MATCH(E818&amp;"|"&amp;H818,BD_CICLO!$G$3:$G$54,0))),""))</f>
        <v/>
      </c>
      <c r="L818" s="9"/>
      <c r="M818" s="9"/>
      <c r="N818" s="1" t="str">
        <f aca="false">IF(C818="","",C818&amp;"|"&amp;COUNTIF(C$3:C818,C818))</f>
        <v/>
      </c>
      <c r="O818" s="1" t="str">
        <f aca="false">IF(OR(C818="",M818=""),"",C818&amp;"|"&amp;COUNTIFS(C$3:C818,C818,M$3:M818,"&lt;&gt;"))</f>
        <v/>
      </c>
    </row>
    <row r="819" customFormat="false" ht="15" hidden="false" customHeight="false" outlineLevel="0" collapsed="false">
      <c r="B819" s="7"/>
      <c r="C819" s="5"/>
      <c r="D819" s="9" t="str">
        <f aca="false">IF(C819="","",IFERROR(VLOOKUP(C819,EQUIPOS!$B$3:$C$18,2,0),"NO EXISTE"))</f>
        <v/>
      </c>
      <c r="E819" s="9" t="str">
        <f aca="false">IF(C819="","",IFERROR(VLOOKUP(C819,EQUIPOS!$B$3:$F$18,5,0),""))</f>
        <v/>
      </c>
      <c r="F819" s="5" t="str">
        <f aca="false">IF(C819="","",IFERROR(VLOOKUP(C819,EQUIPOS!$B$3:$G$18,6,0),""))</f>
        <v/>
      </c>
      <c r="G819" s="8"/>
      <c r="H819" s="5"/>
      <c r="I819" s="5"/>
      <c r="J819" s="9"/>
      <c r="K819" s="17" t="str">
        <f aca="false">IF(H819="","",IFERROR(SUMIFS(BD_PLAN!$I$3:$I$312,BD_PLAN!$B$3:$B$312,E819,BD_PLAN!$C$3:$C$312,INDEX(BD_CICLO!$F$3:$F$54,MATCH(E819&amp;"|"&amp;H819,BD_CICLO!$G$3:$G$54,0))),""))</f>
        <v/>
      </c>
      <c r="L819" s="9"/>
      <c r="M819" s="9"/>
      <c r="N819" s="1" t="str">
        <f aca="false">IF(C819="","",C819&amp;"|"&amp;COUNTIF(C$3:C819,C819))</f>
        <v/>
      </c>
      <c r="O819" s="1" t="str">
        <f aca="false">IF(OR(C819="",M819=""),"",C819&amp;"|"&amp;COUNTIFS(C$3:C819,C819,M$3:M819,"&lt;&gt;"))</f>
        <v/>
      </c>
    </row>
    <row r="820" customFormat="false" ht="15" hidden="false" customHeight="false" outlineLevel="0" collapsed="false">
      <c r="B820" s="7"/>
      <c r="C820" s="5"/>
      <c r="D820" s="9" t="str">
        <f aca="false">IF(C820="","",IFERROR(VLOOKUP(C820,EQUIPOS!$B$3:$C$18,2,0),"NO EXISTE"))</f>
        <v/>
      </c>
      <c r="E820" s="9" t="str">
        <f aca="false">IF(C820="","",IFERROR(VLOOKUP(C820,EQUIPOS!$B$3:$F$18,5,0),""))</f>
        <v/>
      </c>
      <c r="F820" s="5" t="str">
        <f aca="false">IF(C820="","",IFERROR(VLOOKUP(C820,EQUIPOS!$B$3:$G$18,6,0),""))</f>
        <v/>
      </c>
      <c r="G820" s="8"/>
      <c r="H820" s="5"/>
      <c r="I820" s="5"/>
      <c r="J820" s="9"/>
      <c r="K820" s="17" t="str">
        <f aca="false">IF(H820="","",IFERROR(SUMIFS(BD_PLAN!$I$3:$I$312,BD_PLAN!$B$3:$B$312,E820,BD_PLAN!$C$3:$C$312,INDEX(BD_CICLO!$F$3:$F$54,MATCH(E820&amp;"|"&amp;H820,BD_CICLO!$G$3:$G$54,0))),""))</f>
        <v/>
      </c>
      <c r="L820" s="9"/>
      <c r="M820" s="9"/>
      <c r="N820" s="1" t="str">
        <f aca="false">IF(C820="","",C820&amp;"|"&amp;COUNTIF(C$3:C820,C820))</f>
        <v/>
      </c>
      <c r="O820" s="1" t="str">
        <f aca="false">IF(OR(C820="",M820=""),"",C820&amp;"|"&amp;COUNTIFS(C$3:C820,C820,M$3:M820,"&lt;&gt;"))</f>
        <v/>
      </c>
    </row>
    <row r="821" customFormat="false" ht="15" hidden="false" customHeight="false" outlineLevel="0" collapsed="false">
      <c r="B821" s="7"/>
      <c r="C821" s="5"/>
      <c r="D821" s="9" t="str">
        <f aca="false">IF(C821="","",IFERROR(VLOOKUP(C821,EQUIPOS!$B$3:$C$18,2,0),"NO EXISTE"))</f>
        <v/>
      </c>
      <c r="E821" s="9" t="str">
        <f aca="false">IF(C821="","",IFERROR(VLOOKUP(C821,EQUIPOS!$B$3:$F$18,5,0),""))</f>
        <v/>
      </c>
      <c r="F821" s="5" t="str">
        <f aca="false">IF(C821="","",IFERROR(VLOOKUP(C821,EQUIPOS!$B$3:$G$18,6,0),""))</f>
        <v/>
      </c>
      <c r="G821" s="8"/>
      <c r="H821" s="5"/>
      <c r="I821" s="5"/>
      <c r="J821" s="9"/>
      <c r="K821" s="17" t="str">
        <f aca="false">IF(H821="","",IFERROR(SUMIFS(BD_PLAN!$I$3:$I$312,BD_PLAN!$B$3:$B$312,E821,BD_PLAN!$C$3:$C$312,INDEX(BD_CICLO!$F$3:$F$54,MATCH(E821&amp;"|"&amp;H821,BD_CICLO!$G$3:$G$54,0))),""))</f>
        <v/>
      </c>
      <c r="L821" s="9"/>
      <c r="M821" s="9"/>
      <c r="N821" s="1" t="str">
        <f aca="false">IF(C821="","",C821&amp;"|"&amp;COUNTIF(C$3:C821,C821))</f>
        <v/>
      </c>
      <c r="O821" s="1" t="str">
        <f aca="false">IF(OR(C821="",M821=""),"",C821&amp;"|"&amp;COUNTIFS(C$3:C821,C821,M$3:M821,"&lt;&gt;"))</f>
        <v/>
      </c>
    </row>
    <row r="822" customFormat="false" ht="15" hidden="false" customHeight="false" outlineLevel="0" collapsed="false">
      <c r="B822" s="7"/>
      <c r="C822" s="5"/>
      <c r="D822" s="9" t="str">
        <f aca="false">IF(C822="","",IFERROR(VLOOKUP(C822,EQUIPOS!$B$3:$C$18,2,0),"NO EXISTE"))</f>
        <v/>
      </c>
      <c r="E822" s="9" t="str">
        <f aca="false">IF(C822="","",IFERROR(VLOOKUP(C822,EQUIPOS!$B$3:$F$18,5,0),""))</f>
        <v/>
      </c>
      <c r="F822" s="5" t="str">
        <f aca="false">IF(C822="","",IFERROR(VLOOKUP(C822,EQUIPOS!$B$3:$G$18,6,0),""))</f>
        <v/>
      </c>
      <c r="G822" s="8"/>
      <c r="H822" s="5"/>
      <c r="I822" s="5"/>
      <c r="J822" s="9"/>
      <c r="K822" s="17" t="str">
        <f aca="false">IF(H822="","",IFERROR(SUMIFS(BD_PLAN!$I$3:$I$312,BD_PLAN!$B$3:$B$312,E822,BD_PLAN!$C$3:$C$312,INDEX(BD_CICLO!$F$3:$F$54,MATCH(E822&amp;"|"&amp;H822,BD_CICLO!$G$3:$G$54,0))),""))</f>
        <v/>
      </c>
      <c r="L822" s="9"/>
      <c r="M822" s="9"/>
      <c r="N822" s="1" t="str">
        <f aca="false">IF(C822="","",C822&amp;"|"&amp;COUNTIF(C$3:C822,C822))</f>
        <v/>
      </c>
      <c r="O822" s="1" t="str">
        <f aca="false">IF(OR(C822="",M822=""),"",C822&amp;"|"&amp;COUNTIFS(C$3:C822,C822,M$3:M822,"&lt;&gt;"))</f>
        <v/>
      </c>
    </row>
    <row r="823" customFormat="false" ht="15" hidden="false" customHeight="false" outlineLevel="0" collapsed="false">
      <c r="B823" s="7"/>
      <c r="C823" s="5"/>
      <c r="D823" s="9" t="str">
        <f aca="false">IF(C823="","",IFERROR(VLOOKUP(C823,EQUIPOS!$B$3:$C$18,2,0),"NO EXISTE"))</f>
        <v/>
      </c>
      <c r="E823" s="9" t="str">
        <f aca="false">IF(C823="","",IFERROR(VLOOKUP(C823,EQUIPOS!$B$3:$F$18,5,0),""))</f>
        <v/>
      </c>
      <c r="F823" s="5" t="str">
        <f aca="false">IF(C823="","",IFERROR(VLOOKUP(C823,EQUIPOS!$B$3:$G$18,6,0),""))</f>
        <v/>
      </c>
      <c r="G823" s="8"/>
      <c r="H823" s="5"/>
      <c r="I823" s="5"/>
      <c r="J823" s="9"/>
      <c r="K823" s="17" t="str">
        <f aca="false">IF(H823="","",IFERROR(SUMIFS(BD_PLAN!$I$3:$I$312,BD_PLAN!$B$3:$B$312,E823,BD_PLAN!$C$3:$C$312,INDEX(BD_CICLO!$F$3:$F$54,MATCH(E823&amp;"|"&amp;H823,BD_CICLO!$G$3:$G$54,0))),""))</f>
        <v/>
      </c>
      <c r="L823" s="9"/>
      <c r="M823" s="9"/>
      <c r="N823" s="1" t="str">
        <f aca="false">IF(C823="","",C823&amp;"|"&amp;COUNTIF(C$3:C823,C823))</f>
        <v/>
      </c>
      <c r="O823" s="1" t="str">
        <f aca="false">IF(OR(C823="",M823=""),"",C823&amp;"|"&amp;COUNTIFS(C$3:C823,C823,M$3:M823,"&lt;&gt;"))</f>
        <v/>
      </c>
    </row>
    <row r="824" customFormat="false" ht="15" hidden="false" customHeight="false" outlineLevel="0" collapsed="false">
      <c r="B824" s="7"/>
      <c r="C824" s="5"/>
      <c r="D824" s="9" t="str">
        <f aca="false">IF(C824="","",IFERROR(VLOOKUP(C824,EQUIPOS!$B$3:$C$18,2,0),"NO EXISTE"))</f>
        <v/>
      </c>
      <c r="E824" s="9" t="str">
        <f aca="false">IF(C824="","",IFERROR(VLOOKUP(C824,EQUIPOS!$B$3:$F$18,5,0),""))</f>
        <v/>
      </c>
      <c r="F824" s="5" t="str">
        <f aca="false">IF(C824="","",IFERROR(VLOOKUP(C824,EQUIPOS!$B$3:$G$18,6,0),""))</f>
        <v/>
      </c>
      <c r="G824" s="8"/>
      <c r="H824" s="5"/>
      <c r="I824" s="5"/>
      <c r="J824" s="9"/>
      <c r="K824" s="17" t="str">
        <f aca="false">IF(H824="","",IFERROR(SUMIFS(BD_PLAN!$I$3:$I$312,BD_PLAN!$B$3:$B$312,E824,BD_PLAN!$C$3:$C$312,INDEX(BD_CICLO!$F$3:$F$54,MATCH(E824&amp;"|"&amp;H824,BD_CICLO!$G$3:$G$54,0))),""))</f>
        <v/>
      </c>
      <c r="L824" s="9"/>
      <c r="M824" s="9"/>
      <c r="N824" s="1" t="str">
        <f aca="false">IF(C824="","",C824&amp;"|"&amp;COUNTIF(C$3:C824,C824))</f>
        <v/>
      </c>
      <c r="O824" s="1" t="str">
        <f aca="false">IF(OR(C824="",M824=""),"",C824&amp;"|"&amp;COUNTIFS(C$3:C824,C824,M$3:M824,"&lt;&gt;"))</f>
        <v/>
      </c>
    </row>
    <row r="825" customFormat="false" ht="15" hidden="false" customHeight="false" outlineLevel="0" collapsed="false">
      <c r="B825" s="7"/>
      <c r="C825" s="5"/>
      <c r="D825" s="9" t="str">
        <f aca="false">IF(C825="","",IFERROR(VLOOKUP(C825,EQUIPOS!$B$3:$C$18,2,0),"NO EXISTE"))</f>
        <v/>
      </c>
      <c r="E825" s="9" t="str">
        <f aca="false">IF(C825="","",IFERROR(VLOOKUP(C825,EQUIPOS!$B$3:$F$18,5,0),""))</f>
        <v/>
      </c>
      <c r="F825" s="5" t="str">
        <f aca="false">IF(C825="","",IFERROR(VLOOKUP(C825,EQUIPOS!$B$3:$G$18,6,0),""))</f>
        <v/>
      </c>
      <c r="G825" s="8"/>
      <c r="H825" s="5"/>
      <c r="I825" s="5"/>
      <c r="J825" s="9"/>
      <c r="K825" s="17" t="str">
        <f aca="false">IF(H825="","",IFERROR(SUMIFS(BD_PLAN!$I$3:$I$312,BD_PLAN!$B$3:$B$312,E825,BD_PLAN!$C$3:$C$312,INDEX(BD_CICLO!$F$3:$F$54,MATCH(E825&amp;"|"&amp;H825,BD_CICLO!$G$3:$G$54,0))),""))</f>
        <v/>
      </c>
      <c r="L825" s="9"/>
      <c r="M825" s="9"/>
      <c r="N825" s="1" t="str">
        <f aca="false">IF(C825="","",C825&amp;"|"&amp;COUNTIF(C$3:C825,C825))</f>
        <v/>
      </c>
      <c r="O825" s="1" t="str">
        <f aca="false">IF(OR(C825="",M825=""),"",C825&amp;"|"&amp;COUNTIFS(C$3:C825,C825,M$3:M825,"&lt;&gt;"))</f>
        <v/>
      </c>
    </row>
    <row r="826" customFormat="false" ht="15" hidden="false" customHeight="false" outlineLevel="0" collapsed="false">
      <c r="B826" s="7"/>
      <c r="C826" s="5"/>
      <c r="D826" s="9" t="str">
        <f aca="false">IF(C826="","",IFERROR(VLOOKUP(C826,EQUIPOS!$B$3:$C$18,2,0),"NO EXISTE"))</f>
        <v/>
      </c>
      <c r="E826" s="9" t="str">
        <f aca="false">IF(C826="","",IFERROR(VLOOKUP(C826,EQUIPOS!$B$3:$F$18,5,0),""))</f>
        <v/>
      </c>
      <c r="F826" s="5" t="str">
        <f aca="false">IF(C826="","",IFERROR(VLOOKUP(C826,EQUIPOS!$B$3:$G$18,6,0),""))</f>
        <v/>
      </c>
      <c r="G826" s="8"/>
      <c r="H826" s="5"/>
      <c r="I826" s="5"/>
      <c r="J826" s="9"/>
      <c r="K826" s="17" t="str">
        <f aca="false">IF(H826="","",IFERROR(SUMIFS(BD_PLAN!$I$3:$I$312,BD_PLAN!$B$3:$B$312,E826,BD_PLAN!$C$3:$C$312,INDEX(BD_CICLO!$F$3:$F$54,MATCH(E826&amp;"|"&amp;H826,BD_CICLO!$G$3:$G$54,0))),""))</f>
        <v/>
      </c>
      <c r="L826" s="9"/>
      <c r="M826" s="9"/>
      <c r="N826" s="1" t="str">
        <f aca="false">IF(C826="","",C826&amp;"|"&amp;COUNTIF(C$3:C826,C826))</f>
        <v/>
      </c>
      <c r="O826" s="1" t="str">
        <f aca="false">IF(OR(C826="",M826=""),"",C826&amp;"|"&amp;COUNTIFS(C$3:C826,C826,M$3:M826,"&lt;&gt;"))</f>
        <v/>
      </c>
    </row>
    <row r="827" customFormat="false" ht="15" hidden="false" customHeight="false" outlineLevel="0" collapsed="false">
      <c r="B827" s="7"/>
      <c r="C827" s="5"/>
      <c r="D827" s="9" t="str">
        <f aca="false">IF(C827="","",IFERROR(VLOOKUP(C827,EQUIPOS!$B$3:$C$18,2,0),"NO EXISTE"))</f>
        <v/>
      </c>
      <c r="E827" s="9" t="str">
        <f aca="false">IF(C827="","",IFERROR(VLOOKUP(C827,EQUIPOS!$B$3:$F$18,5,0),""))</f>
        <v/>
      </c>
      <c r="F827" s="5" t="str">
        <f aca="false">IF(C827="","",IFERROR(VLOOKUP(C827,EQUIPOS!$B$3:$G$18,6,0),""))</f>
        <v/>
      </c>
      <c r="G827" s="8"/>
      <c r="H827" s="5"/>
      <c r="I827" s="5"/>
      <c r="J827" s="9"/>
      <c r="K827" s="17" t="str">
        <f aca="false">IF(H827="","",IFERROR(SUMIFS(BD_PLAN!$I$3:$I$312,BD_PLAN!$B$3:$B$312,E827,BD_PLAN!$C$3:$C$312,INDEX(BD_CICLO!$F$3:$F$54,MATCH(E827&amp;"|"&amp;H827,BD_CICLO!$G$3:$G$54,0))),""))</f>
        <v/>
      </c>
      <c r="L827" s="9"/>
      <c r="M827" s="9"/>
      <c r="N827" s="1" t="str">
        <f aca="false">IF(C827="","",C827&amp;"|"&amp;COUNTIF(C$3:C827,C827))</f>
        <v/>
      </c>
      <c r="O827" s="1" t="str">
        <f aca="false">IF(OR(C827="",M827=""),"",C827&amp;"|"&amp;COUNTIFS(C$3:C827,C827,M$3:M827,"&lt;&gt;"))</f>
        <v/>
      </c>
    </row>
    <row r="828" customFormat="false" ht="15" hidden="false" customHeight="false" outlineLevel="0" collapsed="false">
      <c r="B828" s="7"/>
      <c r="C828" s="5"/>
      <c r="D828" s="9" t="str">
        <f aca="false">IF(C828="","",IFERROR(VLOOKUP(C828,EQUIPOS!$B$3:$C$18,2,0),"NO EXISTE"))</f>
        <v/>
      </c>
      <c r="E828" s="9" t="str">
        <f aca="false">IF(C828="","",IFERROR(VLOOKUP(C828,EQUIPOS!$B$3:$F$18,5,0),""))</f>
        <v/>
      </c>
      <c r="F828" s="5" t="str">
        <f aca="false">IF(C828="","",IFERROR(VLOOKUP(C828,EQUIPOS!$B$3:$G$18,6,0),""))</f>
        <v/>
      </c>
      <c r="G828" s="8"/>
      <c r="H828" s="5"/>
      <c r="I828" s="5"/>
      <c r="J828" s="9"/>
      <c r="K828" s="17" t="str">
        <f aca="false">IF(H828="","",IFERROR(SUMIFS(BD_PLAN!$I$3:$I$312,BD_PLAN!$B$3:$B$312,E828,BD_PLAN!$C$3:$C$312,INDEX(BD_CICLO!$F$3:$F$54,MATCH(E828&amp;"|"&amp;H828,BD_CICLO!$G$3:$G$54,0))),""))</f>
        <v/>
      </c>
      <c r="L828" s="9"/>
      <c r="M828" s="9"/>
      <c r="N828" s="1" t="str">
        <f aca="false">IF(C828="","",C828&amp;"|"&amp;COUNTIF(C$3:C828,C828))</f>
        <v/>
      </c>
      <c r="O828" s="1" t="str">
        <f aca="false">IF(OR(C828="",M828=""),"",C828&amp;"|"&amp;COUNTIFS(C$3:C828,C828,M$3:M828,"&lt;&gt;"))</f>
        <v/>
      </c>
    </row>
    <row r="829" customFormat="false" ht="15" hidden="false" customHeight="false" outlineLevel="0" collapsed="false">
      <c r="B829" s="7"/>
      <c r="C829" s="5"/>
      <c r="D829" s="9" t="str">
        <f aca="false">IF(C829="","",IFERROR(VLOOKUP(C829,EQUIPOS!$B$3:$C$18,2,0),"NO EXISTE"))</f>
        <v/>
      </c>
      <c r="E829" s="9" t="str">
        <f aca="false">IF(C829="","",IFERROR(VLOOKUP(C829,EQUIPOS!$B$3:$F$18,5,0),""))</f>
        <v/>
      </c>
      <c r="F829" s="5" t="str">
        <f aca="false">IF(C829="","",IFERROR(VLOOKUP(C829,EQUIPOS!$B$3:$G$18,6,0),""))</f>
        <v/>
      </c>
      <c r="G829" s="8"/>
      <c r="H829" s="5"/>
      <c r="I829" s="5"/>
      <c r="J829" s="9"/>
      <c r="K829" s="17" t="str">
        <f aca="false">IF(H829="","",IFERROR(SUMIFS(BD_PLAN!$I$3:$I$312,BD_PLAN!$B$3:$B$312,E829,BD_PLAN!$C$3:$C$312,INDEX(BD_CICLO!$F$3:$F$54,MATCH(E829&amp;"|"&amp;H829,BD_CICLO!$G$3:$G$54,0))),""))</f>
        <v/>
      </c>
      <c r="L829" s="9"/>
      <c r="M829" s="9"/>
      <c r="N829" s="1" t="str">
        <f aca="false">IF(C829="","",C829&amp;"|"&amp;COUNTIF(C$3:C829,C829))</f>
        <v/>
      </c>
      <c r="O829" s="1" t="str">
        <f aca="false">IF(OR(C829="",M829=""),"",C829&amp;"|"&amp;COUNTIFS(C$3:C829,C829,M$3:M829,"&lt;&gt;"))</f>
        <v/>
      </c>
    </row>
    <row r="830" customFormat="false" ht="15" hidden="false" customHeight="false" outlineLevel="0" collapsed="false">
      <c r="B830" s="7"/>
      <c r="C830" s="5"/>
      <c r="D830" s="9" t="str">
        <f aca="false">IF(C830="","",IFERROR(VLOOKUP(C830,EQUIPOS!$B$3:$C$18,2,0),"NO EXISTE"))</f>
        <v/>
      </c>
      <c r="E830" s="9" t="str">
        <f aca="false">IF(C830="","",IFERROR(VLOOKUP(C830,EQUIPOS!$B$3:$F$18,5,0),""))</f>
        <v/>
      </c>
      <c r="F830" s="5" t="str">
        <f aca="false">IF(C830="","",IFERROR(VLOOKUP(C830,EQUIPOS!$B$3:$G$18,6,0),""))</f>
        <v/>
      </c>
      <c r="G830" s="8"/>
      <c r="H830" s="5"/>
      <c r="I830" s="5"/>
      <c r="J830" s="9"/>
      <c r="K830" s="17" t="str">
        <f aca="false">IF(H830="","",IFERROR(SUMIFS(BD_PLAN!$I$3:$I$312,BD_PLAN!$B$3:$B$312,E830,BD_PLAN!$C$3:$C$312,INDEX(BD_CICLO!$F$3:$F$54,MATCH(E830&amp;"|"&amp;H830,BD_CICLO!$G$3:$G$54,0))),""))</f>
        <v/>
      </c>
      <c r="L830" s="9"/>
      <c r="M830" s="9"/>
      <c r="N830" s="1" t="str">
        <f aca="false">IF(C830="","",C830&amp;"|"&amp;COUNTIF(C$3:C830,C830))</f>
        <v/>
      </c>
      <c r="O830" s="1" t="str">
        <f aca="false">IF(OR(C830="",M830=""),"",C830&amp;"|"&amp;COUNTIFS(C$3:C830,C830,M$3:M830,"&lt;&gt;"))</f>
        <v/>
      </c>
    </row>
    <row r="831" customFormat="false" ht="15" hidden="false" customHeight="false" outlineLevel="0" collapsed="false">
      <c r="B831" s="7"/>
      <c r="C831" s="5"/>
      <c r="D831" s="9" t="str">
        <f aca="false">IF(C831="","",IFERROR(VLOOKUP(C831,EQUIPOS!$B$3:$C$18,2,0),"NO EXISTE"))</f>
        <v/>
      </c>
      <c r="E831" s="9" t="str">
        <f aca="false">IF(C831="","",IFERROR(VLOOKUP(C831,EQUIPOS!$B$3:$F$18,5,0),""))</f>
        <v/>
      </c>
      <c r="F831" s="5" t="str">
        <f aca="false">IF(C831="","",IFERROR(VLOOKUP(C831,EQUIPOS!$B$3:$G$18,6,0),""))</f>
        <v/>
      </c>
      <c r="G831" s="8"/>
      <c r="H831" s="5"/>
      <c r="I831" s="5"/>
      <c r="J831" s="9"/>
      <c r="K831" s="17" t="str">
        <f aca="false">IF(H831="","",IFERROR(SUMIFS(BD_PLAN!$I$3:$I$312,BD_PLAN!$B$3:$B$312,E831,BD_PLAN!$C$3:$C$312,INDEX(BD_CICLO!$F$3:$F$54,MATCH(E831&amp;"|"&amp;H831,BD_CICLO!$G$3:$G$54,0))),""))</f>
        <v/>
      </c>
      <c r="L831" s="9"/>
      <c r="M831" s="9"/>
      <c r="N831" s="1" t="str">
        <f aca="false">IF(C831="","",C831&amp;"|"&amp;COUNTIF(C$3:C831,C831))</f>
        <v/>
      </c>
      <c r="O831" s="1" t="str">
        <f aca="false">IF(OR(C831="",M831=""),"",C831&amp;"|"&amp;COUNTIFS(C$3:C831,C831,M$3:M831,"&lt;&gt;"))</f>
        <v/>
      </c>
    </row>
    <row r="832" customFormat="false" ht="15" hidden="false" customHeight="false" outlineLevel="0" collapsed="false">
      <c r="B832" s="7"/>
      <c r="C832" s="5"/>
      <c r="D832" s="9" t="str">
        <f aca="false">IF(C832="","",IFERROR(VLOOKUP(C832,EQUIPOS!$B$3:$C$18,2,0),"NO EXISTE"))</f>
        <v/>
      </c>
      <c r="E832" s="9" t="str">
        <f aca="false">IF(C832="","",IFERROR(VLOOKUP(C832,EQUIPOS!$B$3:$F$18,5,0),""))</f>
        <v/>
      </c>
      <c r="F832" s="5" t="str">
        <f aca="false">IF(C832="","",IFERROR(VLOOKUP(C832,EQUIPOS!$B$3:$G$18,6,0),""))</f>
        <v/>
      </c>
      <c r="G832" s="8"/>
      <c r="H832" s="5"/>
      <c r="I832" s="5"/>
      <c r="J832" s="9"/>
      <c r="K832" s="17" t="str">
        <f aca="false">IF(H832="","",IFERROR(SUMIFS(BD_PLAN!$I$3:$I$312,BD_PLAN!$B$3:$B$312,E832,BD_PLAN!$C$3:$C$312,INDEX(BD_CICLO!$F$3:$F$54,MATCH(E832&amp;"|"&amp;H832,BD_CICLO!$G$3:$G$54,0))),""))</f>
        <v/>
      </c>
      <c r="L832" s="9"/>
      <c r="M832" s="9"/>
      <c r="N832" s="1" t="str">
        <f aca="false">IF(C832="","",C832&amp;"|"&amp;COUNTIF(C$3:C832,C832))</f>
        <v/>
      </c>
      <c r="O832" s="1" t="str">
        <f aca="false">IF(OR(C832="",M832=""),"",C832&amp;"|"&amp;COUNTIFS(C$3:C832,C832,M$3:M832,"&lt;&gt;"))</f>
        <v/>
      </c>
    </row>
    <row r="833" customFormat="false" ht="15" hidden="false" customHeight="false" outlineLevel="0" collapsed="false">
      <c r="B833" s="7"/>
      <c r="C833" s="5"/>
      <c r="D833" s="9" t="str">
        <f aca="false">IF(C833="","",IFERROR(VLOOKUP(C833,EQUIPOS!$B$3:$C$18,2,0),"NO EXISTE"))</f>
        <v/>
      </c>
      <c r="E833" s="9" t="str">
        <f aca="false">IF(C833="","",IFERROR(VLOOKUP(C833,EQUIPOS!$B$3:$F$18,5,0),""))</f>
        <v/>
      </c>
      <c r="F833" s="5" t="str">
        <f aca="false">IF(C833="","",IFERROR(VLOOKUP(C833,EQUIPOS!$B$3:$G$18,6,0),""))</f>
        <v/>
      </c>
      <c r="G833" s="8"/>
      <c r="H833" s="5"/>
      <c r="I833" s="5"/>
      <c r="J833" s="9"/>
      <c r="K833" s="17" t="str">
        <f aca="false">IF(H833="","",IFERROR(SUMIFS(BD_PLAN!$I$3:$I$312,BD_PLAN!$B$3:$B$312,E833,BD_PLAN!$C$3:$C$312,INDEX(BD_CICLO!$F$3:$F$54,MATCH(E833&amp;"|"&amp;H833,BD_CICLO!$G$3:$G$54,0))),""))</f>
        <v/>
      </c>
      <c r="L833" s="9"/>
      <c r="M833" s="9"/>
      <c r="N833" s="1" t="str">
        <f aca="false">IF(C833="","",C833&amp;"|"&amp;COUNTIF(C$3:C833,C833))</f>
        <v/>
      </c>
      <c r="O833" s="1" t="str">
        <f aca="false">IF(OR(C833="",M833=""),"",C833&amp;"|"&amp;COUNTIFS(C$3:C833,C833,M$3:M833,"&lt;&gt;"))</f>
        <v/>
      </c>
    </row>
    <row r="834" customFormat="false" ht="15" hidden="false" customHeight="false" outlineLevel="0" collapsed="false">
      <c r="B834" s="7"/>
      <c r="C834" s="5"/>
      <c r="D834" s="9" t="str">
        <f aca="false">IF(C834="","",IFERROR(VLOOKUP(C834,EQUIPOS!$B$3:$C$18,2,0),"NO EXISTE"))</f>
        <v/>
      </c>
      <c r="E834" s="9" t="str">
        <f aca="false">IF(C834="","",IFERROR(VLOOKUP(C834,EQUIPOS!$B$3:$F$18,5,0),""))</f>
        <v/>
      </c>
      <c r="F834" s="5" t="str">
        <f aca="false">IF(C834="","",IFERROR(VLOOKUP(C834,EQUIPOS!$B$3:$G$18,6,0),""))</f>
        <v/>
      </c>
      <c r="G834" s="8"/>
      <c r="H834" s="5"/>
      <c r="I834" s="5"/>
      <c r="J834" s="9"/>
      <c r="K834" s="17" t="str">
        <f aca="false">IF(H834="","",IFERROR(SUMIFS(BD_PLAN!$I$3:$I$312,BD_PLAN!$B$3:$B$312,E834,BD_PLAN!$C$3:$C$312,INDEX(BD_CICLO!$F$3:$F$54,MATCH(E834&amp;"|"&amp;H834,BD_CICLO!$G$3:$G$54,0))),""))</f>
        <v/>
      </c>
      <c r="L834" s="9"/>
      <c r="M834" s="9"/>
      <c r="N834" s="1" t="str">
        <f aca="false">IF(C834="","",C834&amp;"|"&amp;COUNTIF(C$3:C834,C834))</f>
        <v/>
      </c>
      <c r="O834" s="1" t="str">
        <f aca="false">IF(OR(C834="",M834=""),"",C834&amp;"|"&amp;COUNTIFS(C$3:C834,C834,M$3:M834,"&lt;&gt;"))</f>
        <v/>
      </c>
    </row>
    <row r="835" customFormat="false" ht="15" hidden="false" customHeight="false" outlineLevel="0" collapsed="false">
      <c r="B835" s="7"/>
      <c r="C835" s="5"/>
      <c r="D835" s="9" t="str">
        <f aca="false">IF(C835="","",IFERROR(VLOOKUP(C835,EQUIPOS!$B$3:$C$18,2,0),"NO EXISTE"))</f>
        <v/>
      </c>
      <c r="E835" s="9" t="str">
        <f aca="false">IF(C835="","",IFERROR(VLOOKUP(C835,EQUIPOS!$B$3:$F$18,5,0),""))</f>
        <v/>
      </c>
      <c r="F835" s="5" t="str">
        <f aca="false">IF(C835="","",IFERROR(VLOOKUP(C835,EQUIPOS!$B$3:$G$18,6,0),""))</f>
        <v/>
      </c>
      <c r="G835" s="8"/>
      <c r="H835" s="5"/>
      <c r="I835" s="5"/>
      <c r="J835" s="9"/>
      <c r="K835" s="17" t="str">
        <f aca="false">IF(H835="","",IFERROR(SUMIFS(BD_PLAN!$I$3:$I$312,BD_PLAN!$B$3:$B$312,E835,BD_PLAN!$C$3:$C$312,INDEX(BD_CICLO!$F$3:$F$54,MATCH(E835&amp;"|"&amp;H835,BD_CICLO!$G$3:$G$54,0))),""))</f>
        <v/>
      </c>
      <c r="L835" s="9"/>
      <c r="M835" s="9"/>
      <c r="N835" s="1" t="str">
        <f aca="false">IF(C835="","",C835&amp;"|"&amp;COUNTIF(C$3:C835,C835))</f>
        <v/>
      </c>
      <c r="O835" s="1" t="str">
        <f aca="false">IF(OR(C835="",M835=""),"",C835&amp;"|"&amp;COUNTIFS(C$3:C835,C835,M$3:M835,"&lt;&gt;"))</f>
        <v/>
      </c>
    </row>
    <row r="836" customFormat="false" ht="15" hidden="false" customHeight="false" outlineLevel="0" collapsed="false">
      <c r="B836" s="7"/>
      <c r="C836" s="5"/>
      <c r="D836" s="9" t="str">
        <f aca="false">IF(C836="","",IFERROR(VLOOKUP(C836,EQUIPOS!$B$3:$C$18,2,0),"NO EXISTE"))</f>
        <v/>
      </c>
      <c r="E836" s="9" t="str">
        <f aca="false">IF(C836="","",IFERROR(VLOOKUP(C836,EQUIPOS!$B$3:$F$18,5,0),""))</f>
        <v/>
      </c>
      <c r="F836" s="5" t="str">
        <f aca="false">IF(C836="","",IFERROR(VLOOKUP(C836,EQUIPOS!$B$3:$G$18,6,0),""))</f>
        <v/>
      </c>
      <c r="G836" s="8"/>
      <c r="H836" s="5"/>
      <c r="I836" s="5"/>
      <c r="J836" s="9"/>
      <c r="K836" s="17" t="str">
        <f aca="false">IF(H836="","",IFERROR(SUMIFS(BD_PLAN!$I$3:$I$312,BD_PLAN!$B$3:$B$312,E836,BD_PLAN!$C$3:$C$312,INDEX(BD_CICLO!$F$3:$F$54,MATCH(E836&amp;"|"&amp;H836,BD_CICLO!$G$3:$G$54,0))),""))</f>
        <v/>
      </c>
      <c r="L836" s="9"/>
      <c r="M836" s="9"/>
      <c r="N836" s="1" t="str">
        <f aca="false">IF(C836="","",C836&amp;"|"&amp;COUNTIF(C$3:C836,C836))</f>
        <v/>
      </c>
      <c r="O836" s="1" t="str">
        <f aca="false">IF(OR(C836="",M836=""),"",C836&amp;"|"&amp;COUNTIFS(C$3:C836,C836,M$3:M836,"&lt;&gt;"))</f>
        <v/>
      </c>
    </row>
    <row r="837" customFormat="false" ht="15" hidden="false" customHeight="false" outlineLevel="0" collapsed="false">
      <c r="B837" s="7"/>
      <c r="C837" s="5"/>
      <c r="D837" s="9" t="str">
        <f aca="false">IF(C837="","",IFERROR(VLOOKUP(C837,EQUIPOS!$B$3:$C$18,2,0),"NO EXISTE"))</f>
        <v/>
      </c>
      <c r="E837" s="9" t="str">
        <f aca="false">IF(C837="","",IFERROR(VLOOKUP(C837,EQUIPOS!$B$3:$F$18,5,0),""))</f>
        <v/>
      </c>
      <c r="F837" s="5" t="str">
        <f aca="false">IF(C837="","",IFERROR(VLOOKUP(C837,EQUIPOS!$B$3:$G$18,6,0),""))</f>
        <v/>
      </c>
      <c r="G837" s="8"/>
      <c r="H837" s="5"/>
      <c r="I837" s="5"/>
      <c r="J837" s="9"/>
      <c r="K837" s="17" t="str">
        <f aca="false">IF(H837="","",IFERROR(SUMIFS(BD_PLAN!$I$3:$I$312,BD_PLAN!$B$3:$B$312,E837,BD_PLAN!$C$3:$C$312,INDEX(BD_CICLO!$F$3:$F$54,MATCH(E837&amp;"|"&amp;H837,BD_CICLO!$G$3:$G$54,0))),""))</f>
        <v/>
      </c>
      <c r="L837" s="9"/>
      <c r="M837" s="9"/>
      <c r="N837" s="1" t="str">
        <f aca="false">IF(C837="","",C837&amp;"|"&amp;COUNTIF(C$3:C837,C837))</f>
        <v/>
      </c>
      <c r="O837" s="1" t="str">
        <f aca="false">IF(OR(C837="",M837=""),"",C837&amp;"|"&amp;COUNTIFS(C$3:C837,C837,M$3:M837,"&lt;&gt;"))</f>
        <v/>
      </c>
    </row>
    <row r="838" customFormat="false" ht="15" hidden="false" customHeight="false" outlineLevel="0" collapsed="false">
      <c r="B838" s="7"/>
      <c r="C838" s="5"/>
      <c r="D838" s="9" t="str">
        <f aca="false">IF(C838="","",IFERROR(VLOOKUP(C838,EQUIPOS!$B$3:$C$18,2,0),"NO EXISTE"))</f>
        <v/>
      </c>
      <c r="E838" s="9" t="str">
        <f aca="false">IF(C838="","",IFERROR(VLOOKUP(C838,EQUIPOS!$B$3:$F$18,5,0),""))</f>
        <v/>
      </c>
      <c r="F838" s="5" t="str">
        <f aca="false">IF(C838="","",IFERROR(VLOOKUP(C838,EQUIPOS!$B$3:$G$18,6,0),""))</f>
        <v/>
      </c>
      <c r="G838" s="8"/>
      <c r="H838" s="5"/>
      <c r="I838" s="5"/>
      <c r="J838" s="9"/>
      <c r="K838" s="17" t="str">
        <f aca="false">IF(H838="","",IFERROR(SUMIFS(BD_PLAN!$I$3:$I$312,BD_PLAN!$B$3:$B$312,E838,BD_PLAN!$C$3:$C$312,INDEX(BD_CICLO!$F$3:$F$54,MATCH(E838&amp;"|"&amp;H838,BD_CICLO!$G$3:$G$54,0))),""))</f>
        <v/>
      </c>
      <c r="L838" s="9"/>
      <c r="M838" s="9"/>
      <c r="N838" s="1" t="str">
        <f aca="false">IF(C838="","",C838&amp;"|"&amp;COUNTIF(C$3:C838,C838))</f>
        <v/>
      </c>
      <c r="O838" s="1" t="str">
        <f aca="false">IF(OR(C838="",M838=""),"",C838&amp;"|"&amp;COUNTIFS(C$3:C838,C838,M$3:M838,"&lt;&gt;"))</f>
        <v/>
      </c>
    </row>
    <row r="839" customFormat="false" ht="15" hidden="false" customHeight="false" outlineLevel="0" collapsed="false">
      <c r="B839" s="7"/>
      <c r="C839" s="5"/>
      <c r="D839" s="9" t="str">
        <f aca="false">IF(C839="","",IFERROR(VLOOKUP(C839,EQUIPOS!$B$3:$C$18,2,0),"NO EXISTE"))</f>
        <v/>
      </c>
      <c r="E839" s="9" t="str">
        <f aca="false">IF(C839="","",IFERROR(VLOOKUP(C839,EQUIPOS!$B$3:$F$18,5,0),""))</f>
        <v/>
      </c>
      <c r="F839" s="5" t="str">
        <f aca="false">IF(C839="","",IFERROR(VLOOKUP(C839,EQUIPOS!$B$3:$G$18,6,0),""))</f>
        <v/>
      </c>
      <c r="G839" s="8"/>
      <c r="H839" s="5"/>
      <c r="I839" s="5"/>
      <c r="J839" s="9"/>
      <c r="K839" s="17" t="str">
        <f aca="false">IF(H839="","",IFERROR(SUMIFS(BD_PLAN!$I$3:$I$312,BD_PLAN!$B$3:$B$312,E839,BD_PLAN!$C$3:$C$312,INDEX(BD_CICLO!$F$3:$F$54,MATCH(E839&amp;"|"&amp;H839,BD_CICLO!$G$3:$G$54,0))),""))</f>
        <v/>
      </c>
      <c r="L839" s="9"/>
      <c r="M839" s="9"/>
      <c r="N839" s="1" t="str">
        <f aca="false">IF(C839="","",C839&amp;"|"&amp;COUNTIF(C$3:C839,C839))</f>
        <v/>
      </c>
      <c r="O839" s="1" t="str">
        <f aca="false">IF(OR(C839="",M839=""),"",C839&amp;"|"&amp;COUNTIFS(C$3:C839,C839,M$3:M839,"&lt;&gt;"))</f>
        <v/>
      </c>
    </row>
    <row r="840" customFormat="false" ht="15" hidden="false" customHeight="false" outlineLevel="0" collapsed="false">
      <c r="B840" s="7"/>
      <c r="C840" s="5"/>
      <c r="D840" s="9" t="str">
        <f aca="false">IF(C840="","",IFERROR(VLOOKUP(C840,EQUIPOS!$B$3:$C$18,2,0),"NO EXISTE"))</f>
        <v/>
      </c>
      <c r="E840" s="9" t="str">
        <f aca="false">IF(C840="","",IFERROR(VLOOKUP(C840,EQUIPOS!$B$3:$F$18,5,0),""))</f>
        <v/>
      </c>
      <c r="F840" s="5" t="str">
        <f aca="false">IF(C840="","",IFERROR(VLOOKUP(C840,EQUIPOS!$B$3:$G$18,6,0),""))</f>
        <v/>
      </c>
      <c r="G840" s="8"/>
      <c r="H840" s="5"/>
      <c r="I840" s="5"/>
      <c r="J840" s="9"/>
      <c r="K840" s="17" t="str">
        <f aca="false">IF(H840="","",IFERROR(SUMIFS(BD_PLAN!$I$3:$I$312,BD_PLAN!$B$3:$B$312,E840,BD_PLAN!$C$3:$C$312,INDEX(BD_CICLO!$F$3:$F$54,MATCH(E840&amp;"|"&amp;H840,BD_CICLO!$G$3:$G$54,0))),""))</f>
        <v/>
      </c>
      <c r="L840" s="9"/>
      <c r="M840" s="9"/>
      <c r="N840" s="1" t="str">
        <f aca="false">IF(C840="","",C840&amp;"|"&amp;COUNTIF(C$3:C840,C840))</f>
        <v/>
      </c>
      <c r="O840" s="1" t="str">
        <f aca="false">IF(OR(C840="",M840=""),"",C840&amp;"|"&amp;COUNTIFS(C$3:C840,C840,M$3:M840,"&lt;&gt;"))</f>
        <v/>
      </c>
    </row>
    <row r="841" customFormat="false" ht="15" hidden="false" customHeight="false" outlineLevel="0" collapsed="false">
      <c r="B841" s="7"/>
      <c r="C841" s="5"/>
      <c r="D841" s="9" t="str">
        <f aca="false">IF(C841="","",IFERROR(VLOOKUP(C841,EQUIPOS!$B$3:$C$18,2,0),"NO EXISTE"))</f>
        <v/>
      </c>
      <c r="E841" s="9" t="str">
        <f aca="false">IF(C841="","",IFERROR(VLOOKUP(C841,EQUIPOS!$B$3:$F$18,5,0),""))</f>
        <v/>
      </c>
      <c r="F841" s="5" t="str">
        <f aca="false">IF(C841="","",IFERROR(VLOOKUP(C841,EQUIPOS!$B$3:$G$18,6,0),""))</f>
        <v/>
      </c>
      <c r="G841" s="8"/>
      <c r="H841" s="5"/>
      <c r="I841" s="5"/>
      <c r="J841" s="9"/>
      <c r="K841" s="17" t="str">
        <f aca="false">IF(H841="","",IFERROR(SUMIFS(BD_PLAN!$I$3:$I$312,BD_PLAN!$B$3:$B$312,E841,BD_PLAN!$C$3:$C$312,INDEX(BD_CICLO!$F$3:$F$54,MATCH(E841&amp;"|"&amp;H841,BD_CICLO!$G$3:$G$54,0))),""))</f>
        <v/>
      </c>
      <c r="L841" s="9"/>
      <c r="M841" s="9"/>
      <c r="N841" s="1" t="str">
        <f aca="false">IF(C841="","",C841&amp;"|"&amp;COUNTIF(C$3:C841,C841))</f>
        <v/>
      </c>
      <c r="O841" s="1" t="str">
        <f aca="false">IF(OR(C841="",M841=""),"",C841&amp;"|"&amp;COUNTIFS(C$3:C841,C841,M$3:M841,"&lt;&gt;"))</f>
        <v/>
      </c>
    </row>
    <row r="842" customFormat="false" ht="15" hidden="false" customHeight="false" outlineLevel="0" collapsed="false">
      <c r="B842" s="7"/>
      <c r="C842" s="5"/>
      <c r="D842" s="9" t="str">
        <f aca="false">IF(C842="","",IFERROR(VLOOKUP(C842,EQUIPOS!$B$3:$C$18,2,0),"NO EXISTE"))</f>
        <v/>
      </c>
      <c r="E842" s="9" t="str">
        <f aca="false">IF(C842="","",IFERROR(VLOOKUP(C842,EQUIPOS!$B$3:$F$18,5,0),""))</f>
        <v/>
      </c>
      <c r="F842" s="5" t="str">
        <f aca="false">IF(C842="","",IFERROR(VLOOKUP(C842,EQUIPOS!$B$3:$G$18,6,0),""))</f>
        <v/>
      </c>
      <c r="G842" s="8"/>
      <c r="H842" s="5"/>
      <c r="I842" s="5"/>
      <c r="J842" s="9"/>
      <c r="K842" s="17" t="str">
        <f aca="false">IF(H842="","",IFERROR(SUMIFS(BD_PLAN!$I$3:$I$312,BD_PLAN!$B$3:$B$312,E842,BD_PLAN!$C$3:$C$312,INDEX(BD_CICLO!$F$3:$F$54,MATCH(E842&amp;"|"&amp;H842,BD_CICLO!$G$3:$G$54,0))),""))</f>
        <v/>
      </c>
      <c r="L842" s="9"/>
      <c r="M842" s="9"/>
      <c r="N842" s="1" t="str">
        <f aca="false">IF(C842="","",C842&amp;"|"&amp;COUNTIF(C$3:C842,C842))</f>
        <v/>
      </c>
      <c r="O842" s="1" t="str">
        <f aca="false">IF(OR(C842="",M842=""),"",C842&amp;"|"&amp;COUNTIFS(C$3:C842,C842,M$3:M842,"&lt;&gt;"))</f>
        <v/>
      </c>
    </row>
    <row r="843" customFormat="false" ht="15" hidden="false" customHeight="false" outlineLevel="0" collapsed="false">
      <c r="B843" s="7"/>
      <c r="C843" s="5"/>
      <c r="D843" s="9" t="str">
        <f aca="false">IF(C843="","",IFERROR(VLOOKUP(C843,EQUIPOS!$B$3:$C$18,2,0),"NO EXISTE"))</f>
        <v/>
      </c>
      <c r="E843" s="9" t="str">
        <f aca="false">IF(C843="","",IFERROR(VLOOKUP(C843,EQUIPOS!$B$3:$F$18,5,0),""))</f>
        <v/>
      </c>
      <c r="F843" s="5" t="str">
        <f aca="false">IF(C843="","",IFERROR(VLOOKUP(C843,EQUIPOS!$B$3:$G$18,6,0),""))</f>
        <v/>
      </c>
      <c r="G843" s="8"/>
      <c r="H843" s="5"/>
      <c r="I843" s="5"/>
      <c r="J843" s="9"/>
      <c r="K843" s="17" t="str">
        <f aca="false">IF(H843="","",IFERROR(SUMIFS(BD_PLAN!$I$3:$I$312,BD_PLAN!$B$3:$B$312,E843,BD_PLAN!$C$3:$C$312,INDEX(BD_CICLO!$F$3:$F$54,MATCH(E843&amp;"|"&amp;H843,BD_CICLO!$G$3:$G$54,0))),""))</f>
        <v/>
      </c>
      <c r="L843" s="9"/>
      <c r="M843" s="9"/>
      <c r="N843" s="1" t="str">
        <f aca="false">IF(C843="","",C843&amp;"|"&amp;COUNTIF(C$3:C843,C843))</f>
        <v/>
      </c>
      <c r="O843" s="1" t="str">
        <f aca="false">IF(OR(C843="",M843=""),"",C843&amp;"|"&amp;COUNTIFS(C$3:C843,C843,M$3:M843,"&lt;&gt;"))</f>
        <v/>
      </c>
    </row>
    <row r="844" customFormat="false" ht="15" hidden="false" customHeight="false" outlineLevel="0" collapsed="false">
      <c r="B844" s="7"/>
      <c r="C844" s="5"/>
      <c r="D844" s="9" t="str">
        <f aca="false">IF(C844="","",IFERROR(VLOOKUP(C844,EQUIPOS!$B$3:$C$18,2,0),"NO EXISTE"))</f>
        <v/>
      </c>
      <c r="E844" s="9" t="str">
        <f aca="false">IF(C844="","",IFERROR(VLOOKUP(C844,EQUIPOS!$B$3:$F$18,5,0),""))</f>
        <v/>
      </c>
      <c r="F844" s="5" t="str">
        <f aca="false">IF(C844="","",IFERROR(VLOOKUP(C844,EQUIPOS!$B$3:$G$18,6,0),""))</f>
        <v/>
      </c>
      <c r="G844" s="8"/>
      <c r="H844" s="5"/>
      <c r="I844" s="5"/>
      <c r="J844" s="9"/>
      <c r="K844" s="17" t="str">
        <f aca="false">IF(H844="","",IFERROR(SUMIFS(BD_PLAN!$I$3:$I$312,BD_PLAN!$B$3:$B$312,E844,BD_PLAN!$C$3:$C$312,INDEX(BD_CICLO!$F$3:$F$54,MATCH(E844&amp;"|"&amp;H844,BD_CICLO!$G$3:$G$54,0))),""))</f>
        <v/>
      </c>
      <c r="L844" s="9"/>
      <c r="M844" s="9"/>
      <c r="N844" s="1" t="str">
        <f aca="false">IF(C844="","",C844&amp;"|"&amp;COUNTIF(C$3:C844,C844))</f>
        <v/>
      </c>
      <c r="O844" s="1" t="str">
        <f aca="false">IF(OR(C844="",M844=""),"",C844&amp;"|"&amp;COUNTIFS(C$3:C844,C844,M$3:M844,"&lt;&gt;"))</f>
        <v/>
      </c>
    </row>
    <row r="845" customFormat="false" ht="15" hidden="false" customHeight="false" outlineLevel="0" collapsed="false">
      <c r="B845" s="7"/>
      <c r="C845" s="5"/>
      <c r="D845" s="9" t="str">
        <f aca="false">IF(C845="","",IFERROR(VLOOKUP(C845,EQUIPOS!$B$3:$C$18,2,0),"NO EXISTE"))</f>
        <v/>
      </c>
      <c r="E845" s="9" t="str">
        <f aca="false">IF(C845="","",IFERROR(VLOOKUP(C845,EQUIPOS!$B$3:$F$18,5,0),""))</f>
        <v/>
      </c>
      <c r="F845" s="5" t="str">
        <f aca="false">IF(C845="","",IFERROR(VLOOKUP(C845,EQUIPOS!$B$3:$G$18,6,0),""))</f>
        <v/>
      </c>
      <c r="G845" s="8"/>
      <c r="H845" s="5"/>
      <c r="I845" s="5"/>
      <c r="J845" s="9"/>
      <c r="K845" s="17" t="str">
        <f aca="false">IF(H845="","",IFERROR(SUMIFS(BD_PLAN!$I$3:$I$312,BD_PLAN!$B$3:$B$312,E845,BD_PLAN!$C$3:$C$312,INDEX(BD_CICLO!$F$3:$F$54,MATCH(E845&amp;"|"&amp;H845,BD_CICLO!$G$3:$G$54,0))),""))</f>
        <v/>
      </c>
      <c r="L845" s="9"/>
      <c r="M845" s="9"/>
      <c r="N845" s="1" t="str">
        <f aca="false">IF(C845="","",C845&amp;"|"&amp;COUNTIF(C$3:C845,C845))</f>
        <v/>
      </c>
      <c r="O845" s="1" t="str">
        <f aca="false">IF(OR(C845="",M845=""),"",C845&amp;"|"&amp;COUNTIFS(C$3:C845,C845,M$3:M845,"&lt;&gt;"))</f>
        <v/>
      </c>
    </row>
    <row r="846" customFormat="false" ht="15" hidden="false" customHeight="false" outlineLevel="0" collapsed="false">
      <c r="B846" s="7"/>
      <c r="C846" s="5"/>
      <c r="D846" s="9" t="str">
        <f aca="false">IF(C846="","",IFERROR(VLOOKUP(C846,EQUIPOS!$B$3:$C$18,2,0),"NO EXISTE"))</f>
        <v/>
      </c>
      <c r="E846" s="9" t="str">
        <f aca="false">IF(C846="","",IFERROR(VLOOKUP(C846,EQUIPOS!$B$3:$F$18,5,0),""))</f>
        <v/>
      </c>
      <c r="F846" s="5" t="str">
        <f aca="false">IF(C846="","",IFERROR(VLOOKUP(C846,EQUIPOS!$B$3:$G$18,6,0),""))</f>
        <v/>
      </c>
      <c r="G846" s="8"/>
      <c r="H846" s="5"/>
      <c r="I846" s="5"/>
      <c r="J846" s="9"/>
      <c r="K846" s="17" t="str">
        <f aca="false">IF(H846="","",IFERROR(SUMIFS(BD_PLAN!$I$3:$I$312,BD_PLAN!$B$3:$B$312,E846,BD_PLAN!$C$3:$C$312,INDEX(BD_CICLO!$F$3:$F$54,MATCH(E846&amp;"|"&amp;H846,BD_CICLO!$G$3:$G$54,0))),""))</f>
        <v/>
      </c>
      <c r="L846" s="9"/>
      <c r="M846" s="9"/>
      <c r="N846" s="1" t="str">
        <f aca="false">IF(C846="","",C846&amp;"|"&amp;COUNTIF(C$3:C846,C846))</f>
        <v/>
      </c>
      <c r="O846" s="1" t="str">
        <f aca="false">IF(OR(C846="",M846=""),"",C846&amp;"|"&amp;COUNTIFS(C$3:C846,C846,M$3:M846,"&lt;&gt;"))</f>
        <v/>
      </c>
    </row>
    <row r="847" customFormat="false" ht="15" hidden="false" customHeight="false" outlineLevel="0" collapsed="false">
      <c r="B847" s="7"/>
      <c r="C847" s="5"/>
      <c r="D847" s="9" t="str">
        <f aca="false">IF(C847="","",IFERROR(VLOOKUP(C847,EQUIPOS!$B$3:$C$18,2,0),"NO EXISTE"))</f>
        <v/>
      </c>
      <c r="E847" s="9" t="str">
        <f aca="false">IF(C847="","",IFERROR(VLOOKUP(C847,EQUIPOS!$B$3:$F$18,5,0),""))</f>
        <v/>
      </c>
      <c r="F847" s="5" t="str">
        <f aca="false">IF(C847="","",IFERROR(VLOOKUP(C847,EQUIPOS!$B$3:$G$18,6,0),""))</f>
        <v/>
      </c>
      <c r="G847" s="8"/>
      <c r="H847" s="5"/>
      <c r="I847" s="5"/>
      <c r="J847" s="9"/>
      <c r="K847" s="17" t="str">
        <f aca="false">IF(H847="","",IFERROR(SUMIFS(BD_PLAN!$I$3:$I$312,BD_PLAN!$B$3:$B$312,E847,BD_PLAN!$C$3:$C$312,INDEX(BD_CICLO!$F$3:$F$54,MATCH(E847&amp;"|"&amp;H847,BD_CICLO!$G$3:$G$54,0))),""))</f>
        <v/>
      </c>
      <c r="L847" s="9"/>
      <c r="M847" s="9"/>
      <c r="N847" s="1" t="str">
        <f aca="false">IF(C847="","",C847&amp;"|"&amp;COUNTIF(C$3:C847,C847))</f>
        <v/>
      </c>
      <c r="O847" s="1" t="str">
        <f aca="false">IF(OR(C847="",M847=""),"",C847&amp;"|"&amp;COUNTIFS(C$3:C847,C847,M$3:M847,"&lt;&gt;"))</f>
        <v/>
      </c>
    </row>
    <row r="848" customFormat="false" ht="15" hidden="false" customHeight="false" outlineLevel="0" collapsed="false">
      <c r="B848" s="7"/>
      <c r="C848" s="5"/>
      <c r="D848" s="9" t="str">
        <f aca="false">IF(C848="","",IFERROR(VLOOKUP(C848,EQUIPOS!$B$3:$C$18,2,0),"NO EXISTE"))</f>
        <v/>
      </c>
      <c r="E848" s="9" t="str">
        <f aca="false">IF(C848="","",IFERROR(VLOOKUP(C848,EQUIPOS!$B$3:$F$18,5,0),""))</f>
        <v/>
      </c>
      <c r="F848" s="5" t="str">
        <f aca="false">IF(C848="","",IFERROR(VLOOKUP(C848,EQUIPOS!$B$3:$G$18,6,0),""))</f>
        <v/>
      </c>
      <c r="G848" s="8"/>
      <c r="H848" s="5"/>
      <c r="I848" s="5"/>
      <c r="J848" s="9"/>
      <c r="K848" s="17" t="str">
        <f aca="false">IF(H848="","",IFERROR(SUMIFS(BD_PLAN!$I$3:$I$312,BD_PLAN!$B$3:$B$312,E848,BD_PLAN!$C$3:$C$312,INDEX(BD_CICLO!$F$3:$F$54,MATCH(E848&amp;"|"&amp;H848,BD_CICLO!$G$3:$G$54,0))),""))</f>
        <v/>
      </c>
      <c r="L848" s="9"/>
      <c r="M848" s="9"/>
      <c r="N848" s="1" t="str">
        <f aca="false">IF(C848="","",C848&amp;"|"&amp;COUNTIF(C$3:C848,C848))</f>
        <v/>
      </c>
      <c r="O848" s="1" t="str">
        <f aca="false">IF(OR(C848="",M848=""),"",C848&amp;"|"&amp;COUNTIFS(C$3:C848,C848,M$3:M848,"&lt;&gt;"))</f>
        <v/>
      </c>
    </row>
    <row r="849" customFormat="false" ht="15" hidden="false" customHeight="false" outlineLevel="0" collapsed="false">
      <c r="B849" s="7"/>
      <c r="C849" s="5"/>
      <c r="D849" s="9" t="str">
        <f aca="false">IF(C849="","",IFERROR(VLOOKUP(C849,EQUIPOS!$B$3:$C$18,2,0),"NO EXISTE"))</f>
        <v/>
      </c>
      <c r="E849" s="9" t="str">
        <f aca="false">IF(C849="","",IFERROR(VLOOKUP(C849,EQUIPOS!$B$3:$F$18,5,0),""))</f>
        <v/>
      </c>
      <c r="F849" s="5" t="str">
        <f aca="false">IF(C849="","",IFERROR(VLOOKUP(C849,EQUIPOS!$B$3:$G$18,6,0),""))</f>
        <v/>
      </c>
      <c r="G849" s="8"/>
      <c r="H849" s="5"/>
      <c r="I849" s="5"/>
      <c r="J849" s="9"/>
      <c r="K849" s="17" t="str">
        <f aca="false">IF(H849="","",IFERROR(SUMIFS(BD_PLAN!$I$3:$I$312,BD_PLAN!$B$3:$B$312,E849,BD_PLAN!$C$3:$C$312,INDEX(BD_CICLO!$F$3:$F$54,MATCH(E849&amp;"|"&amp;H849,BD_CICLO!$G$3:$G$54,0))),""))</f>
        <v/>
      </c>
      <c r="L849" s="9"/>
      <c r="M849" s="9"/>
      <c r="N849" s="1" t="str">
        <f aca="false">IF(C849="","",C849&amp;"|"&amp;COUNTIF(C$3:C849,C849))</f>
        <v/>
      </c>
      <c r="O849" s="1" t="str">
        <f aca="false">IF(OR(C849="",M849=""),"",C849&amp;"|"&amp;COUNTIFS(C$3:C849,C849,M$3:M849,"&lt;&gt;"))</f>
        <v/>
      </c>
    </row>
    <row r="850" customFormat="false" ht="15" hidden="false" customHeight="false" outlineLevel="0" collapsed="false">
      <c r="B850" s="7"/>
      <c r="C850" s="5"/>
      <c r="D850" s="9" t="str">
        <f aca="false">IF(C850="","",IFERROR(VLOOKUP(C850,EQUIPOS!$B$3:$C$18,2,0),"NO EXISTE"))</f>
        <v/>
      </c>
      <c r="E850" s="9" t="str">
        <f aca="false">IF(C850="","",IFERROR(VLOOKUP(C850,EQUIPOS!$B$3:$F$18,5,0),""))</f>
        <v/>
      </c>
      <c r="F850" s="5" t="str">
        <f aca="false">IF(C850="","",IFERROR(VLOOKUP(C850,EQUIPOS!$B$3:$G$18,6,0),""))</f>
        <v/>
      </c>
      <c r="G850" s="8"/>
      <c r="H850" s="5"/>
      <c r="I850" s="5"/>
      <c r="J850" s="9"/>
      <c r="K850" s="17" t="str">
        <f aca="false">IF(H850="","",IFERROR(SUMIFS(BD_PLAN!$I$3:$I$312,BD_PLAN!$B$3:$B$312,E850,BD_PLAN!$C$3:$C$312,INDEX(BD_CICLO!$F$3:$F$54,MATCH(E850&amp;"|"&amp;H850,BD_CICLO!$G$3:$G$54,0))),""))</f>
        <v/>
      </c>
      <c r="L850" s="9"/>
      <c r="M850" s="9"/>
      <c r="N850" s="1" t="str">
        <f aca="false">IF(C850="","",C850&amp;"|"&amp;COUNTIF(C$3:C850,C850))</f>
        <v/>
      </c>
      <c r="O850" s="1" t="str">
        <f aca="false">IF(OR(C850="",M850=""),"",C850&amp;"|"&amp;COUNTIFS(C$3:C850,C850,M$3:M850,"&lt;&gt;"))</f>
        <v/>
      </c>
    </row>
    <row r="851" customFormat="false" ht="15" hidden="false" customHeight="false" outlineLevel="0" collapsed="false">
      <c r="B851" s="7"/>
      <c r="C851" s="5"/>
      <c r="D851" s="9" t="str">
        <f aca="false">IF(C851="","",IFERROR(VLOOKUP(C851,EQUIPOS!$B$3:$C$18,2,0),"NO EXISTE"))</f>
        <v/>
      </c>
      <c r="E851" s="9" t="str">
        <f aca="false">IF(C851="","",IFERROR(VLOOKUP(C851,EQUIPOS!$B$3:$F$18,5,0),""))</f>
        <v/>
      </c>
      <c r="F851" s="5" t="str">
        <f aca="false">IF(C851="","",IFERROR(VLOOKUP(C851,EQUIPOS!$B$3:$G$18,6,0),""))</f>
        <v/>
      </c>
      <c r="G851" s="8"/>
      <c r="H851" s="5"/>
      <c r="I851" s="5"/>
      <c r="J851" s="9"/>
      <c r="K851" s="17" t="str">
        <f aca="false">IF(H851="","",IFERROR(SUMIFS(BD_PLAN!$I$3:$I$312,BD_PLAN!$B$3:$B$312,E851,BD_PLAN!$C$3:$C$312,INDEX(BD_CICLO!$F$3:$F$54,MATCH(E851&amp;"|"&amp;H851,BD_CICLO!$G$3:$G$54,0))),""))</f>
        <v/>
      </c>
      <c r="L851" s="9"/>
      <c r="M851" s="9"/>
      <c r="N851" s="1" t="str">
        <f aca="false">IF(C851="","",C851&amp;"|"&amp;COUNTIF(C$3:C851,C851))</f>
        <v/>
      </c>
      <c r="O851" s="1" t="str">
        <f aca="false">IF(OR(C851="",M851=""),"",C851&amp;"|"&amp;COUNTIFS(C$3:C851,C851,M$3:M851,"&lt;&gt;"))</f>
        <v/>
      </c>
    </row>
    <row r="852" customFormat="false" ht="15" hidden="false" customHeight="false" outlineLevel="0" collapsed="false">
      <c r="B852" s="7"/>
      <c r="C852" s="5"/>
      <c r="D852" s="9" t="str">
        <f aca="false">IF(C852="","",IFERROR(VLOOKUP(C852,EQUIPOS!$B$3:$C$18,2,0),"NO EXISTE"))</f>
        <v/>
      </c>
      <c r="E852" s="9" t="str">
        <f aca="false">IF(C852="","",IFERROR(VLOOKUP(C852,EQUIPOS!$B$3:$F$18,5,0),""))</f>
        <v/>
      </c>
      <c r="F852" s="5" t="str">
        <f aca="false">IF(C852="","",IFERROR(VLOOKUP(C852,EQUIPOS!$B$3:$G$18,6,0),""))</f>
        <v/>
      </c>
      <c r="G852" s="8"/>
      <c r="H852" s="5"/>
      <c r="I852" s="5"/>
      <c r="J852" s="9"/>
      <c r="K852" s="17" t="str">
        <f aca="false">IF(H852="","",IFERROR(SUMIFS(BD_PLAN!$I$3:$I$312,BD_PLAN!$B$3:$B$312,E852,BD_PLAN!$C$3:$C$312,INDEX(BD_CICLO!$F$3:$F$54,MATCH(E852&amp;"|"&amp;H852,BD_CICLO!$G$3:$G$54,0))),""))</f>
        <v/>
      </c>
      <c r="L852" s="9"/>
      <c r="M852" s="9"/>
      <c r="N852" s="1" t="str">
        <f aca="false">IF(C852="","",C852&amp;"|"&amp;COUNTIF(C$3:C852,C852))</f>
        <v/>
      </c>
      <c r="O852" s="1" t="str">
        <f aca="false">IF(OR(C852="",M852=""),"",C852&amp;"|"&amp;COUNTIFS(C$3:C852,C852,M$3:M852,"&lt;&gt;"))</f>
        <v/>
      </c>
    </row>
    <row r="853" customFormat="false" ht="15" hidden="false" customHeight="false" outlineLevel="0" collapsed="false">
      <c r="B853" s="7"/>
      <c r="C853" s="5"/>
      <c r="D853" s="9" t="str">
        <f aca="false">IF(C853="","",IFERROR(VLOOKUP(C853,EQUIPOS!$B$3:$C$18,2,0),"NO EXISTE"))</f>
        <v/>
      </c>
      <c r="E853" s="9" t="str">
        <f aca="false">IF(C853="","",IFERROR(VLOOKUP(C853,EQUIPOS!$B$3:$F$18,5,0),""))</f>
        <v/>
      </c>
      <c r="F853" s="5" t="str">
        <f aca="false">IF(C853="","",IFERROR(VLOOKUP(C853,EQUIPOS!$B$3:$G$18,6,0),""))</f>
        <v/>
      </c>
      <c r="G853" s="8"/>
      <c r="H853" s="5"/>
      <c r="I853" s="5"/>
      <c r="J853" s="9"/>
      <c r="K853" s="17" t="str">
        <f aca="false">IF(H853="","",IFERROR(SUMIFS(BD_PLAN!$I$3:$I$312,BD_PLAN!$B$3:$B$312,E853,BD_PLAN!$C$3:$C$312,INDEX(BD_CICLO!$F$3:$F$54,MATCH(E853&amp;"|"&amp;H853,BD_CICLO!$G$3:$G$54,0))),""))</f>
        <v/>
      </c>
      <c r="L853" s="9"/>
      <c r="M853" s="9"/>
      <c r="N853" s="1" t="str">
        <f aca="false">IF(C853="","",C853&amp;"|"&amp;COUNTIF(C$3:C853,C853))</f>
        <v/>
      </c>
      <c r="O853" s="1" t="str">
        <f aca="false">IF(OR(C853="",M853=""),"",C853&amp;"|"&amp;COUNTIFS(C$3:C853,C853,M$3:M853,"&lt;&gt;"))</f>
        <v/>
      </c>
    </row>
    <row r="854" customFormat="false" ht="15" hidden="false" customHeight="false" outlineLevel="0" collapsed="false">
      <c r="B854" s="7"/>
      <c r="C854" s="5"/>
      <c r="D854" s="9" t="str">
        <f aca="false">IF(C854="","",IFERROR(VLOOKUP(C854,EQUIPOS!$B$3:$C$18,2,0),"NO EXISTE"))</f>
        <v/>
      </c>
      <c r="E854" s="9" t="str">
        <f aca="false">IF(C854="","",IFERROR(VLOOKUP(C854,EQUIPOS!$B$3:$F$18,5,0),""))</f>
        <v/>
      </c>
      <c r="F854" s="5" t="str">
        <f aca="false">IF(C854="","",IFERROR(VLOOKUP(C854,EQUIPOS!$B$3:$G$18,6,0),""))</f>
        <v/>
      </c>
      <c r="G854" s="8"/>
      <c r="H854" s="5"/>
      <c r="I854" s="5"/>
      <c r="J854" s="9"/>
      <c r="K854" s="17" t="str">
        <f aca="false">IF(H854="","",IFERROR(SUMIFS(BD_PLAN!$I$3:$I$312,BD_PLAN!$B$3:$B$312,E854,BD_PLAN!$C$3:$C$312,INDEX(BD_CICLO!$F$3:$F$54,MATCH(E854&amp;"|"&amp;H854,BD_CICLO!$G$3:$G$54,0))),""))</f>
        <v/>
      </c>
      <c r="L854" s="9"/>
      <c r="M854" s="9"/>
      <c r="N854" s="1" t="str">
        <f aca="false">IF(C854="","",C854&amp;"|"&amp;COUNTIF(C$3:C854,C854))</f>
        <v/>
      </c>
      <c r="O854" s="1" t="str">
        <f aca="false">IF(OR(C854="",M854=""),"",C854&amp;"|"&amp;COUNTIFS(C$3:C854,C854,M$3:M854,"&lt;&gt;"))</f>
        <v/>
      </c>
    </row>
    <row r="855" customFormat="false" ht="15" hidden="false" customHeight="false" outlineLevel="0" collapsed="false">
      <c r="B855" s="7"/>
      <c r="C855" s="5"/>
      <c r="D855" s="9" t="str">
        <f aca="false">IF(C855="","",IFERROR(VLOOKUP(C855,EQUIPOS!$B$3:$C$18,2,0),"NO EXISTE"))</f>
        <v/>
      </c>
      <c r="E855" s="9" t="str">
        <f aca="false">IF(C855="","",IFERROR(VLOOKUP(C855,EQUIPOS!$B$3:$F$18,5,0),""))</f>
        <v/>
      </c>
      <c r="F855" s="5" t="str">
        <f aca="false">IF(C855="","",IFERROR(VLOOKUP(C855,EQUIPOS!$B$3:$G$18,6,0),""))</f>
        <v/>
      </c>
      <c r="G855" s="8"/>
      <c r="H855" s="5"/>
      <c r="I855" s="5"/>
      <c r="J855" s="9"/>
      <c r="K855" s="17" t="str">
        <f aca="false">IF(H855="","",IFERROR(SUMIFS(BD_PLAN!$I$3:$I$312,BD_PLAN!$B$3:$B$312,E855,BD_PLAN!$C$3:$C$312,INDEX(BD_CICLO!$F$3:$F$54,MATCH(E855&amp;"|"&amp;H855,BD_CICLO!$G$3:$G$54,0))),""))</f>
        <v/>
      </c>
      <c r="L855" s="9"/>
      <c r="M855" s="9"/>
      <c r="N855" s="1" t="str">
        <f aca="false">IF(C855="","",C855&amp;"|"&amp;COUNTIF(C$3:C855,C855))</f>
        <v/>
      </c>
      <c r="O855" s="1" t="str">
        <f aca="false">IF(OR(C855="",M855=""),"",C855&amp;"|"&amp;COUNTIFS(C$3:C855,C855,M$3:M855,"&lt;&gt;"))</f>
        <v/>
      </c>
    </row>
    <row r="856" customFormat="false" ht="15" hidden="false" customHeight="false" outlineLevel="0" collapsed="false">
      <c r="B856" s="7"/>
      <c r="C856" s="5"/>
      <c r="D856" s="9" t="str">
        <f aca="false">IF(C856="","",IFERROR(VLOOKUP(C856,EQUIPOS!$B$3:$C$18,2,0),"NO EXISTE"))</f>
        <v/>
      </c>
      <c r="E856" s="9" t="str">
        <f aca="false">IF(C856="","",IFERROR(VLOOKUP(C856,EQUIPOS!$B$3:$F$18,5,0),""))</f>
        <v/>
      </c>
      <c r="F856" s="5" t="str">
        <f aca="false">IF(C856="","",IFERROR(VLOOKUP(C856,EQUIPOS!$B$3:$G$18,6,0),""))</f>
        <v/>
      </c>
      <c r="G856" s="8"/>
      <c r="H856" s="5"/>
      <c r="I856" s="5"/>
      <c r="J856" s="9"/>
      <c r="K856" s="17" t="str">
        <f aca="false">IF(H856="","",IFERROR(SUMIFS(BD_PLAN!$I$3:$I$312,BD_PLAN!$B$3:$B$312,E856,BD_PLAN!$C$3:$C$312,INDEX(BD_CICLO!$F$3:$F$54,MATCH(E856&amp;"|"&amp;H856,BD_CICLO!$G$3:$G$54,0))),""))</f>
        <v/>
      </c>
      <c r="L856" s="9"/>
      <c r="M856" s="9"/>
      <c r="N856" s="1" t="str">
        <f aca="false">IF(C856="","",C856&amp;"|"&amp;COUNTIF(C$3:C856,C856))</f>
        <v/>
      </c>
      <c r="O856" s="1" t="str">
        <f aca="false">IF(OR(C856="",M856=""),"",C856&amp;"|"&amp;COUNTIFS(C$3:C856,C856,M$3:M856,"&lt;&gt;"))</f>
        <v/>
      </c>
    </row>
    <row r="857" customFormat="false" ht="15" hidden="false" customHeight="false" outlineLevel="0" collapsed="false">
      <c r="B857" s="7"/>
      <c r="C857" s="5"/>
      <c r="D857" s="9" t="str">
        <f aca="false">IF(C857="","",IFERROR(VLOOKUP(C857,EQUIPOS!$B$3:$C$18,2,0),"NO EXISTE"))</f>
        <v/>
      </c>
      <c r="E857" s="9" t="str">
        <f aca="false">IF(C857="","",IFERROR(VLOOKUP(C857,EQUIPOS!$B$3:$F$18,5,0),""))</f>
        <v/>
      </c>
      <c r="F857" s="5" t="str">
        <f aca="false">IF(C857="","",IFERROR(VLOOKUP(C857,EQUIPOS!$B$3:$G$18,6,0),""))</f>
        <v/>
      </c>
      <c r="G857" s="8"/>
      <c r="H857" s="5"/>
      <c r="I857" s="5"/>
      <c r="J857" s="9"/>
      <c r="K857" s="17" t="str">
        <f aca="false">IF(H857="","",IFERROR(SUMIFS(BD_PLAN!$I$3:$I$312,BD_PLAN!$B$3:$B$312,E857,BD_PLAN!$C$3:$C$312,INDEX(BD_CICLO!$F$3:$F$54,MATCH(E857&amp;"|"&amp;H857,BD_CICLO!$G$3:$G$54,0))),""))</f>
        <v/>
      </c>
      <c r="L857" s="9"/>
      <c r="M857" s="9"/>
      <c r="N857" s="1" t="str">
        <f aca="false">IF(C857="","",C857&amp;"|"&amp;COUNTIF(C$3:C857,C857))</f>
        <v/>
      </c>
      <c r="O857" s="1" t="str">
        <f aca="false">IF(OR(C857="",M857=""),"",C857&amp;"|"&amp;COUNTIFS(C$3:C857,C857,M$3:M857,"&lt;&gt;"))</f>
        <v/>
      </c>
    </row>
    <row r="858" customFormat="false" ht="15" hidden="false" customHeight="false" outlineLevel="0" collapsed="false">
      <c r="B858" s="7"/>
      <c r="C858" s="5"/>
      <c r="D858" s="9" t="str">
        <f aca="false">IF(C858="","",IFERROR(VLOOKUP(C858,EQUIPOS!$B$3:$C$18,2,0),"NO EXISTE"))</f>
        <v/>
      </c>
      <c r="E858" s="9" t="str">
        <f aca="false">IF(C858="","",IFERROR(VLOOKUP(C858,EQUIPOS!$B$3:$F$18,5,0),""))</f>
        <v/>
      </c>
      <c r="F858" s="5" t="str">
        <f aca="false">IF(C858="","",IFERROR(VLOOKUP(C858,EQUIPOS!$B$3:$G$18,6,0),""))</f>
        <v/>
      </c>
      <c r="G858" s="8"/>
      <c r="H858" s="5"/>
      <c r="I858" s="5"/>
      <c r="J858" s="9"/>
      <c r="K858" s="17" t="str">
        <f aca="false">IF(H858="","",IFERROR(SUMIFS(BD_PLAN!$I$3:$I$312,BD_PLAN!$B$3:$B$312,E858,BD_PLAN!$C$3:$C$312,INDEX(BD_CICLO!$F$3:$F$54,MATCH(E858&amp;"|"&amp;H858,BD_CICLO!$G$3:$G$54,0))),""))</f>
        <v/>
      </c>
      <c r="L858" s="9"/>
      <c r="M858" s="9"/>
      <c r="N858" s="1" t="str">
        <f aca="false">IF(C858="","",C858&amp;"|"&amp;COUNTIF(C$3:C858,C858))</f>
        <v/>
      </c>
      <c r="O858" s="1" t="str">
        <f aca="false">IF(OR(C858="",M858=""),"",C858&amp;"|"&amp;COUNTIFS(C$3:C858,C858,M$3:M858,"&lt;&gt;"))</f>
        <v/>
      </c>
    </row>
    <row r="859" customFormat="false" ht="15" hidden="false" customHeight="false" outlineLevel="0" collapsed="false">
      <c r="B859" s="7"/>
      <c r="C859" s="5"/>
      <c r="D859" s="9" t="str">
        <f aca="false">IF(C859="","",IFERROR(VLOOKUP(C859,EQUIPOS!$B$3:$C$18,2,0),"NO EXISTE"))</f>
        <v/>
      </c>
      <c r="E859" s="9" t="str">
        <f aca="false">IF(C859="","",IFERROR(VLOOKUP(C859,EQUIPOS!$B$3:$F$18,5,0),""))</f>
        <v/>
      </c>
      <c r="F859" s="5" t="str">
        <f aca="false">IF(C859="","",IFERROR(VLOOKUP(C859,EQUIPOS!$B$3:$G$18,6,0),""))</f>
        <v/>
      </c>
      <c r="G859" s="8"/>
      <c r="H859" s="5"/>
      <c r="I859" s="5"/>
      <c r="J859" s="9"/>
      <c r="K859" s="17" t="str">
        <f aca="false">IF(H859="","",IFERROR(SUMIFS(BD_PLAN!$I$3:$I$312,BD_PLAN!$B$3:$B$312,E859,BD_PLAN!$C$3:$C$312,INDEX(BD_CICLO!$F$3:$F$54,MATCH(E859&amp;"|"&amp;H859,BD_CICLO!$G$3:$G$54,0))),""))</f>
        <v/>
      </c>
      <c r="L859" s="9"/>
      <c r="M859" s="9"/>
      <c r="N859" s="1" t="str">
        <f aca="false">IF(C859="","",C859&amp;"|"&amp;COUNTIF(C$3:C859,C859))</f>
        <v/>
      </c>
      <c r="O859" s="1" t="str">
        <f aca="false">IF(OR(C859="",M859=""),"",C859&amp;"|"&amp;COUNTIFS(C$3:C859,C859,M$3:M859,"&lt;&gt;"))</f>
        <v/>
      </c>
    </row>
    <row r="860" customFormat="false" ht="15" hidden="false" customHeight="false" outlineLevel="0" collapsed="false">
      <c r="B860" s="7"/>
      <c r="C860" s="5"/>
      <c r="D860" s="9" t="str">
        <f aca="false">IF(C860="","",IFERROR(VLOOKUP(C860,EQUIPOS!$B$3:$C$18,2,0),"NO EXISTE"))</f>
        <v/>
      </c>
      <c r="E860" s="9" t="str">
        <f aca="false">IF(C860="","",IFERROR(VLOOKUP(C860,EQUIPOS!$B$3:$F$18,5,0),""))</f>
        <v/>
      </c>
      <c r="F860" s="5" t="str">
        <f aca="false">IF(C860="","",IFERROR(VLOOKUP(C860,EQUIPOS!$B$3:$G$18,6,0),""))</f>
        <v/>
      </c>
      <c r="G860" s="8"/>
      <c r="H860" s="5"/>
      <c r="I860" s="5"/>
      <c r="J860" s="9"/>
      <c r="K860" s="17" t="str">
        <f aca="false">IF(H860="","",IFERROR(SUMIFS(BD_PLAN!$I$3:$I$312,BD_PLAN!$B$3:$B$312,E860,BD_PLAN!$C$3:$C$312,INDEX(BD_CICLO!$F$3:$F$54,MATCH(E860&amp;"|"&amp;H860,BD_CICLO!$G$3:$G$54,0))),""))</f>
        <v/>
      </c>
      <c r="L860" s="9"/>
      <c r="M860" s="9"/>
      <c r="N860" s="1" t="str">
        <f aca="false">IF(C860="","",C860&amp;"|"&amp;COUNTIF(C$3:C860,C860))</f>
        <v/>
      </c>
      <c r="O860" s="1" t="str">
        <f aca="false">IF(OR(C860="",M860=""),"",C860&amp;"|"&amp;COUNTIFS(C$3:C860,C860,M$3:M860,"&lt;&gt;"))</f>
        <v/>
      </c>
    </row>
    <row r="861" customFormat="false" ht="15" hidden="false" customHeight="false" outlineLevel="0" collapsed="false">
      <c r="B861" s="7"/>
      <c r="C861" s="5"/>
      <c r="D861" s="9" t="str">
        <f aca="false">IF(C861="","",IFERROR(VLOOKUP(C861,EQUIPOS!$B$3:$C$18,2,0),"NO EXISTE"))</f>
        <v/>
      </c>
      <c r="E861" s="9" t="str">
        <f aca="false">IF(C861="","",IFERROR(VLOOKUP(C861,EQUIPOS!$B$3:$F$18,5,0),""))</f>
        <v/>
      </c>
      <c r="F861" s="5" t="str">
        <f aca="false">IF(C861="","",IFERROR(VLOOKUP(C861,EQUIPOS!$B$3:$G$18,6,0),""))</f>
        <v/>
      </c>
      <c r="G861" s="8"/>
      <c r="H861" s="5"/>
      <c r="I861" s="5"/>
      <c r="J861" s="9"/>
      <c r="K861" s="17" t="str">
        <f aca="false">IF(H861="","",IFERROR(SUMIFS(BD_PLAN!$I$3:$I$312,BD_PLAN!$B$3:$B$312,E861,BD_PLAN!$C$3:$C$312,INDEX(BD_CICLO!$F$3:$F$54,MATCH(E861&amp;"|"&amp;H861,BD_CICLO!$G$3:$G$54,0))),""))</f>
        <v/>
      </c>
      <c r="L861" s="9"/>
      <c r="M861" s="9"/>
      <c r="N861" s="1" t="str">
        <f aca="false">IF(C861="","",C861&amp;"|"&amp;COUNTIF(C$3:C861,C861))</f>
        <v/>
      </c>
      <c r="O861" s="1" t="str">
        <f aca="false">IF(OR(C861="",M861=""),"",C861&amp;"|"&amp;COUNTIFS(C$3:C861,C861,M$3:M861,"&lt;&gt;"))</f>
        <v/>
      </c>
    </row>
    <row r="862" customFormat="false" ht="15" hidden="false" customHeight="false" outlineLevel="0" collapsed="false">
      <c r="B862" s="7"/>
      <c r="C862" s="5"/>
      <c r="D862" s="9" t="str">
        <f aca="false">IF(C862="","",IFERROR(VLOOKUP(C862,EQUIPOS!$B$3:$C$18,2,0),"NO EXISTE"))</f>
        <v/>
      </c>
      <c r="E862" s="9" t="str">
        <f aca="false">IF(C862="","",IFERROR(VLOOKUP(C862,EQUIPOS!$B$3:$F$18,5,0),""))</f>
        <v/>
      </c>
      <c r="F862" s="5" t="str">
        <f aca="false">IF(C862="","",IFERROR(VLOOKUP(C862,EQUIPOS!$B$3:$G$18,6,0),""))</f>
        <v/>
      </c>
      <c r="G862" s="8"/>
      <c r="H862" s="5"/>
      <c r="I862" s="5"/>
      <c r="J862" s="9"/>
      <c r="K862" s="17" t="str">
        <f aca="false">IF(H862="","",IFERROR(SUMIFS(BD_PLAN!$I$3:$I$312,BD_PLAN!$B$3:$B$312,E862,BD_PLAN!$C$3:$C$312,INDEX(BD_CICLO!$F$3:$F$54,MATCH(E862&amp;"|"&amp;H862,BD_CICLO!$G$3:$G$54,0))),""))</f>
        <v/>
      </c>
      <c r="L862" s="9"/>
      <c r="M862" s="9"/>
      <c r="N862" s="1" t="str">
        <f aca="false">IF(C862="","",C862&amp;"|"&amp;COUNTIF(C$3:C862,C862))</f>
        <v/>
      </c>
      <c r="O862" s="1" t="str">
        <f aca="false">IF(OR(C862="",M862=""),"",C862&amp;"|"&amp;COUNTIFS(C$3:C862,C862,M$3:M862,"&lt;&gt;"))</f>
        <v/>
      </c>
    </row>
    <row r="863" customFormat="false" ht="15" hidden="false" customHeight="false" outlineLevel="0" collapsed="false">
      <c r="B863" s="7"/>
      <c r="C863" s="5"/>
      <c r="D863" s="9" t="str">
        <f aca="false">IF(C863="","",IFERROR(VLOOKUP(C863,EQUIPOS!$B$3:$C$18,2,0),"NO EXISTE"))</f>
        <v/>
      </c>
      <c r="E863" s="9" t="str">
        <f aca="false">IF(C863="","",IFERROR(VLOOKUP(C863,EQUIPOS!$B$3:$F$18,5,0),""))</f>
        <v/>
      </c>
      <c r="F863" s="5" t="str">
        <f aca="false">IF(C863="","",IFERROR(VLOOKUP(C863,EQUIPOS!$B$3:$G$18,6,0),""))</f>
        <v/>
      </c>
      <c r="G863" s="8"/>
      <c r="H863" s="5"/>
      <c r="I863" s="5"/>
      <c r="J863" s="9"/>
      <c r="K863" s="17" t="str">
        <f aca="false">IF(H863="","",IFERROR(SUMIFS(BD_PLAN!$I$3:$I$312,BD_PLAN!$B$3:$B$312,E863,BD_PLAN!$C$3:$C$312,INDEX(BD_CICLO!$F$3:$F$54,MATCH(E863&amp;"|"&amp;H863,BD_CICLO!$G$3:$G$54,0))),""))</f>
        <v/>
      </c>
      <c r="L863" s="9"/>
      <c r="M863" s="9"/>
      <c r="N863" s="1" t="str">
        <f aca="false">IF(C863="","",C863&amp;"|"&amp;COUNTIF(C$3:C863,C863))</f>
        <v/>
      </c>
      <c r="O863" s="1" t="str">
        <f aca="false">IF(OR(C863="",M863=""),"",C863&amp;"|"&amp;COUNTIFS(C$3:C863,C863,M$3:M863,"&lt;&gt;"))</f>
        <v/>
      </c>
    </row>
    <row r="864" customFormat="false" ht="15" hidden="false" customHeight="false" outlineLevel="0" collapsed="false">
      <c r="B864" s="7"/>
      <c r="C864" s="5"/>
      <c r="D864" s="9" t="str">
        <f aca="false">IF(C864="","",IFERROR(VLOOKUP(C864,EQUIPOS!$B$3:$C$18,2,0),"NO EXISTE"))</f>
        <v/>
      </c>
      <c r="E864" s="9" t="str">
        <f aca="false">IF(C864="","",IFERROR(VLOOKUP(C864,EQUIPOS!$B$3:$F$18,5,0),""))</f>
        <v/>
      </c>
      <c r="F864" s="5" t="str">
        <f aca="false">IF(C864="","",IFERROR(VLOOKUP(C864,EQUIPOS!$B$3:$G$18,6,0),""))</f>
        <v/>
      </c>
      <c r="G864" s="8"/>
      <c r="H864" s="5"/>
      <c r="I864" s="5"/>
      <c r="J864" s="9"/>
      <c r="K864" s="17" t="str">
        <f aca="false">IF(H864="","",IFERROR(SUMIFS(BD_PLAN!$I$3:$I$312,BD_PLAN!$B$3:$B$312,E864,BD_PLAN!$C$3:$C$312,INDEX(BD_CICLO!$F$3:$F$54,MATCH(E864&amp;"|"&amp;H864,BD_CICLO!$G$3:$G$54,0))),""))</f>
        <v/>
      </c>
      <c r="L864" s="9"/>
      <c r="M864" s="9"/>
      <c r="N864" s="1" t="str">
        <f aca="false">IF(C864="","",C864&amp;"|"&amp;COUNTIF(C$3:C864,C864))</f>
        <v/>
      </c>
      <c r="O864" s="1" t="str">
        <f aca="false">IF(OR(C864="",M864=""),"",C864&amp;"|"&amp;COUNTIFS(C$3:C864,C864,M$3:M864,"&lt;&gt;"))</f>
        <v/>
      </c>
    </row>
    <row r="865" customFormat="false" ht="15" hidden="false" customHeight="false" outlineLevel="0" collapsed="false">
      <c r="B865" s="7"/>
      <c r="C865" s="5"/>
      <c r="D865" s="9" t="str">
        <f aca="false">IF(C865="","",IFERROR(VLOOKUP(C865,EQUIPOS!$B$3:$C$18,2,0),"NO EXISTE"))</f>
        <v/>
      </c>
      <c r="E865" s="9" t="str">
        <f aca="false">IF(C865="","",IFERROR(VLOOKUP(C865,EQUIPOS!$B$3:$F$18,5,0),""))</f>
        <v/>
      </c>
      <c r="F865" s="5" t="str">
        <f aca="false">IF(C865="","",IFERROR(VLOOKUP(C865,EQUIPOS!$B$3:$G$18,6,0),""))</f>
        <v/>
      </c>
      <c r="G865" s="8"/>
      <c r="H865" s="5"/>
      <c r="I865" s="5"/>
      <c r="J865" s="9"/>
      <c r="K865" s="17" t="str">
        <f aca="false">IF(H865="","",IFERROR(SUMIFS(BD_PLAN!$I$3:$I$312,BD_PLAN!$B$3:$B$312,E865,BD_PLAN!$C$3:$C$312,INDEX(BD_CICLO!$F$3:$F$54,MATCH(E865&amp;"|"&amp;H865,BD_CICLO!$G$3:$G$54,0))),""))</f>
        <v/>
      </c>
      <c r="L865" s="9"/>
      <c r="M865" s="9"/>
      <c r="N865" s="1" t="str">
        <f aca="false">IF(C865="","",C865&amp;"|"&amp;COUNTIF(C$3:C865,C865))</f>
        <v/>
      </c>
      <c r="O865" s="1" t="str">
        <f aca="false">IF(OR(C865="",M865=""),"",C865&amp;"|"&amp;COUNTIFS(C$3:C865,C865,M$3:M865,"&lt;&gt;"))</f>
        <v/>
      </c>
    </row>
    <row r="866" customFormat="false" ht="15" hidden="false" customHeight="false" outlineLevel="0" collapsed="false">
      <c r="B866" s="7"/>
      <c r="C866" s="5"/>
      <c r="D866" s="9" t="str">
        <f aca="false">IF(C866="","",IFERROR(VLOOKUP(C866,EQUIPOS!$B$3:$C$18,2,0),"NO EXISTE"))</f>
        <v/>
      </c>
      <c r="E866" s="9" t="str">
        <f aca="false">IF(C866="","",IFERROR(VLOOKUP(C866,EQUIPOS!$B$3:$F$18,5,0),""))</f>
        <v/>
      </c>
      <c r="F866" s="5" t="str">
        <f aca="false">IF(C866="","",IFERROR(VLOOKUP(C866,EQUIPOS!$B$3:$G$18,6,0),""))</f>
        <v/>
      </c>
      <c r="G866" s="8"/>
      <c r="H866" s="5"/>
      <c r="I866" s="5"/>
      <c r="J866" s="9"/>
      <c r="K866" s="17" t="str">
        <f aca="false">IF(H866="","",IFERROR(SUMIFS(BD_PLAN!$I$3:$I$312,BD_PLAN!$B$3:$B$312,E866,BD_PLAN!$C$3:$C$312,INDEX(BD_CICLO!$F$3:$F$54,MATCH(E866&amp;"|"&amp;H866,BD_CICLO!$G$3:$G$54,0))),""))</f>
        <v/>
      </c>
      <c r="L866" s="9"/>
      <c r="M866" s="9"/>
      <c r="N866" s="1" t="str">
        <f aca="false">IF(C866="","",C866&amp;"|"&amp;COUNTIF(C$3:C866,C866))</f>
        <v/>
      </c>
      <c r="O866" s="1" t="str">
        <f aca="false">IF(OR(C866="",M866=""),"",C866&amp;"|"&amp;COUNTIFS(C$3:C866,C866,M$3:M866,"&lt;&gt;"))</f>
        <v/>
      </c>
    </row>
    <row r="867" customFormat="false" ht="15" hidden="false" customHeight="false" outlineLevel="0" collapsed="false">
      <c r="B867" s="7"/>
      <c r="C867" s="5"/>
      <c r="D867" s="9" t="str">
        <f aca="false">IF(C867="","",IFERROR(VLOOKUP(C867,EQUIPOS!$B$3:$C$18,2,0),"NO EXISTE"))</f>
        <v/>
      </c>
      <c r="E867" s="9" t="str">
        <f aca="false">IF(C867="","",IFERROR(VLOOKUP(C867,EQUIPOS!$B$3:$F$18,5,0),""))</f>
        <v/>
      </c>
      <c r="F867" s="5" t="str">
        <f aca="false">IF(C867="","",IFERROR(VLOOKUP(C867,EQUIPOS!$B$3:$G$18,6,0),""))</f>
        <v/>
      </c>
      <c r="G867" s="8"/>
      <c r="H867" s="5"/>
      <c r="I867" s="5"/>
      <c r="J867" s="9"/>
      <c r="K867" s="17" t="str">
        <f aca="false">IF(H867="","",IFERROR(SUMIFS(BD_PLAN!$I$3:$I$312,BD_PLAN!$B$3:$B$312,E867,BD_PLAN!$C$3:$C$312,INDEX(BD_CICLO!$F$3:$F$54,MATCH(E867&amp;"|"&amp;H867,BD_CICLO!$G$3:$G$54,0))),""))</f>
        <v/>
      </c>
      <c r="L867" s="9"/>
      <c r="M867" s="9"/>
      <c r="N867" s="1" t="str">
        <f aca="false">IF(C867="","",C867&amp;"|"&amp;COUNTIF(C$3:C867,C867))</f>
        <v/>
      </c>
      <c r="O867" s="1" t="str">
        <f aca="false">IF(OR(C867="",M867=""),"",C867&amp;"|"&amp;COUNTIFS(C$3:C867,C867,M$3:M867,"&lt;&gt;"))</f>
        <v/>
      </c>
    </row>
    <row r="868" customFormat="false" ht="15" hidden="false" customHeight="false" outlineLevel="0" collapsed="false">
      <c r="B868" s="7"/>
      <c r="C868" s="5"/>
      <c r="D868" s="9" t="str">
        <f aca="false">IF(C868="","",IFERROR(VLOOKUP(C868,EQUIPOS!$B$3:$C$18,2,0),"NO EXISTE"))</f>
        <v/>
      </c>
      <c r="E868" s="9" t="str">
        <f aca="false">IF(C868="","",IFERROR(VLOOKUP(C868,EQUIPOS!$B$3:$F$18,5,0),""))</f>
        <v/>
      </c>
      <c r="F868" s="5" t="str">
        <f aca="false">IF(C868="","",IFERROR(VLOOKUP(C868,EQUIPOS!$B$3:$G$18,6,0),""))</f>
        <v/>
      </c>
      <c r="G868" s="8"/>
      <c r="H868" s="5"/>
      <c r="I868" s="5"/>
      <c r="J868" s="9"/>
      <c r="K868" s="17" t="str">
        <f aca="false">IF(H868="","",IFERROR(SUMIFS(BD_PLAN!$I$3:$I$312,BD_PLAN!$B$3:$B$312,E868,BD_PLAN!$C$3:$C$312,INDEX(BD_CICLO!$F$3:$F$54,MATCH(E868&amp;"|"&amp;H868,BD_CICLO!$G$3:$G$54,0))),""))</f>
        <v/>
      </c>
      <c r="L868" s="9"/>
      <c r="M868" s="9"/>
      <c r="N868" s="1" t="str">
        <f aca="false">IF(C868="","",C868&amp;"|"&amp;COUNTIF(C$3:C868,C868))</f>
        <v/>
      </c>
      <c r="O868" s="1" t="str">
        <f aca="false">IF(OR(C868="",M868=""),"",C868&amp;"|"&amp;COUNTIFS(C$3:C868,C868,M$3:M868,"&lt;&gt;"))</f>
        <v/>
      </c>
    </row>
    <row r="869" customFormat="false" ht="15" hidden="false" customHeight="false" outlineLevel="0" collapsed="false">
      <c r="B869" s="7"/>
      <c r="C869" s="5"/>
      <c r="D869" s="9" t="str">
        <f aca="false">IF(C869="","",IFERROR(VLOOKUP(C869,EQUIPOS!$B$3:$C$18,2,0),"NO EXISTE"))</f>
        <v/>
      </c>
      <c r="E869" s="9" t="str">
        <f aca="false">IF(C869="","",IFERROR(VLOOKUP(C869,EQUIPOS!$B$3:$F$18,5,0),""))</f>
        <v/>
      </c>
      <c r="F869" s="5" t="str">
        <f aca="false">IF(C869="","",IFERROR(VLOOKUP(C869,EQUIPOS!$B$3:$G$18,6,0),""))</f>
        <v/>
      </c>
      <c r="G869" s="8"/>
      <c r="H869" s="5"/>
      <c r="I869" s="5"/>
      <c r="J869" s="9"/>
      <c r="K869" s="17" t="str">
        <f aca="false">IF(H869="","",IFERROR(SUMIFS(BD_PLAN!$I$3:$I$312,BD_PLAN!$B$3:$B$312,E869,BD_PLAN!$C$3:$C$312,INDEX(BD_CICLO!$F$3:$F$54,MATCH(E869&amp;"|"&amp;H869,BD_CICLO!$G$3:$G$54,0))),""))</f>
        <v/>
      </c>
      <c r="L869" s="9"/>
      <c r="M869" s="9"/>
      <c r="N869" s="1" t="str">
        <f aca="false">IF(C869="","",C869&amp;"|"&amp;COUNTIF(C$3:C869,C869))</f>
        <v/>
      </c>
      <c r="O869" s="1" t="str">
        <f aca="false">IF(OR(C869="",M869=""),"",C869&amp;"|"&amp;COUNTIFS(C$3:C869,C869,M$3:M869,"&lt;&gt;"))</f>
        <v/>
      </c>
    </row>
    <row r="870" customFormat="false" ht="15" hidden="false" customHeight="false" outlineLevel="0" collapsed="false">
      <c r="B870" s="7"/>
      <c r="C870" s="5"/>
      <c r="D870" s="9" t="str">
        <f aca="false">IF(C870="","",IFERROR(VLOOKUP(C870,EQUIPOS!$B$3:$C$18,2,0),"NO EXISTE"))</f>
        <v/>
      </c>
      <c r="E870" s="9" t="str">
        <f aca="false">IF(C870="","",IFERROR(VLOOKUP(C870,EQUIPOS!$B$3:$F$18,5,0),""))</f>
        <v/>
      </c>
      <c r="F870" s="5" t="str">
        <f aca="false">IF(C870="","",IFERROR(VLOOKUP(C870,EQUIPOS!$B$3:$G$18,6,0),""))</f>
        <v/>
      </c>
      <c r="G870" s="8"/>
      <c r="H870" s="5"/>
      <c r="I870" s="5"/>
      <c r="J870" s="9"/>
      <c r="K870" s="17" t="str">
        <f aca="false">IF(H870="","",IFERROR(SUMIFS(BD_PLAN!$I$3:$I$312,BD_PLAN!$B$3:$B$312,E870,BD_PLAN!$C$3:$C$312,INDEX(BD_CICLO!$F$3:$F$54,MATCH(E870&amp;"|"&amp;H870,BD_CICLO!$G$3:$G$54,0))),""))</f>
        <v/>
      </c>
      <c r="L870" s="9"/>
      <c r="M870" s="9"/>
      <c r="N870" s="1" t="str">
        <f aca="false">IF(C870="","",C870&amp;"|"&amp;COUNTIF(C$3:C870,C870))</f>
        <v/>
      </c>
      <c r="O870" s="1" t="str">
        <f aca="false">IF(OR(C870="",M870=""),"",C870&amp;"|"&amp;COUNTIFS(C$3:C870,C870,M$3:M870,"&lt;&gt;"))</f>
        <v/>
      </c>
    </row>
    <row r="871" customFormat="false" ht="15" hidden="false" customHeight="false" outlineLevel="0" collapsed="false">
      <c r="B871" s="7"/>
      <c r="C871" s="5"/>
      <c r="D871" s="9" t="str">
        <f aca="false">IF(C871="","",IFERROR(VLOOKUP(C871,EQUIPOS!$B$3:$C$18,2,0),"NO EXISTE"))</f>
        <v/>
      </c>
      <c r="E871" s="9" t="str">
        <f aca="false">IF(C871="","",IFERROR(VLOOKUP(C871,EQUIPOS!$B$3:$F$18,5,0),""))</f>
        <v/>
      </c>
      <c r="F871" s="5" t="str">
        <f aca="false">IF(C871="","",IFERROR(VLOOKUP(C871,EQUIPOS!$B$3:$G$18,6,0),""))</f>
        <v/>
      </c>
      <c r="G871" s="8"/>
      <c r="H871" s="5"/>
      <c r="I871" s="5"/>
      <c r="J871" s="9"/>
      <c r="K871" s="17" t="str">
        <f aca="false">IF(H871="","",IFERROR(SUMIFS(BD_PLAN!$I$3:$I$312,BD_PLAN!$B$3:$B$312,E871,BD_PLAN!$C$3:$C$312,INDEX(BD_CICLO!$F$3:$F$54,MATCH(E871&amp;"|"&amp;H871,BD_CICLO!$G$3:$G$54,0))),""))</f>
        <v/>
      </c>
      <c r="L871" s="9"/>
      <c r="M871" s="9"/>
      <c r="N871" s="1" t="str">
        <f aca="false">IF(C871="","",C871&amp;"|"&amp;COUNTIF(C$3:C871,C871))</f>
        <v/>
      </c>
      <c r="O871" s="1" t="str">
        <f aca="false">IF(OR(C871="",M871=""),"",C871&amp;"|"&amp;COUNTIFS(C$3:C871,C871,M$3:M871,"&lt;&gt;"))</f>
        <v/>
      </c>
    </row>
    <row r="872" customFormat="false" ht="15" hidden="false" customHeight="false" outlineLevel="0" collapsed="false">
      <c r="B872" s="7"/>
      <c r="C872" s="5"/>
      <c r="D872" s="9" t="str">
        <f aca="false">IF(C872="","",IFERROR(VLOOKUP(C872,EQUIPOS!$B$3:$C$18,2,0),"NO EXISTE"))</f>
        <v/>
      </c>
      <c r="E872" s="9" t="str">
        <f aca="false">IF(C872="","",IFERROR(VLOOKUP(C872,EQUIPOS!$B$3:$F$18,5,0),""))</f>
        <v/>
      </c>
      <c r="F872" s="5" t="str">
        <f aca="false">IF(C872="","",IFERROR(VLOOKUP(C872,EQUIPOS!$B$3:$G$18,6,0),""))</f>
        <v/>
      </c>
      <c r="G872" s="8"/>
      <c r="H872" s="5"/>
      <c r="I872" s="5"/>
      <c r="J872" s="9"/>
      <c r="K872" s="17" t="str">
        <f aca="false">IF(H872="","",IFERROR(SUMIFS(BD_PLAN!$I$3:$I$312,BD_PLAN!$B$3:$B$312,E872,BD_PLAN!$C$3:$C$312,INDEX(BD_CICLO!$F$3:$F$54,MATCH(E872&amp;"|"&amp;H872,BD_CICLO!$G$3:$G$54,0))),""))</f>
        <v/>
      </c>
      <c r="L872" s="9"/>
      <c r="M872" s="9"/>
      <c r="N872" s="1" t="str">
        <f aca="false">IF(C872="","",C872&amp;"|"&amp;COUNTIF(C$3:C872,C872))</f>
        <v/>
      </c>
      <c r="O872" s="1" t="str">
        <f aca="false">IF(OR(C872="",M872=""),"",C872&amp;"|"&amp;COUNTIFS(C$3:C872,C872,M$3:M872,"&lt;&gt;"))</f>
        <v/>
      </c>
    </row>
    <row r="873" customFormat="false" ht="15" hidden="false" customHeight="false" outlineLevel="0" collapsed="false">
      <c r="B873" s="7"/>
      <c r="C873" s="5"/>
      <c r="D873" s="9" t="str">
        <f aca="false">IF(C873="","",IFERROR(VLOOKUP(C873,EQUIPOS!$B$3:$C$18,2,0),"NO EXISTE"))</f>
        <v/>
      </c>
      <c r="E873" s="9" t="str">
        <f aca="false">IF(C873="","",IFERROR(VLOOKUP(C873,EQUIPOS!$B$3:$F$18,5,0),""))</f>
        <v/>
      </c>
      <c r="F873" s="5" t="str">
        <f aca="false">IF(C873="","",IFERROR(VLOOKUP(C873,EQUIPOS!$B$3:$G$18,6,0),""))</f>
        <v/>
      </c>
      <c r="G873" s="8"/>
      <c r="H873" s="5"/>
      <c r="I873" s="5"/>
      <c r="J873" s="9"/>
      <c r="K873" s="17" t="str">
        <f aca="false">IF(H873="","",IFERROR(SUMIFS(BD_PLAN!$I$3:$I$312,BD_PLAN!$B$3:$B$312,E873,BD_PLAN!$C$3:$C$312,INDEX(BD_CICLO!$F$3:$F$54,MATCH(E873&amp;"|"&amp;H873,BD_CICLO!$G$3:$G$54,0))),""))</f>
        <v/>
      </c>
      <c r="L873" s="9"/>
      <c r="M873" s="9"/>
      <c r="N873" s="1" t="str">
        <f aca="false">IF(C873="","",C873&amp;"|"&amp;COUNTIF(C$3:C873,C873))</f>
        <v/>
      </c>
      <c r="O873" s="1" t="str">
        <f aca="false">IF(OR(C873="",M873=""),"",C873&amp;"|"&amp;COUNTIFS(C$3:C873,C873,M$3:M873,"&lt;&gt;"))</f>
        <v/>
      </c>
    </row>
    <row r="874" customFormat="false" ht="15" hidden="false" customHeight="false" outlineLevel="0" collapsed="false">
      <c r="B874" s="7"/>
      <c r="C874" s="5"/>
      <c r="D874" s="9" t="str">
        <f aca="false">IF(C874="","",IFERROR(VLOOKUP(C874,EQUIPOS!$B$3:$C$18,2,0),"NO EXISTE"))</f>
        <v/>
      </c>
      <c r="E874" s="9" t="str">
        <f aca="false">IF(C874="","",IFERROR(VLOOKUP(C874,EQUIPOS!$B$3:$F$18,5,0),""))</f>
        <v/>
      </c>
      <c r="F874" s="5" t="str">
        <f aca="false">IF(C874="","",IFERROR(VLOOKUP(C874,EQUIPOS!$B$3:$G$18,6,0),""))</f>
        <v/>
      </c>
      <c r="G874" s="8"/>
      <c r="H874" s="5"/>
      <c r="I874" s="5"/>
      <c r="J874" s="9"/>
      <c r="K874" s="17" t="str">
        <f aca="false">IF(H874="","",IFERROR(SUMIFS(BD_PLAN!$I$3:$I$312,BD_PLAN!$B$3:$B$312,E874,BD_PLAN!$C$3:$C$312,INDEX(BD_CICLO!$F$3:$F$54,MATCH(E874&amp;"|"&amp;H874,BD_CICLO!$G$3:$G$54,0))),""))</f>
        <v/>
      </c>
      <c r="L874" s="9"/>
      <c r="M874" s="9"/>
      <c r="N874" s="1" t="str">
        <f aca="false">IF(C874="","",C874&amp;"|"&amp;COUNTIF(C$3:C874,C874))</f>
        <v/>
      </c>
      <c r="O874" s="1" t="str">
        <f aca="false">IF(OR(C874="",M874=""),"",C874&amp;"|"&amp;COUNTIFS(C$3:C874,C874,M$3:M874,"&lt;&gt;"))</f>
        <v/>
      </c>
    </row>
    <row r="875" customFormat="false" ht="15" hidden="false" customHeight="false" outlineLevel="0" collapsed="false">
      <c r="B875" s="7"/>
      <c r="C875" s="5"/>
      <c r="D875" s="9" t="str">
        <f aca="false">IF(C875="","",IFERROR(VLOOKUP(C875,EQUIPOS!$B$3:$C$18,2,0),"NO EXISTE"))</f>
        <v/>
      </c>
      <c r="E875" s="9" t="str">
        <f aca="false">IF(C875="","",IFERROR(VLOOKUP(C875,EQUIPOS!$B$3:$F$18,5,0),""))</f>
        <v/>
      </c>
      <c r="F875" s="5" t="str">
        <f aca="false">IF(C875="","",IFERROR(VLOOKUP(C875,EQUIPOS!$B$3:$G$18,6,0),""))</f>
        <v/>
      </c>
      <c r="G875" s="8"/>
      <c r="H875" s="5"/>
      <c r="I875" s="5"/>
      <c r="J875" s="9"/>
      <c r="K875" s="17" t="str">
        <f aca="false">IF(H875="","",IFERROR(SUMIFS(BD_PLAN!$I$3:$I$312,BD_PLAN!$B$3:$B$312,E875,BD_PLAN!$C$3:$C$312,INDEX(BD_CICLO!$F$3:$F$54,MATCH(E875&amp;"|"&amp;H875,BD_CICLO!$G$3:$G$54,0))),""))</f>
        <v/>
      </c>
      <c r="L875" s="9"/>
      <c r="M875" s="9"/>
      <c r="N875" s="1" t="str">
        <f aca="false">IF(C875="","",C875&amp;"|"&amp;COUNTIF(C$3:C875,C875))</f>
        <v/>
      </c>
      <c r="O875" s="1" t="str">
        <f aca="false">IF(OR(C875="",M875=""),"",C875&amp;"|"&amp;COUNTIFS(C$3:C875,C875,M$3:M875,"&lt;&gt;"))</f>
        <v/>
      </c>
    </row>
    <row r="876" customFormat="false" ht="15" hidden="false" customHeight="false" outlineLevel="0" collapsed="false">
      <c r="B876" s="7"/>
      <c r="C876" s="5"/>
      <c r="D876" s="9" t="str">
        <f aca="false">IF(C876="","",IFERROR(VLOOKUP(C876,EQUIPOS!$B$3:$C$18,2,0),"NO EXISTE"))</f>
        <v/>
      </c>
      <c r="E876" s="9" t="str">
        <f aca="false">IF(C876="","",IFERROR(VLOOKUP(C876,EQUIPOS!$B$3:$F$18,5,0),""))</f>
        <v/>
      </c>
      <c r="F876" s="5" t="str">
        <f aca="false">IF(C876="","",IFERROR(VLOOKUP(C876,EQUIPOS!$B$3:$G$18,6,0),""))</f>
        <v/>
      </c>
      <c r="G876" s="8"/>
      <c r="H876" s="5"/>
      <c r="I876" s="5"/>
      <c r="J876" s="9"/>
      <c r="K876" s="17" t="str">
        <f aca="false">IF(H876="","",IFERROR(SUMIFS(BD_PLAN!$I$3:$I$312,BD_PLAN!$B$3:$B$312,E876,BD_PLAN!$C$3:$C$312,INDEX(BD_CICLO!$F$3:$F$54,MATCH(E876&amp;"|"&amp;H876,BD_CICLO!$G$3:$G$54,0))),""))</f>
        <v/>
      </c>
      <c r="L876" s="9"/>
      <c r="M876" s="9"/>
      <c r="N876" s="1" t="str">
        <f aca="false">IF(C876="","",C876&amp;"|"&amp;COUNTIF(C$3:C876,C876))</f>
        <v/>
      </c>
      <c r="O876" s="1" t="str">
        <f aca="false">IF(OR(C876="",M876=""),"",C876&amp;"|"&amp;COUNTIFS(C$3:C876,C876,M$3:M876,"&lt;&gt;"))</f>
        <v/>
      </c>
    </row>
    <row r="877" customFormat="false" ht="15" hidden="false" customHeight="false" outlineLevel="0" collapsed="false">
      <c r="B877" s="7"/>
      <c r="C877" s="5"/>
      <c r="D877" s="9" t="str">
        <f aca="false">IF(C877="","",IFERROR(VLOOKUP(C877,EQUIPOS!$B$3:$C$18,2,0),"NO EXISTE"))</f>
        <v/>
      </c>
      <c r="E877" s="9" t="str">
        <f aca="false">IF(C877="","",IFERROR(VLOOKUP(C877,EQUIPOS!$B$3:$F$18,5,0),""))</f>
        <v/>
      </c>
      <c r="F877" s="5" t="str">
        <f aca="false">IF(C877="","",IFERROR(VLOOKUP(C877,EQUIPOS!$B$3:$G$18,6,0),""))</f>
        <v/>
      </c>
      <c r="G877" s="8"/>
      <c r="H877" s="5"/>
      <c r="I877" s="5"/>
      <c r="J877" s="9"/>
      <c r="K877" s="17" t="str">
        <f aca="false">IF(H877="","",IFERROR(SUMIFS(BD_PLAN!$I$3:$I$312,BD_PLAN!$B$3:$B$312,E877,BD_PLAN!$C$3:$C$312,INDEX(BD_CICLO!$F$3:$F$54,MATCH(E877&amp;"|"&amp;H877,BD_CICLO!$G$3:$G$54,0))),""))</f>
        <v/>
      </c>
      <c r="L877" s="9"/>
      <c r="M877" s="9"/>
      <c r="N877" s="1" t="str">
        <f aca="false">IF(C877="","",C877&amp;"|"&amp;COUNTIF(C$3:C877,C877))</f>
        <v/>
      </c>
      <c r="O877" s="1" t="str">
        <f aca="false">IF(OR(C877="",M877=""),"",C877&amp;"|"&amp;COUNTIFS(C$3:C877,C877,M$3:M877,"&lt;&gt;"))</f>
        <v/>
      </c>
    </row>
    <row r="878" customFormat="false" ht="15" hidden="false" customHeight="false" outlineLevel="0" collapsed="false">
      <c r="B878" s="7"/>
      <c r="C878" s="5"/>
      <c r="D878" s="9" t="str">
        <f aca="false">IF(C878="","",IFERROR(VLOOKUP(C878,EQUIPOS!$B$3:$C$18,2,0),"NO EXISTE"))</f>
        <v/>
      </c>
      <c r="E878" s="9" t="str">
        <f aca="false">IF(C878="","",IFERROR(VLOOKUP(C878,EQUIPOS!$B$3:$F$18,5,0),""))</f>
        <v/>
      </c>
      <c r="F878" s="5" t="str">
        <f aca="false">IF(C878="","",IFERROR(VLOOKUP(C878,EQUIPOS!$B$3:$G$18,6,0),""))</f>
        <v/>
      </c>
      <c r="G878" s="8"/>
      <c r="H878" s="5"/>
      <c r="I878" s="5"/>
      <c r="J878" s="9"/>
      <c r="K878" s="17" t="str">
        <f aca="false">IF(H878="","",IFERROR(SUMIFS(BD_PLAN!$I$3:$I$312,BD_PLAN!$B$3:$B$312,E878,BD_PLAN!$C$3:$C$312,INDEX(BD_CICLO!$F$3:$F$54,MATCH(E878&amp;"|"&amp;H878,BD_CICLO!$G$3:$G$54,0))),""))</f>
        <v/>
      </c>
      <c r="L878" s="9"/>
      <c r="M878" s="9"/>
      <c r="N878" s="1" t="str">
        <f aca="false">IF(C878="","",C878&amp;"|"&amp;COUNTIF(C$3:C878,C878))</f>
        <v/>
      </c>
      <c r="O878" s="1" t="str">
        <f aca="false">IF(OR(C878="",M878=""),"",C878&amp;"|"&amp;COUNTIFS(C$3:C878,C878,M$3:M878,"&lt;&gt;"))</f>
        <v/>
      </c>
    </row>
    <row r="879" customFormat="false" ht="15" hidden="false" customHeight="false" outlineLevel="0" collapsed="false">
      <c r="B879" s="7"/>
      <c r="C879" s="5"/>
      <c r="D879" s="9" t="str">
        <f aca="false">IF(C879="","",IFERROR(VLOOKUP(C879,EQUIPOS!$B$3:$C$18,2,0),"NO EXISTE"))</f>
        <v/>
      </c>
      <c r="E879" s="9" t="str">
        <f aca="false">IF(C879="","",IFERROR(VLOOKUP(C879,EQUIPOS!$B$3:$F$18,5,0),""))</f>
        <v/>
      </c>
      <c r="F879" s="5" t="str">
        <f aca="false">IF(C879="","",IFERROR(VLOOKUP(C879,EQUIPOS!$B$3:$G$18,6,0),""))</f>
        <v/>
      </c>
      <c r="G879" s="8"/>
      <c r="H879" s="5"/>
      <c r="I879" s="5"/>
      <c r="J879" s="9"/>
      <c r="K879" s="17" t="str">
        <f aca="false">IF(H879="","",IFERROR(SUMIFS(BD_PLAN!$I$3:$I$312,BD_PLAN!$B$3:$B$312,E879,BD_PLAN!$C$3:$C$312,INDEX(BD_CICLO!$F$3:$F$54,MATCH(E879&amp;"|"&amp;H879,BD_CICLO!$G$3:$G$54,0))),""))</f>
        <v/>
      </c>
      <c r="L879" s="9"/>
      <c r="M879" s="9"/>
      <c r="N879" s="1" t="str">
        <f aca="false">IF(C879="","",C879&amp;"|"&amp;COUNTIF(C$3:C879,C879))</f>
        <v/>
      </c>
      <c r="O879" s="1" t="str">
        <f aca="false">IF(OR(C879="",M879=""),"",C879&amp;"|"&amp;COUNTIFS(C$3:C879,C879,M$3:M879,"&lt;&gt;"))</f>
        <v/>
      </c>
    </row>
    <row r="880" customFormat="false" ht="15" hidden="false" customHeight="false" outlineLevel="0" collapsed="false">
      <c r="B880" s="7"/>
      <c r="C880" s="5"/>
      <c r="D880" s="9" t="str">
        <f aca="false">IF(C880="","",IFERROR(VLOOKUP(C880,EQUIPOS!$B$3:$C$18,2,0),"NO EXISTE"))</f>
        <v/>
      </c>
      <c r="E880" s="9" t="str">
        <f aca="false">IF(C880="","",IFERROR(VLOOKUP(C880,EQUIPOS!$B$3:$F$18,5,0),""))</f>
        <v/>
      </c>
      <c r="F880" s="5" t="str">
        <f aca="false">IF(C880="","",IFERROR(VLOOKUP(C880,EQUIPOS!$B$3:$G$18,6,0),""))</f>
        <v/>
      </c>
      <c r="G880" s="8"/>
      <c r="H880" s="5"/>
      <c r="I880" s="5"/>
      <c r="J880" s="9"/>
      <c r="K880" s="17" t="str">
        <f aca="false">IF(H880="","",IFERROR(SUMIFS(BD_PLAN!$I$3:$I$312,BD_PLAN!$B$3:$B$312,E880,BD_PLAN!$C$3:$C$312,INDEX(BD_CICLO!$F$3:$F$54,MATCH(E880&amp;"|"&amp;H880,BD_CICLO!$G$3:$G$54,0))),""))</f>
        <v/>
      </c>
      <c r="L880" s="9"/>
      <c r="M880" s="9"/>
      <c r="N880" s="1" t="str">
        <f aca="false">IF(C880="","",C880&amp;"|"&amp;COUNTIF(C$3:C880,C880))</f>
        <v/>
      </c>
      <c r="O880" s="1" t="str">
        <f aca="false">IF(OR(C880="",M880=""),"",C880&amp;"|"&amp;COUNTIFS(C$3:C880,C880,M$3:M880,"&lt;&gt;"))</f>
        <v/>
      </c>
    </row>
    <row r="881" customFormat="false" ht="15" hidden="false" customHeight="false" outlineLevel="0" collapsed="false">
      <c r="B881" s="7"/>
      <c r="C881" s="5"/>
      <c r="D881" s="9" t="str">
        <f aca="false">IF(C881="","",IFERROR(VLOOKUP(C881,EQUIPOS!$B$3:$C$18,2,0),"NO EXISTE"))</f>
        <v/>
      </c>
      <c r="E881" s="9" t="str">
        <f aca="false">IF(C881="","",IFERROR(VLOOKUP(C881,EQUIPOS!$B$3:$F$18,5,0),""))</f>
        <v/>
      </c>
      <c r="F881" s="5" t="str">
        <f aca="false">IF(C881="","",IFERROR(VLOOKUP(C881,EQUIPOS!$B$3:$G$18,6,0),""))</f>
        <v/>
      </c>
      <c r="G881" s="8"/>
      <c r="H881" s="5"/>
      <c r="I881" s="5"/>
      <c r="J881" s="9"/>
      <c r="K881" s="17" t="str">
        <f aca="false">IF(H881="","",IFERROR(SUMIFS(BD_PLAN!$I$3:$I$312,BD_PLAN!$B$3:$B$312,E881,BD_PLAN!$C$3:$C$312,INDEX(BD_CICLO!$F$3:$F$54,MATCH(E881&amp;"|"&amp;H881,BD_CICLO!$G$3:$G$54,0))),""))</f>
        <v/>
      </c>
      <c r="L881" s="9"/>
      <c r="M881" s="9"/>
      <c r="N881" s="1" t="str">
        <f aca="false">IF(C881="","",C881&amp;"|"&amp;COUNTIF(C$3:C881,C881))</f>
        <v/>
      </c>
      <c r="O881" s="1" t="str">
        <f aca="false">IF(OR(C881="",M881=""),"",C881&amp;"|"&amp;COUNTIFS(C$3:C881,C881,M$3:M881,"&lt;&gt;"))</f>
        <v/>
      </c>
    </row>
    <row r="882" customFormat="false" ht="15" hidden="false" customHeight="false" outlineLevel="0" collapsed="false">
      <c r="B882" s="7"/>
      <c r="C882" s="5"/>
      <c r="D882" s="9" t="str">
        <f aca="false">IF(C882="","",IFERROR(VLOOKUP(C882,EQUIPOS!$B$3:$C$18,2,0),"NO EXISTE"))</f>
        <v/>
      </c>
      <c r="E882" s="9" t="str">
        <f aca="false">IF(C882="","",IFERROR(VLOOKUP(C882,EQUIPOS!$B$3:$F$18,5,0),""))</f>
        <v/>
      </c>
      <c r="F882" s="5" t="str">
        <f aca="false">IF(C882="","",IFERROR(VLOOKUP(C882,EQUIPOS!$B$3:$G$18,6,0),""))</f>
        <v/>
      </c>
      <c r="G882" s="8"/>
      <c r="H882" s="5"/>
      <c r="I882" s="5"/>
      <c r="J882" s="9"/>
      <c r="K882" s="17" t="str">
        <f aca="false">IF(H882="","",IFERROR(SUMIFS(BD_PLAN!$I$3:$I$312,BD_PLAN!$B$3:$B$312,E882,BD_PLAN!$C$3:$C$312,INDEX(BD_CICLO!$F$3:$F$54,MATCH(E882&amp;"|"&amp;H882,BD_CICLO!$G$3:$G$54,0))),""))</f>
        <v/>
      </c>
      <c r="L882" s="9"/>
      <c r="M882" s="9"/>
      <c r="N882" s="1" t="str">
        <f aca="false">IF(C882="","",C882&amp;"|"&amp;COUNTIF(C$3:C882,C882))</f>
        <v/>
      </c>
      <c r="O882" s="1" t="str">
        <f aca="false">IF(OR(C882="",M882=""),"",C882&amp;"|"&amp;COUNTIFS(C$3:C882,C882,M$3:M882,"&lt;&gt;"))</f>
        <v/>
      </c>
    </row>
    <row r="883" customFormat="false" ht="15" hidden="false" customHeight="false" outlineLevel="0" collapsed="false">
      <c r="B883" s="7"/>
      <c r="C883" s="5"/>
      <c r="D883" s="9" t="str">
        <f aca="false">IF(C883="","",IFERROR(VLOOKUP(C883,EQUIPOS!$B$3:$C$18,2,0),"NO EXISTE"))</f>
        <v/>
      </c>
      <c r="E883" s="9" t="str">
        <f aca="false">IF(C883="","",IFERROR(VLOOKUP(C883,EQUIPOS!$B$3:$F$18,5,0),""))</f>
        <v/>
      </c>
      <c r="F883" s="5" t="str">
        <f aca="false">IF(C883="","",IFERROR(VLOOKUP(C883,EQUIPOS!$B$3:$G$18,6,0),""))</f>
        <v/>
      </c>
      <c r="G883" s="8"/>
      <c r="H883" s="5"/>
      <c r="I883" s="5"/>
      <c r="J883" s="9"/>
      <c r="K883" s="17" t="str">
        <f aca="false">IF(H883="","",IFERROR(SUMIFS(BD_PLAN!$I$3:$I$312,BD_PLAN!$B$3:$B$312,E883,BD_PLAN!$C$3:$C$312,INDEX(BD_CICLO!$F$3:$F$54,MATCH(E883&amp;"|"&amp;H883,BD_CICLO!$G$3:$G$54,0))),""))</f>
        <v/>
      </c>
      <c r="L883" s="9"/>
      <c r="M883" s="9"/>
      <c r="N883" s="1" t="str">
        <f aca="false">IF(C883="","",C883&amp;"|"&amp;COUNTIF(C$3:C883,C883))</f>
        <v/>
      </c>
      <c r="O883" s="1" t="str">
        <f aca="false">IF(OR(C883="",M883=""),"",C883&amp;"|"&amp;COUNTIFS(C$3:C883,C883,M$3:M883,"&lt;&gt;"))</f>
        <v/>
      </c>
    </row>
    <row r="884" customFormat="false" ht="15" hidden="false" customHeight="false" outlineLevel="0" collapsed="false">
      <c r="B884" s="7"/>
      <c r="C884" s="5"/>
      <c r="D884" s="9" t="str">
        <f aca="false">IF(C884="","",IFERROR(VLOOKUP(C884,EQUIPOS!$B$3:$C$18,2,0),"NO EXISTE"))</f>
        <v/>
      </c>
      <c r="E884" s="9" t="str">
        <f aca="false">IF(C884="","",IFERROR(VLOOKUP(C884,EQUIPOS!$B$3:$F$18,5,0),""))</f>
        <v/>
      </c>
      <c r="F884" s="5" t="str">
        <f aca="false">IF(C884="","",IFERROR(VLOOKUP(C884,EQUIPOS!$B$3:$G$18,6,0),""))</f>
        <v/>
      </c>
      <c r="G884" s="8"/>
      <c r="H884" s="5"/>
      <c r="I884" s="5"/>
      <c r="J884" s="9"/>
      <c r="K884" s="17" t="str">
        <f aca="false">IF(H884="","",IFERROR(SUMIFS(BD_PLAN!$I$3:$I$312,BD_PLAN!$B$3:$B$312,E884,BD_PLAN!$C$3:$C$312,INDEX(BD_CICLO!$F$3:$F$54,MATCH(E884&amp;"|"&amp;H884,BD_CICLO!$G$3:$G$54,0))),""))</f>
        <v/>
      </c>
      <c r="L884" s="9"/>
      <c r="M884" s="9"/>
      <c r="N884" s="1" t="str">
        <f aca="false">IF(C884="","",C884&amp;"|"&amp;COUNTIF(C$3:C884,C884))</f>
        <v/>
      </c>
      <c r="O884" s="1" t="str">
        <f aca="false">IF(OR(C884="",M884=""),"",C884&amp;"|"&amp;COUNTIFS(C$3:C884,C884,M$3:M884,"&lt;&gt;"))</f>
        <v/>
      </c>
    </row>
    <row r="885" customFormat="false" ht="15" hidden="false" customHeight="false" outlineLevel="0" collapsed="false">
      <c r="B885" s="7"/>
      <c r="C885" s="5"/>
      <c r="D885" s="9" t="str">
        <f aca="false">IF(C885="","",IFERROR(VLOOKUP(C885,EQUIPOS!$B$3:$C$18,2,0),"NO EXISTE"))</f>
        <v/>
      </c>
      <c r="E885" s="9" t="str">
        <f aca="false">IF(C885="","",IFERROR(VLOOKUP(C885,EQUIPOS!$B$3:$F$18,5,0),""))</f>
        <v/>
      </c>
      <c r="F885" s="5" t="str">
        <f aca="false">IF(C885="","",IFERROR(VLOOKUP(C885,EQUIPOS!$B$3:$G$18,6,0),""))</f>
        <v/>
      </c>
      <c r="G885" s="8"/>
      <c r="H885" s="5"/>
      <c r="I885" s="5"/>
      <c r="J885" s="9"/>
      <c r="K885" s="17" t="str">
        <f aca="false">IF(H885="","",IFERROR(SUMIFS(BD_PLAN!$I$3:$I$312,BD_PLAN!$B$3:$B$312,E885,BD_PLAN!$C$3:$C$312,INDEX(BD_CICLO!$F$3:$F$54,MATCH(E885&amp;"|"&amp;H885,BD_CICLO!$G$3:$G$54,0))),""))</f>
        <v/>
      </c>
      <c r="L885" s="9"/>
      <c r="M885" s="9"/>
      <c r="N885" s="1" t="str">
        <f aca="false">IF(C885="","",C885&amp;"|"&amp;COUNTIF(C$3:C885,C885))</f>
        <v/>
      </c>
      <c r="O885" s="1" t="str">
        <f aca="false">IF(OR(C885="",M885=""),"",C885&amp;"|"&amp;COUNTIFS(C$3:C885,C885,M$3:M885,"&lt;&gt;"))</f>
        <v/>
      </c>
    </row>
    <row r="886" customFormat="false" ht="15" hidden="false" customHeight="false" outlineLevel="0" collapsed="false">
      <c r="B886" s="7"/>
      <c r="C886" s="5"/>
      <c r="D886" s="9" t="str">
        <f aca="false">IF(C886="","",IFERROR(VLOOKUP(C886,EQUIPOS!$B$3:$C$18,2,0),"NO EXISTE"))</f>
        <v/>
      </c>
      <c r="E886" s="9" t="str">
        <f aca="false">IF(C886="","",IFERROR(VLOOKUP(C886,EQUIPOS!$B$3:$F$18,5,0),""))</f>
        <v/>
      </c>
      <c r="F886" s="5" t="str">
        <f aca="false">IF(C886="","",IFERROR(VLOOKUP(C886,EQUIPOS!$B$3:$G$18,6,0),""))</f>
        <v/>
      </c>
      <c r="G886" s="8"/>
      <c r="H886" s="5"/>
      <c r="I886" s="5"/>
      <c r="J886" s="9"/>
      <c r="K886" s="17" t="str">
        <f aca="false">IF(H886="","",IFERROR(SUMIFS(BD_PLAN!$I$3:$I$312,BD_PLAN!$B$3:$B$312,E886,BD_PLAN!$C$3:$C$312,INDEX(BD_CICLO!$F$3:$F$54,MATCH(E886&amp;"|"&amp;H886,BD_CICLO!$G$3:$G$54,0))),""))</f>
        <v/>
      </c>
      <c r="L886" s="9"/>
      <c r="M886" s="9"/>
      <c r="N886" s="1" t="str">
        <f aca="false">IF(C886="","",C886&amp;"|"&amp;COUNTIF(C$3:C886,C886))</f>
        <v/>
      </c>
      <c r="O886" s="1" t="str">
        <f aca="false">IF(OR(C886="",M886=""),"",C886&amp;"|"&amp;COUNTIFS(C$3:C886,C886,M$3:M886,"&lt;&gt;"))</f>
        <v/>
      </c>
    </row>
    <row r="887" customFormat="false" ht="15" hidden="false" customHeight="false" outlineLevel="0" collapsed="false">
      <c r="B887" s="7"/>
      <c r="C887" s="5"/>
      <c r="D887" s="9" t="str">
        <f aca="false">IF(C887="","",IFERROR(VLOOKUP(C887,EQUIPOS!$B$3:$C$18,2,0),"NO EXISTE"))</f>
        <v/>
      </c>
      <c r="E887" s="9" t="str">
        <f aca="false">IF(C887="","",IFERROR(VLOOKUP(C887,EQUIPOS!$B$3:$F$18,5,0),""))</f>
        <v/>
      </c>
      <c r="F887" s="5" t="str">
        <f aca="false">IF(C887="","",IFERROR(VLOOKUP(C887,EQUIPOS!$B$3:$G$18,6,0),""))</f>
        <v/>
      </c>
      <c r="G887" s="8"/>
      <c r="H887" s="5"/>
      <c r="I887" s="5"/>
      <c r="J887" s="9"/>
      <c r="K887" s="17" t="str">
        <f aca="false">IF(H887="","",IFERROR(SUMIFS(BD_PLAN!$I$3:$I$312,BD_PLAN!$B$3:$B$312,E887,BD_PLAN!$C$3:$C$312,INDEX(BD_CICLO!$F$3:$F$54,MATCH(E887&amp;"|"&amp;H887,BD_CICLO!$G$3:$G$54,0))),""))</f>
        <v/>
      </c>
      <c r="L887" s="9"/>
      <c r="M887" s="9"/>
      <c r="N887" s="1" t="str">
        <f aca="false">IF(C887="","",C887&amp;"|"&amp;COUNTIF(C$3:C887,C887))</f>
        <v/>
      </c>
      <c r="O887" s="1" t="str">
        <f aca="false">IF(OR(C887="",M887=""),"",C887&amp;"|"&amp;COUNTIFS(C$3:C887,C887,M$3:M887,"&lt;&gt;"))</f>
        <v/>
      </c>
    </row>
    <row r="888" customFormat="false" ht="15" hidden="false" customHeight="false" outlineLevel="0" collapsed="false">
      <c r="B888" s="7"/>
      <c r="C888" s="5"/>
      <c r="D888" s="9" t="str">
        <f aca="false">IF(C888="","",IFERROR(VLOOKUP(C888,EQUIPOS!$B$3:$C$18,2,0),"NO EXISTE"))</f>
        <v/>
      </c>
      <c r="E888" s="9" t="str">
        <f aca="false">IF(C888="","",IFERROR(VLOOKUP(C888,EQUIPOS!$B$3:$F$18,5,0),""))</f>
        <v/>
      </c>
      <c r="F888" s="5" t="str">
        <f aca="false">IF(C888="","",IFERROR(VLOOKUP(C888,EQUIPOS!$B$3:$G$18,6,0),""))</f>
        <v/>
      </c>
      <c r="G888" s="8"/>
      <c r="H888" s="5"/>
      <c r="I888" s="5"/>
      <c r="J888" s="9"/>
      <c r="K888" s="17" t="str">
        <f aca="false">IF(H888="","",IFERROR(SUMIFS(BD_PLAN!$I$3:$I$312,BD_PLAN!$B$3:$B$312,E888,BD_PLAN!$C$3:$C$312,INDEX(BD_CICLO!$F$3:$F$54,MATCH(E888&amp;"|"&amp;H888,BD_CICLO!$G$3:$G$54,0))),""))</f>
        <v/>
      </c>
      <c r="L888" s="9"/>
      <c r="M888" s="9"/>
      <c r="N888" s="1" t="str">
        <f aca="false">IF(C888="","",C888&amp;"|"&amp;COUNTIF(C$3:C888,C888))</f>
        <v/>
      </c>
      <c r="O888" s="1" t="str">
        <f aca="false">IF(OR(C888="",M888=""),"",C888&amp;"|"&amp;COUNTIFS(C$3:C888,C888,M$3:M888,"&lt;&gt;"))</f>
        <v/>
      </c>
    </row>
    <row r="889" customFormat="false" ht="15" hidden="false" customHeight="false" outlineLevel="0" collapsed="false">
      <c r="B889" s="7"/>
      <c r="C889" s="5"/>
      <c r="D889" s="9" t="str">
        <f aca="false">IF(C889="","",IFERROR(VLOOKUP(C889,EQUIPOS!$B$3:$C$18,2,0),"NO EXISTE"))</f>
        <v/>
      </c>
      <c r="E889" s="9" t="str">
        <f aca="false">IF(C889="","",IFERROR(VLOOKUP(C889,EQUIPOS!$B$3:$F$18,5,0),""))</f>
        <v/>
      </c>
      <c r="F889" s="5" t="str">
        <f aca="false">IF(C889="","",IFERROR(VLOOKUP(C889,EQUIPOS!$B$3:$G$18,6,0),""))</f>
        <v/>
      </c>
      <c r="G889" s="8"/>
      <c r="H889" s="5"/>
      <c r="I889" s="5"/>
      <c r="J889" s="9"/>
      <c r="K889" s="17" t="str">
        <f aca="false">IF(H889="","",IFERROR(SUMIFS(BD_PLAN!$I$3:$I$312,BD_PLAN!$B$3:$B$312,E889,BD_PLAN!$C$3:$C$312,INDEX(BD_CICLO!$F$3:$F$54,MATCH(E889&amp;"|"&amp;H889,BD_CICLO!$G$3:$G$54,0))),""))</f>
        <v/>
      </c>
      <c r="L889" s="9"/>
      <c r="M889" s="9"/>
      <c r="N889" s="1" t="str">
        <f aca="false">IF(C889="","",C889&amp;"|"&amp;COUNTIF(C$3:C889,C889))</f>
        <v/>
      </c>
      <c r="O889" s="1" t="str">
        <f aca="false">IF(OR(C889="",M889=""),"",C889&amp;"|"&amp;COUNTIFS(C$3:C889,C889,M$3:M889,"&lt;&gt;"))</f>
        <v/>
      </c>
    </row>
    <row r="890" customFormat="false" ht="15" hidden="false" customHeight="false" outlineLevel="0" collapsed="false">
      <c r="B890" s="7"/>
      <c r="C890" s="5"/>
      <c r="D890" s="9" t="str">
        <f aca="false">IF(C890="","",IFERROR(VLOOKUP(C890,EQUIPOS!$B$3:$C$18,2,0),"NO EXISTE"))</f>
        <v/>
      </c>
      <c r="E890" s="9" t="str">
        <f aca="false">IF(C890="","",IFERROR(VLOOKUP(C890,EQUIPOS!$B$3:$F$18,5,0),""))</f>
        <v/>
      </c>
      <c r="F890" s="5" t="str">
        <f aca="false">IF(C890="","",IFERROR(VLOOKUP(C890,EQUIPOS!$B$3:$G$18,6,0),""))</f>
        <v/>
      </c>
      <c r="G890" s="8"/>
      <c r="H890" s="5"/>
      <c r="I890" s="5"/>
      <c r="J890" s="9"/>
      <c r="K890" s="17" t="str">
        <f aca="false">IF(H890="","",IFERROR(SUMIFS(BD_PLAN!$I$3:$I$312,BD_PLAN!$B$3:$B$312,E890,BD_PLAN!$C$3:$C$312,INDEX(BD_CICLO!$F$3:$F$54,MATCH(E890&amp;"|"&amp;H890,BD_CICLO!$G$3:$G$54,0))),""))</f>
        <v/>
      </c>
      <c r="L890" s="9"/>
      <c r="M890" s="9"/>
      <c r="N890" s="1" t="str">
        <f aca="false">IF(C890="","",C890&amp;"|"&amp;COUNTIF(C$3:C890,C890))</f>
        <v/>
      </c>
      <c r="O890" s="1" t="str">
        <f aca="false">IF(OR(C890="",M890=""),"",C890&amp;"|"&amp;COUNTIFS(C$3:C890,C890,M$3:M890,"&lt;&gt;"))</f>
        <v/>
      </c>
    </row>
    <row r="891" customFormat="false" ht="15" hidden="false" customHeight="false" outlineLevel="0" collapsed="false">
      <c r="B891" s="7"/>
      <c r="C891" s="5"/>
      <c r="D891" s="9" t="str">
        <f aca="false">IF(C891="","",IFERROR(VLOOKUP(C891,EQUIPOS!$B$3:$C$18,2,0),"NO EXISTE"))</f>
        <v/>
      </c>
      <c r="E891" s="9" t="str">
        <f aca="false">IF(C891="","",IFERROR(VLOOKUP(C891,EQUIPOS!$B$3:$F$18,5,0),""))</f>
        <v/>
      </c>
      <c r="F891" s="5" t="str">
        <f aca="false">IF(C891="","",IFERROR(VLOOKUP(C891,EQUIPOS!$B$3:$G$18,6,0),""))</f>
        <v/>
      </c>
      <c r="G891" s="8"/>
      <c r="H891" s="5"/>
      <c r="I891" s="5"/>
      <c r="J891" s="9"/>
      <c r="K891" s="17" t="str">
        <f aca="false">IF(H891="","",IFERROR(SUMIFS(BD_PLAN!$I$3:$I$312,BD_PLAN!$B$3:$B$312,E891,BD_PLAN!$C$3:$C$312,INDEX(BD_CICLO!$F$3:$F$54,MATCH(E891&amp;"|"&amp;H891,BD_CICLO!$G$3:$G$54,0))),""))</f>
        <v/>
      </c>
      <c r="L891" s="9"/>
      <c r="M891" s="9"/>
      <c r="N891" s="1" t="str">
        <f aca="false">IF(C891="","",C891&amp;"|"&amp;COUNTIF(C$3:C891,C891))</f>
        <v/>
      </c>
      <c r="O891" s="1" t="str">
        <f aca="false">IF(OR(C891="",M891=""),"",C891&amp;"|"&amp;COUNTIFS(C$3:C891,C891,M$3:M891,"&lt;&gt;"))</f>
        <v/>
      </c>
    </row>
    <row r="892" customFormat="false" ht="15" hidden="false" customHeight="false" outlineLevel="0" collapsed="false">
      <c r="B892" s="7"/>
      <c r="C892" s="5"/>
      <c r="D892" s="9" t="str">
        <f aca="false">IF(C892="","",IFERROR(VLOOKUP(C892,EQUIPOS!$B$3:$C$18,2,0),"NO EXISTE"))</f>
        <v/>
      </c>
      <c r="E892" s="9" t="str">
        <f aca="false">IF(C892="","",IFERROR(VLOOKUP(C892,EQUIPOS!$B$3:$F$18,5,0),""))</f>
        <v/>
      </c>
      <c r="F892" s="5" t="str">
        <f aca="false">IF(C892="","",IFERROR(VLOOKUP(C892,EQUIPOS!$B$3:$G$18,6,0),""))</f>
        <v/>
      </c>
      <c r="G892" s="8"/>
      <c r="H892" s="5"/>
      <c r="I892" s="5"/>
      <c r="J892" s="9"/>
      <c r="K892" s="17" t="str">
        <f aca="false">IF(H892="","",IFERROR(SUMIFS(BD_PLAN!$I$3:$I$312,BD_PLAN!$B$3:$B$312,E892,BD_PLAN!$C$3:$C$312,INDEX(BD_CICLO!$F$3:$F$54,MATCH(E892&amp;"|"&amp;H892,BD_CICLO!$G$3:$G$54,0))),""))</f>
        <v/>
      </c>
      <c r="L892" s="9"/>
      <c r="M892" s="9"/>
      <c r="N892" s="1" t="str">
        <f aca="false">IF(C892="","",C892&amp;"|"&amp;COUNTIF(C$3:C892,C892))</f>
        <v/>
      </c>
      <c r="O892" s="1" t="str">
        <f aca="false">IF(OR(C892="",M892=""),"",C892&amp;"|"&amp;COUNTIFS(C$3:C892,C892,M$3:M892,"&lt;&gt;"))</f>
        <v/>
      </c>
    </row>
    <row r="893" customFormat="false" ht="15" hidden="false" customHeight="false" outlineLevel="0" collapsed="false">
      <c r="B893" s="7"/>
      <c r="C893" s="5"/>
      <c r="D893" s="9" t="str">
        <f aca="false">IF(C893="","",IFERROR(VLOOKUP(C893,EQUIPOS!$B$3:$C$18,2,0),"NO EXISTE"))</f>
        <v/>
      </c>
      <c r="E893" s="9" t="str">
        <f aca="false">IF(C893="","",IFERROR(VLOOKUP(C893,EQUIPOS!$B$3:$F$18,5,0),""))</f>
        <v/>
      </c>
      <c r="F893" s="5" t="str">
        <f aca="false">IF(C893="","",IFERROR(VLOOKUP(C893,EQUIPOS!$B$3:$G$18,6,0),""))</f>
        <v/>
      </c>
      <c r="G893" s="8"/>
      <c r="H893" s="5"/>
      <c r="I893" s="5"/>
      <c r="J893" s="9"/>
      <c r="K893" s="17" t="str">
        <f aca="false">IF(H893="","",IFERROR(SUMIFS(BD_PLAN!$I$3:$I$312,BD_PLAN!$B$3:$B$312,E893,BD_PLAN!$C$3:$C$312,INDEX(BD_CICLO!$F$3:$F$54,MATCH(E893&amp;"|"&amp;H893,BD_CICLO!$G$3:$G$54,0))),""))</f>
        <v/>
      </c>
      <c r="L893" s="9"/>
      <c r="M893" s="9"/>
      <c r="N893" s="1" t="str">
        <f aca="false">IF(C893="","",C893&amp;"|"&amp;COUNTIF(C$3:C893,C893))</f>
        <v/>
      </c>
      <c r="O893" s="1" t="str">
        <f aca="false">IF(OR(C893="",M893=""),"",C893&amp;"|"&amp;COUNTIFS(C$3:C893,C893,M$3:M893,"&lt;&gt;"))</f>
        <v/>
      </c>
    </row>
    <row r="894" customFormat="false" ht="15" hidden="false" customHeight="false" outlineLevel="0" collapsed="false">
      <c r="B894" s="7"/>
      <c r="C894" s="5"/>
      <c r="D894" s="9" t="str">
        <f aca="false">IF(C894="","",IFERROR(VLOOKUP(C894,EQUIPOS!$B$3:$C$18,2,0),"NO EXISTE"))</f>
        <v/>
      </c>
      <c r="E894" s="9" t="str">
        <f aca="false">IF(C894="","",IFERROR(VLOOKUP(C894,EQUIPOS!$B$3:$F$18,5,0),""))</f>
        <v/>
      </c>
      <c r="F894" s="5" t="str">
        <f aca="false">IF(C894="","",IFERROR(VLOOKUP(C894,EQUIPOS!$B$3:$G$18,6,0),""))</f>
        <v/>
      </c>
      <c r="G894" s="8"/>
      <c r="H894" s="5"/>
      <c r="I894" s="5"/>
      <c r="J894" s="9"/>
      <c r="K894" s="17" t="str">
        <f aca="false">IF(H894="","",IFERROR(SUMIFS(BD_PLAN!$I$3:$I$312,BD_PLAN!$B$3:$B$312,E894,BD_PLAN!$C$3:$C$312,INDEX(BD_CICLO!$F$3:$F$54,MATCH(E894&amp;"|"&amp;H894,BD_CICLO!$G$3:$G$54,0))),""))</f>
        <v/>
      </c>
      <c r="L894" s="9"/>
      <c r="M894" s="9"/>
      <c r="N894" s="1" t="str">
        <f aca="false">IF(C894="","",C894&amp;"|"&amp;COUNTIF(C$3:C894,C894))</f>
        <v/>
      </c>
      <c r="O894" s="1" t="str">
        <f aca="false">IF(OR(C894="",M894=""),"",C894&amp;"|"&amp;COUNTIFS(C$3:C894,C894,M$3:M894,"&lt;&gt;"))</f>
        <v/>
      </c>
    </row>
    <row r="895" customFormat="false" ht="15" hidden="false" customHeight="false" outlineLevel="0" collapsed="false">
      <c r="B895" s="7"/>
      <c r="C895" s="5"/>
      <c r="D895" s="9" t="str">
        <f aca="false">IF(C895="","",IFERROR(VLOOKUP(C895,EQUIPOS!$B$3:$C$18,2,0),"NO EXISTE"))</f>
        <v/>
      </c>
      <c r="E895" s="9" t="str">
        <f aca="false">IF(C895="","",IFERROR(VLOOKUP(C895,EQUIPOS!$B$3:$F$18,5,0),""))</f>
        <v/>
      </c>
      <c r="F895" s="5" t="str">
        <f aca="false">IF(C895="","",IFERROR(VLOOKUP(C895,EQUIPOS!$B$3:$G$18,6,0),""))</f>
        <v/>
      </c>
      <c r="G895" s="8"/>
      <c r="H895" s="5"/>
      <c r="I895" s="5"/>
      <c r="J895" s="9"/>
      <c r="K895" s="17" t="str">
        <f aca="false">IF(H895="","",IFERROR(SUMIFS(BD_PLAN!$I$3:$I$312,BD_PLAN!$B$3:$B$312,E895,BD_PLAN!$C$3:$C$312,INDEX(BD_CICLO!$F$3:$F$54,MATCH(E895&amp;"|"&amp;H895,BD_CICLO!$G$3:$G$54,0))),""))</f>
        <v/>
      </c>
      <c r="L895" s="9"/>
      <c r="M895" s="9"/>
      <c r="N895" s="1" t="str">
        <f aca="false">IF(C895="","",C895&amp;"|"&amp;COUNTIF(C$3:C895,C895))</f>
        <v/>
      </c>
      <c r="O895" s="1" t="str">
        <f aca="false">IF(OR(C895="",M895=""),"",C895&amp;"|"&amp;COUNTIFS(C$3:C895,C895,M$3:M895,"&lt;&gt;"))</f>
        <v/>
      </c>
    </row>
    <row r="896" customFormat="false" ht="15" hidden="false" customHeight="false" outlineLevel="0" collapsed="false">
      <c r="B896" s="7"/>
      <c r="C896" s="5"/>
      <c r="D896" s="9" t="str">
        <f aca="false">IF(C896="","",IFERROR(VLOOKUP(C896,EQUIPOS!$B$3:$C$18,2,0),"NO EXISTE"))</f>
        <v/>
      </c>
      <c r="E896" s="9" t="str">
        <f aca="false">IF(C896="","",IFERROR(VLOOKUP(C896,EQUIPOS!$B$3:$F$18,5,0),""))</f>
        <v/>
      </c>
      <c r="F896" s="5" t="str">
        <f aca="false">IF(C896="","",IFERROR(VLOOKUP(C896,EQUIPOS!$B$3:$G$18,6,0),""))</f>
        <v/>
      </c>
      <c r="G896" s="8"/>
      <c r="H896" s="5"/>
      <c r="I896" s="5"/>
      <c r="J896" s="9"/>
      <c r="K896" s="17" t="str">
        <f aca="false">IF(H896="","",IFERROR(SUMIFS(BD_PLAN!$I$3:$I$312,BD_PLAN!$B$3:$B$312,E896,BD_PLAN!$C$3:$C$312,INDEX(BD_CICLO!$F$3:$F$54,MATCH(E896&amp;"|"&amp;H896,BD_CICLO!$G$3:$G$54,0))),""))</f>
        <v/>
      </c>
      <c r="L896" s="9"/>
      <c r="M896" s="9"/>
      <c r="N896" s="1" t="str">
        <f aca="false">IF(C896="","",C896&amp;"|"&amp;COUNTIF(C$3:C896,C896))</f>
        <v/>
      </c>
      <c r="O896" s="1" t="str">
        <f aca="false">IF(OR(C896="",M896=""),"",C896&amp;"|"&amp;COUNTIFS(C$3:C896,C896,M$3:M896,"&lt;&gt;"))</f>
        <v/>
      </c>
    </row>
    <row r="897" customFormat="false" ht="15" hidden="false" customHeight="false" outlineLevel="0" collapsed="false">
      <c r="B897" s="7"/>
      <c r="C897" s="5"/>
      <c r="D897" s="9" t="str">
        <f aca="false">IF(C897="","",IFERROR(VLOOKUP(C897,EQUIPOS!$B$3:$C$18,2,0),"NO EXISTE"))</f>
        <v/>
      </c>
      <c r="E897" s="9" t="str">
        <f aca="false">IF(C897="","",IFERROR(VLOOKUP(C897,EQUIPOS!$B$3:$F$18,5,0),""))</f>
        <v/>
      </c>
      <c r="F897" s="5" t="str">
        <f aca="false">IF(C897="","",IFERROR(VLOOKUP(C897,EQUIPOS!$B$3:$G$18,6,0),""))</f>
        <v/>
      </c>
      <c r="G897" s="8"/>
      <c r="H897" s="5"/>
      <c r="I897" s="5"/>
      <c r="J897" s="9"/>
      <c r="K897" s="17" t="str">
        <f aca="false">IF(H897="","",IFERROR(SUMIFS(BD_PLAN!$I$3:$I$312,BD_PLAN!$B$3:$B$312,E897,BD_PLAN!$C$3:$C$312,INDEX(BD_CICLO!$F$3:$F$54,MATCH(E897&amp;"|"&amp;H897,BD_CICLO!$G$3:$G$54,0))),""))</f>
        <v/>
      </c>
      <c r="L897" s="9"/>
      <c r="M897" s="9"/>
      <c r="N897" s="1" t="str">
        <f aca="false">IF(C897="","",C897&amp;"|"&amp;COUNTIF(C$3:C897,C897))</f>
        <v/>
      </c>
      <c r="O897" s="1" t="str">
        <f aca="false">IF(OR(C897="",M897=""),"",C897&amp;"|"&amp;COUNTIFS(C$3:C897,C897,M$3:M897,"&lt;&gt;"))</f>
        <v/>
      </c>
    </row>
    <row r="898" customFormat="false" ht="15" hidden="false" customHeight="false" outlineLevel="0" collapsed="false">
      <c r="B898" s="7"/>
      <c r="C898" s="5"/>
      <c r="D898" s="9" t="str">
        <f aca="false">IF(C898="","",IFERROR(VLOOKUP(C898,EQUIPOS!$B$3:$C$18,2,0),"NO EXISTE"))</f>
        <v/>
      </c>
      <c r="E898" s="9" t="str">
        <f aca="false">IF(C898="","",IFERROR(VLOOKUP(C898,EQUIPOS!$B$3:$F$18,5,0),""))</f>
        <v/>
      </c>
      <c r="F898" s="5" t="str">
        <f aca="false">IF(C898="","",IFERROR(VLOOKUP(C898,EQUIPOS!$B$3:$G$18,6,0),""))</f>
        <v/>
      </c>
      <c r="G898" s="8"/>
      <c r="H898" s="5"/>
      <c r="I898" s="5"/>
      <c r="J898" s="9"/>
      <c r="K898" s="17" t="str">
        <f aca="false">IF(H898="","",IFERROR(SUMIFS(BD_PLAN!$I$3:$I$312,BD_PLAN!$B$3:$B$312,E898,BD_PLAN!$C$3:$C$312,INDEX(BD_CICLO!$F$3:$F$54,MATCH(E898&amp;"|"&amp;H898,BD_CICLO!$G$3:$G$54,0))),""))</f>
        <v/>
      </c>
      <c r="L898" s="9"/>
      <c r="M898" s="9"/>
      <c r="N898" s="1" t="str">
        <f aca="false">IF(C898="","",C898&amp;"|"&amp;COUNTIF(C$3:C898,C898))</f>
        <v/>
      </c>
      <c r="O898" s="1" t="str">
        <f aca="false">IF(OR(C898="",M898=""),"",C898&amp;"|"&amp;COUNTIFS(C$3:C898,C898,M$3:M898,"&lt;&gt;"))</f>
        <v/>
      </c>
    </row>
    <row r="899" customFormat="false" ht="15" hidden="false" customHeight="false" outlineLevel="0" collapsed="false">
      <c r="B899" s="7"/>
      <c r="C899" s="5"/>
      <c r="D899" s="9" t="str">
        <f aca="false">IF(C899="","",IFERROR(VLOOKUP(C899,EQUIPOS!$B$3:$C$18,2,0),"NO EXISTE"))</f>
        <v/>
      </c>
      <c r="E899" s="9" t="str">
        <f aca="false">IF(C899="","",IFERROR(VLOOKUP(C899,EQUIPOS!$B$3:$F$18,5,0),""))</f>
        <v/>
      </c>
      <c r="F899" s="5" t="str">
        <f aca="false">IF(C899="","",IFERROR(VLOOKUP(C899,EQUIPOS!$B$3:$G$18,6,0),""))</f>
        <v/>
      </c>
      <c r="G899" s="8"/>
      <c r="H899" s="5"/>
      <c r="I899" s="5"/>
      <c r="J899" s="9"/>
      <c r="K899" s="17" t="str">
        <f aca="false">IF(H899="","",IFERROR(SUMIFS(BD_PLAN!$I$3:$I$312,BD_PLAN!$B$3:$B$312,E899,BD_PLAN!$C$3:$C$312,INDEX(BD_CICLO!$F$3:$F$54,MATCH(E899&amp;"|"&amp;H899,BD_CICLO!$G$3:$G$54,0))),""))</f>
        <v/>
      </c>
      <c r="L899" s="9"/>
      <c r="M899" s="9"/>
      <c r="N899" s="1" t="str">
        <f aca="false">IF(C899="","",C899&amp;"|"&amp;COUNTIF(C$3:C899,C899))</f>
        <v/>
      </c>
      <c r="O899" s="1" t="str">
        <f aca="false">IF(OR(C899="",M899=""),"",C899&amp;"|"&amp;COUNTIFS(C$3:C899,C899,M$3:M899,"&lt;&gt;"))</f>
        <v/>
      </c>
    </row>
    <row r="900" customFormat="false" ht="15" hidden="false" customHeight="false" outlineLevel="0" collapsed="false">
      <c r="B900" s="7"/>
      <c r="C900" s="5"/>
      <c r="D900" s="9" t="str">
        <f aca="false">IF(C900="","",IFERROR(VLOOKUP(C900,EQUIPOS!$B$3:$C$18,2,0),"NO EXISTE"))</f>
        <v/>
      </c>
      <c r="E900" s="9" t="str">
        <f aca="false">IF(C900="","",IFERROR(VLOOKUP(C900,EQUIPOS!$B$3:$F$18,5,0),""))</f>
        <v/>
      </c>
      <c r="F900" s="5" t="str">
        <f aca="false">IF(C900="","",IFERROR(VLOOKUP(C900,EQUIPOS!$B$3:$G$18,6,0),""))</f>
        <v/>
      </c>
      <c r="G900" s="8"/>
      <c r="H900" s="5"/>
      <c r="I900" s="5"/>
      <c r="J900" s="9"/>
      <c r="K900" s="17" t="str">
        <f aca="false">IF(H900="","",IFERROR(SUMIFS(BD_PLAN!$I$3:$I$312,BD_PLAN!$B$3:$B$312,E900,BD_PLAN!$C$3:$C$312,INDEX(BD_CICLO!$F$3:$F$54,MATCH(E900&amp;"|"&amp;H900,BD_CICLO!$G$3:$G$54,0))),""))</f>
        <v/>
      </c>
      <c r="L900" s="9"/>
      <c r="M900" s="9"/>
      <c r="N900" s="1" t="str">
        <f aca="false">IF(C900="","",C900&amp;"|"&amp;COUNTIF(C$3:C900,C900))</f>
        <v/>
      </c>
      <c r="O900" s="1" t="str">
        <f aca="false">IF(OR(C900="",M900=""),"",C900&amp;"|"&amp;COUNTIFS(C$3:C900,C900,M$3:M900,"&lt;&gt;"))</f>
        <v/>
      </c>
    </row>
    <row r="901" customFormat="false" ht="15" hidden="false" customHeight="false" outlineLevel="0" collapsed="false">
      <c r="B901" s="7"/>
      <c r="C901" s="5"/>
      <c r="D901" s="9" t="str">
        <f aca="false">IF(C901="","",IFERROR(VLOOKUP(C901,EQUIPOS!$B$3:$C$18,2,0),"NO EXISTE"))</f>
        <v/>
      </c>
      <c r="E901" s="9" t="str">
        <f aca="false">IF(C901="","",IFERROR(VLOOKUP(C901,EQUIPOS!$B$3:$F$18,5,0),""))</f>
        <v/>
      </c>
      <c r="F901" s="5" t="str">
        <f aca="false">IF(C901="","",IFERROR(VLOOKUP(C901,EQUIPOS!$B$3:$G$18,6,0),""))</f>
        <v/>
      </c>
      <c r="G901" s="8"/>
      <c r="H901" s="5"/>
      <c r="I901" s="5"/>
      <c r="J901" s="9"/>
      <c r="K901" s="17" t="str">
        <f aca="false">IF(H901="","",IFERROR(SUMIFS(BD_PLAN!$I$3:$I$312,BD_PLAN!$B$3:$B$312,E901,BD_PLAN!$C$3:$C$312,INDEX(BD_CICLO!$F$3:$F$54,MATCH(E901&amp;"|"&amp;H901,BD_CICLO!$G$3:$G$54,0))),""))</f>
        <v/>
      </c>
      <c r="L901" s="9"/>
      <c r="M901" s="9"/>
      <c r="N901" s="1" t="str">
        <f aca="false">IF(C901="","",C901&amp;"|"&amp;COUNTIF(C$3:C901,C901))</f>
        <v/>
      </c>
      <c r="O901" s="1" t="str">
        <f aca="false">IF(OR(C901="",M901=""),"",C901&amp;"|"&amp;COUNTIFS(C$3:C901,C901,M$3:M901,"&lt;&gt;"))</f>
        <v/>
      </c>
    </row>
    <row r="902" customFormat="false" ht="15" hidden="false" customHeight="false" outlineLevel="0" collapsed="false">
      <c r="B902" s="7"/>
      <c r="C902" s="5"/>
      <c r="D902" s="9" t="str">
        <f aca="false">IF(C902="","",IFERROR(VLOOKUP(C902,EQUIPOS!$B$3:$C$18,2,0),"NO EXISTE"))</f>
        <v/>
      </c>
      <c r="E902" s="9" t="str">
        <f aca="false">IF(C902="","",IFERROR(VLOOKUP(C902,EQUIPOS!$B$3:$F$18,5,0),""))</f>
        <v/>
      </c>
      <c r="F902" s="5" t="str">
        <f aca="false">IF(C902="","",IFERROR(VLOOKUP(C902,EQUIPOS!$B$3:$G$18,6,0),""))</f>
        <v/>
      </c>
      <c r="G902" s="8"/>
      <c r="H902" s="5"/>
      <c r="I902" s="5"/>
      <c r="J902" s="9"/>
      <c r="K902" s="17" t="str">
        <f aca="false">IF(H902="","",IFERROR(SUMIFS(BD_PLAN!$I$3:$I$312,BD_PLAN!$B$3:$B$312,E902,BD_PLAN!$C$3:$C$312,INDEX(BD_CICLO!$F$3:$F$54,MATCH(E902&amp;"|"&amp;H902,BD_CICLO!$G$3:$G$54,0))),""))</f>
        <v/>
      </c>
      <c r="L902" s="9"/>
      <c r="M902" s="9"/>
      <c r="N902" s="1" t="str">
        <f aca="false">IF(C902="","",C902&amp;"|"&amp;COUNTIF(C$3:C902,C902))</f>
        <v/>
      </c>
      <c r="O902" s="1" t="str">
        <f aca="false">IF(OR(C902="",M902=""),"",C902&amp;"|"&amp;COUNTIFS(C$3:C902,C902,M$3:M902,"&lt;&gt;"))</f>
        <v/>
      </c>
    </row>
    <row r="903" customFormat="false" ht="15" hidden="false" customHeight="false" outlineLevel="0" collapsed="false">
      <c r="B903" s="7"/>
      <c r="C903" s="5"/>
      <c r="D903" s="9" t="str">
        <f aca="false">IF(C903="","",IFERROR(VLOOKUP(C903,EQUIPOS!$B$3:$C$18,2,0),"NO EXISTE"))</f>
        <v/>
      </c>
      <c r="E903" s="9" t="str">
        <f aca="false">IF(C903="","",IFERROR(VLOOKUP(C903,EQUIPOS!$B$3:$F$18,5,0),""))</f>
        <v/>
      </c>
      <c r="F903" s="5" t="str">
        <f aca="false">IF(C903="","",IFERROR(VLOOKUP(C903,EQUIPOS!$B$3:$G$18,6,0),""))</f>
        <v/>
      </c>
      <c r="G903" s="8"/>
      <c r="H903" s="5"/>
      <c r="I903" s="5"/>
      <c r="J903" s="9"/>
      <c r="K903" s="17" t="str">
        <f aca="false">IF(H903="","",IFERROR(SUMIFS(BD_PLAN!$I$3:$I$312,BD_PLAN!$B$3:$B$312,E903,BD_PLAN!$C$3:$C$312,INDEX(BD_CICLO!$F$3:$F$54,MATCH(E903&amp;"|"&amp;H903,BD_CICLO!$G$3:$G$54,0))),""))</f>
        <v/>
      </c>
      <c r="L903" s="9"/>
      <c r="M903" s="9"/>
      <c r="N903" s="1" t="str">
        <f aca="false">IF(C903="","",C903&amp;"|"&amp;COUNTIF(C$3:C903,C903))</f>
        <v/>
      </c>
      <c r="O903" s="1" t="str">
        <f aca="false">IF(OR(C903="",M903=""),"",C903&amp;"|"&amp;COUNTIFS(C$3:C903,C903,M$3:M903,"&lt;&gt;"))</f>
        <v/>
      </c>
    </row>
    <row r="904" customFormat="false" ht="15" hidden="false" customHeight="false" outlineLevel="0" collapsed="false">
      <c r="B904" s="7"/>
      <c r="C904" s="5"/>
      <c r="D904" s="9" t="str">
        <f aca="false">IF(C904="","",IFERROR(VLOOKUP(C904,EQUIPOS!$B$3:$C$18,2,0),"NO EXISTE"))</f>
        <v/>
      </c>
      <c r="E904" s="9" t="str">
        <f aca="false">IF(C904="","",IFERROR(VLOOKUP(C904,EQUIPOS!$B$3:$F$18,5,0),""))</f>
        <v/>
      </c>
      <c r="F904" s="5" t="str">
        <f aca="false">IF(C904="","",IFERROR(VLOOKUP(C904,EQUIPOS!$B$3:$G$18,6,0),""))</f>
        <v/>
      </c>
      <c r="G904" s="8"/>
      <c r="H904" s="5"/>
      <c r="I904" s="5"/>
      <c r="J904" s="9"/>
      <c r="K904" s="17" t="str">
        <f aca="false">IF(H904="","",IFERROR(SUMIFS(BD_PLAN!$I$3:$I$312,BD_PLAN!$B$3:$B$312,E904,BD_PLAN!$C$3:$C$312,INDEX(BD_CICLO!$F$3:$F$54,MATCH(E904&amp;"|"&amp;H904,BD_CICLO!$G$3:$G$54,0))),""))</f>
        <v/>
      </c>
      <c r="L904" s="9"/>
      <c r="M904" s="9"/>
      <c r="N904" s="1" t="str">
        <f aca="false">IF(C904="","",C904&amp;"|"&amp;COUNTIF(C$3:C904,C904))</f>
        <v/>
      </c>
      <c r="O904" s="1" t="str">
        <f aca="false">IF(OR(C904="",M904=""),"",C904&amp;"|"&amp;COUNTIFS(C$3:C904,C904,M$3:M904,"&lt;&gt;"))</f>
        <v/>
      </c>
    </row>
    <row r="905" customFormat="false" ht="15" hidden="false" customHeight="false" outlineLevel="0" collapsed="false">
      <c r="B905" s="7"/>
      <c r="C905" s="5"/>
      <c r="D905" s="9" t="str">
        <f aca="false">IF(C905="","",IFERROR(VLOOKUP(C905,EQUIPOS!$B$3:$C$18,2,0),"NO EXISTE"))</f>
        <v/>
      </c>
      <c r="E905" s="9" t="str">
        <f aca="false">IF(C905="","",IFERROR(VLOOKUP(C905,EQUIPOS!$B$3:$F$18,5,0),""))</f>
        <v/>
      </c>
      <c r="F905" s="5" t="str">
        <f aca="false">IF(C905="","",IFERROR(VLOOKUP(C905,EQUIPOS!$B$3:$G$18,6,0),""))</f>
        <v/>
      </c>
      <c r="G905" s="8"/>
      <c r="H905" s="5"/>
      <c r="I905" s="5"/>
      <c r="J905" s="9"/>
      <c r="K905" s="17" t="str">
        <f aca="false">IF(H905="","",IFERROR(SUMIFS(BD_PLAN!$I$3:$I$312,BD_PLAN!$B$3:$B$312,E905,BD_PLAN!$C$3:$C$312,INDEX(BD_CICLO!$F$3:$F$54,MATCH(E905&amp;"|"&amp;H905,BD_CICLO!$G$3:$G$54,0))),""))</f>
        <v/>
      </c>
      <c r="L905" s="9"/>
      <c r="M905" s="9"/>
      <c r="N905" s="1" t="str">
        <f aca="false">IF(C905="","",C905&amp;"|"&amp;COUNTIF(C$3:C905,C905))</f>
        <v/>
      </c>
      <c r="O905" s="1" t="str">
        <f aca="false">IF(OR(C905="",M905=""),"",C905&amp;"|"&amp;COUNTIFS(C$3:C905,C905,M$3:M905,"&lt;&gt;"))</f>
        <v/>
      </c>
    </row>
    <row r="906" customFormat="false" ht="15" hidden="false" customHeight="false" outlineLevel="0" collapsed="false">
      <c r="B906" s="7"/>
      <c r="C906" s="5"/>
      <c r="D906" s="9" t="str">
        <f aca="false">IF(C906="","",IFERROR(VLOOKUP(C906,EQUIPOS!$B$3:$C$18,2,0),"NO EXISTE"))</f>
        <v/>
      </c>
      <c r="E906" s="9" t="str">
        <f aca="false">IF(C906="","",IFERROR(VLOOKUP(C906,EQUIPOS!$B$3:$F$18,5,0),""))</f>
        <v/>
      </c>
      <c r="F906" s="5" t="str">
        <f aca="false">IF(C906="","",IFERROR(VLOOKUP(C906,EQUIPOS!$B$3:$G$18,6,0),""))</f>
        <v/>
      </c>
      <c r="G906" s="8"/>
      <c r="H906" s="5"/>
      <c r="I906" s="5"/>
      <c r="J906" s="9"/>
      <c r="K906" s="17" t="str">
        <f aca="false">IF(H906="","",IFERROR(SUMIFS(BD_PLAN!$I$3:$I$312,BD_PLAN!$B$3:$B$312,E906,BD_PLAN!$C$3:$C$312,INDEX(BD_CICLO!$F$3:$F$54,MATCH(E906&amp;"|"&amp;H906,BD_CICLO!$G$3:$G$54,0))),""))</f>
        <v/>
      </c>
      <c r="L906" s="9"/>
      <c r="M906" s="9"/>
      <c r="N906" s="1" t="str">
        <f aca="false">IF(C906="","",C906&amp;"|"&amp;COUNTIF(C$3:C906,C906))</f>
        <v/>
      </c>
      <c r="O906" s="1" t="str">
        <f aca="false">IF(OR(C906="",M906=""),"",C906&amp;"|"&amp;COUNTIFS(C$3:C906,C906,M$3:M906,"&lt;&gt;"))</f>
        <v/>
      </c>
    </row>
    <row r="907" customFormat="false" ht="15" hidden="false" customHeight="false" outlineLevel="0" collapsed="false">
      <c r="B907" s="7"/>
      <c r="C907" s="5"/>
      <c r="D907" s="9" t="str">
        <f aca="false">IF(C907="","",IFERROR(VLOOKUP(C907,EQUIPOS!$B$3:$C$18,2,0),"NO EXISTE"))</f>
        <v/>
      </c>
      <c r="E907" s="9" t="str">
        <f aca="false">IF(C907="","",IFERROR(VLOOKUP(C907,EQUIPOS!$B$3:$F$18,5,0),""))</f>
        <v/>
      </c>
      <c r="F907" s="5" t="str">
        <f aca="false">IF(C907="","",IFERROR(VLOOKUP(C907,EQUIPOS!$B$3:$G$18,6,0),""))</f>
        <v/>
      </c>
      <c r="G907" s="8"/>
      <c r="H907" s="5"/>
      <c r="I907" s="5"/>
      <c r="J907" s="9"/>
      <c r="K907" s="17" t="str">
        <f aca="false">IF(H907="","",IFERROR(SUMIFS(BD_PLAN!$I$3:$I$312,BD_PLAN!$B$3:$B$312,E907,BD_PLAN!$C$3:$C$312,INDEX(BD_CICLO!$F$3:$F$54,MATCH(E907&amp;"|"&amp;H907,BD_CICLO!$G$3:$G$54,0))),""))</f>
        <v/>
      </c>
      <c r="L907" s="9"/>
      <c r="M907" s="9"/>
      <c r="N907" s="1" t="str">
        <f aca="false">IF(C907="","",C907&amp;"|"&amp;COUNTIF(C$3:C907,C907))</f>
        <v/>
      </c>
      <c r="O907" s="1" t="str">
        <f aca="false">IF(OR(C907="",M907=""),"",C907&amp;"|"&amp;COUNTIFS(C$3:C907,C907,M$3:M907,"&lt;&gt;"))</f>
        <v/>
      </c>
    </row>
    <row r="908" customFormat="false" ht="15" hidden="false" customHeight="false" outlineLevel="0" collapsed="false">
      <c r="B908" s="7"/>
      <c r="C908" s="5"/>
      <c r="D908" s="9" t="str">
        <f aca="false">IF(C908="","",IFERROR(VLOOKUP(C908,EQUIPOS!$B$3:$C$18,2,0),"NO EXISTE"))</f>
        <v/>
      </c>
      <c r="E908" s="9" t="str">
        <f aca="false">IF(C908="","",IFERROR(VLOOKUP(C908,EQUIPOS!$B$3:$F$18,5,0),""))</f>
        <v/>
      </c>
      <c r="F908" s="5" t="str">
        <f aca="false">IF(C908="","",IFERROR(VLOOKUP(C908,EQUIPOS!$B$3:$G$18,6,0),""))</f>
        <v/>
      </c>
      <c r="G908" s="8"/>
      <c r="H908" s="5"/>
      <c r="I908" s="5"/>
      <c r="J908" s="9"/>
      <c r="K908" s="17" t="str">
        <f aca="false">IF(H908="","",IFERROR(SUMIFS(BD_PLAN!$I$3:$I$312,BD_PLAN!$B$3:$B$312,E908,BD_PLAN!$C$3:$C$312,INDEX(BD_CICLO!$F$3:$F$54,MATCH(E908&amp;"|"&amp;H908,BD_CICLO!$G$3:$G$54,0))),""))</f>
        <v/>
      </c>
      <c r="L908" s="9"/>
      <c r="M908" s="9"/>
      <c r="N908" s="1" t="str">
        <f aca="false">IF(C908="","",C908&amp;"|"&amp;COUNTIF(C$3:C908,C908))</f>
        <v/>
      </c>
      <c r="O908" s="1" t="str">
        <f aca="false">IF(OR(C908="",M908=""),"",C908&amp;"|"&amp;COUNTIFS(C$3:C908,C908,M$3:M908,"&lt;&gt;"))</f>
        <v/>
      </c>
    </row>
    <row r="909" customFormat="false" ht="15" hidden="false" customHeight="false" outlineLevel="0" collapsed="false">
      <c r="B909" s="7"/>
      <c r="C909" s="5"/>
      <c r="D909" s="9" t="str">
        <f aca="false">IF(C909="","",IFERROR(VLOOKUP(C909,EQUIPOS!$B$3:$C$18,2,0),"NO EXISTE"))</f>
        <v/>
      </c>
      <c r="E909" s="9" t="str">
        <f aca="false">IF(C909="","",IFERROR(VLOOKUP(C909,EQUIPOS!$B$3:$F$18,5,0),""))</f>
        <v/>
      </c>
      <c r="F909" s="5" t="str">
        <f aca="false">IF(C909="","",IFERROR(VLOOKUP(C909,EQUIPOS!$B$3:$G$18,6,0),""))</f>
        <v/>
      </c>
      <c r="G909" s="8"/>
      <c r="H909" s="5"/>
      <c r="I909" s="5"/>
      <c r="J909" s="9"/>
      <c r="K909" s="17" t="str">
        <f aca="false">IF(H909="","",IFERROR(SUMIFS(BD_PLAN!$I$3:$I$312,BD_PLAN!$B$3:$B$312,E909,BD_PLAN!$C$3:$C$312,INDEX(BD_CICLO!$F$3:$F$54,MATCH(E909&amp;"|"&amp;H909,BD_CICLO!$G$3:$G$54,0))),""))</f>
        <v/>
      </c>
      <c r="L909" s="9"/>
      <c r="M909" s="9"/>
      <c r="N909" s="1" t="str">
        <f aca="false">IF(C909="","",C909&amp;"|"&amp;COUNTIF(C$3:C909,C909))</f>
        <v/>
      </c>
      <c r="O909" s="1" t="str">
        <f aca="false">IF(OR(C909="",M909=""),"",C909&amp;"|"&amp;COUNTIFS(C$3:C909,C909,M$3:M909,"&lt;&gt;"))</f>
        <v/>
      </c>
    </row>
    <row r="910" customFormat="false" ht="15" hidden="false" customHeight="false" outlineLevel="0" collapsed="false">
      <c r="B910" s="7"/>
      <c r="C910" s="5"/>
      <c r="D910" s="9" t="str">
        <f aca="false">IF(C910="","",IFERROR(VLOOKUP(C910,EQUIPOS!$B$3:$C$18,2,0),"NO EXISTE"))</f>
        <v/>
      </c>
      <c r="E910" s="9" t="str">
        <f aca="false">IF(C910="","",IFERROR(VLOOKUP(C910,EQUIPOS!$B$3:$F$18,5,0),""))</f>
        <v/>
      </c>
      <c r="F910" s="5" t="str">
        <f aca="false">IF(C910="","",IFERROR(VLOOKUP(C910,EQUIPOS!$B$3:$G$18,6,0),""))</f>
        <v/>
      </c>
      <c r="G910" s="8"/>
      <c r="H910" s="5"/>
      <c r="I910" s="5"/>
      <c r="J910" s="9"/>
      <c r="K910" s="17" t="str">
        <f aca="false">IF(H910="","",IFERROR(SUMIFS(BD_PLAN!$I$3:$I$312,BD_PLAN!$B$3:$B$312,E910,BD_PLAN!$C$3:$C$312,INDEX(BD_CICLO!$F$3:$F$54,MATCH(E910&amp;"|"&amp;H910,BD_CICLO!$G$3:$G$54,0))),""))</f>
        <v/>
      </c>
      <c r="L910" s="9"/>
      <c r="M910" s="9"/>
      <c r="N910" s="1" t="str">
        <f aca="false">IF(C910="","",C910&amp;"|"&amp;COUNTIF(C$3:C910,C910))</f>
        <v/>
      </c>
      <c r="O910" s="1" t="str">
        <f aca="false">IF(OR(C910="",M910=""),"",C910&amp;"|"&amp;COUNTIFS(C$3:C910,C910,M$3:M910,"&lt;&gt;"))</f>
        <v/>
      </c>
    </row>
    <row r="911" customFormat="false" ht="15" hidden="false" customHeight="false" outlineLevel="0" collapsed="false">
      <c r="B911" s="7"/>
      <c r="C911" s="5"/>
      <c r="D911" s="9" t="str">
        <f aca="false">IF(C911="","",IFERROR(VLOOKUP(C911,EQUIPOS!$B$3:$C$18,2,0),"NO EXISTE"))</f>
        <v/>
      </c>
      <c r="E911" s="9" t="str">
        <f aca="false">IF(C911="","",IFERROR(VLOOKUP(C911,EQUIPOS!$B$3:$F$18,5,0),""))</f>
        <v/>
      </c>
      <c r="F911" s="5" t="str">
        <f aca="false">IF(C911="","",IFERROR(VLOOKUP(C911,EQUIPOS!$B$3:$G$18,6,0),""))</f>
        <v/>
      </c>
      <c r="G911" s="8"/>
      <c r="H911" s="5"/>
      <c r="I911" s="5"/>
      <c r="J911" s="9"/>
      <c r="K911" s="17" t="str">
        <f aca="false">IF(H911="","",IFERROR(SUMIFS(BD_PLAN!$I$3:$I$312,BD_PLAN!$B$3:$B$312,E911,BD_PLAN!$C$3:$C$312,INDEX(BD_CICLO!$F$3:$F$54,MATCH(E911&amp;"|"&amp;H911,BD_CICLO!$G$3:$G$54,0))),""))</f>
        <v/>
      </c>
      <c r="L911" s="9"/>
      <c r="M911" s="9"/>
      <c r="N911" s="1" t="str">
        <f aca="false">IF(C911="","",C911&amp;"|"&amp;COUNTIF(C$3:C911,C911))</f>
        <v/>
      </c>
      <c r="O911" s="1" t="str">
        <f aca="false">IF(OR(C911="",M911=""),"",C911&amp;"|"&amp;COUNTIFS(C$3:C911,C911,M$3:M911,"&lt;&gt;"))</f>
        <v/>
      </c>
    </row>
    <row r="912" customFormat="false" ht="15" hidden="false" customHeight="false" outlineLevel="0" collapsed="false">
      <c r="B912" s="7"/>
      <c r="C912" s="5"/>
      <c r="D912" s="9" t="str">
        <f aca="false">IF(C912="","",IFERROR(VLOOKUP(C912,EQUIPOS!$B$3:$C$18,2,0),"NO EXISTE"))</f>
        <v/>
      </c>
      <c r="E912" s="9" t="str">
        <f aca="false">IF(C912="","",IFERROR(VLOOKUP(C912,EQUIPOS!$B$3:$F$18,5,0),""))</f>
        <v/>
      </c>
      <c r="F912" s="5" t="str">
        <f aca="false">IF(C912="","",IFERROR(VLOOKUP(C912,EQUIPOS!$B$3:$G$18,6,0),""))</f>
        <v/>
      </c>
      <c r="G912" s="8"/>
      <c r="H912" s="5"/>
      <c r="I912" s="5"/>
      <c r="J912" s="9"/>
      <c r="K912" s="17" t="str">
        <f aca="false">IF(H912="","",IFERROR(SUMIFS(BD_PLAN!$I$3:$I$312,BD_PLAN!$B$3:$B$312,E912,BD_PLAN!$C$3:$C$312,INDEX(BD_CICLO!$F$3:$F$54,MATCH(E912&amp;"|"&amp;H912,BD_CICLO!$G$3:$G$54,0))),""))</f>
        <v/>
      </c>
      <c r="L912" s="9"/>
      <c r="M912" s="9"/>
      <c r="N912" s="1" t="str">
        <f aca="false">IF(C912="","",C912&amp;"|"&amp;COUNTIF(C$3:C912,C912))</f>
        <v/>
      </c>
      <c r="O912" s="1" t="str">
        <f aca="false">IF(OR(C912="",M912=""),"",C912&amp;"|"&amp;COUNTIFS(C$3:C912,C912,M$3:M912,"&lt;&gt;"))</f>
        <v/>
      </c>
    </row>
    <row r="913" customFormat="false" ht="15" hidden="false" customHeight="false" outlineLevel="0" collapsed="false">
      <c r="B913" s="7"/>
      <c r="C913" s="5"/>
      <c r="D913" s="9" t="str">
        <f aca="false">IF(C913="","",IFERROR(VLOOKUP(C913,EQUIPOS!$B$3:$C$18,2,0),"NO EXISTE"))</f>
        <v/>
      </c>
      <c r="E913" s="9" t="str">
        <f aca="false">IF(C913="","",IFERROR(VLOOKUP(C913,EQUIPOS!$B$3:$F$18,5,0),""))</f>
        <v/>
      </c>
      <c r="F913" s="5" t="str">
        <f aca="false">IF(C913="","",IFERROR(VLOOKUP(C913,EQUIPOS!$B$3:$G$18,6,0),""))</f>
        <v/>
      </c>
      <c r="G913" s="8"/>
      <c r="H913" s="5"/>
      <c r="I913" s="5"/>
      <c r="J913" s="9"/>
      <c r="K913" s="17" t="str">
        <f aca="false">IF(H913="","",IFERROR(SUMIFS(BD_PLAN!$I$3:$I$312,BD_PLAN!$B$3:$B$312,E913,BD_PLAN!$C$3:$C$312,INDEX(BD_CICLO!$F$3:$F$54,MATCH(E913&amp;"|"&amp;H913,BD_CICLO!$G$3:$G$54,0))),""))</f>
        <v/>
      </c>
      <c r="L913" s="9"/>
      <c r="M913" s="9"/>
      <c r="N913" s="1" t="str">
        <f aca="false">IF(C913="","",C913&amp;"|"&amp;COUNTIF(C$3:C913,C913))</f>
        <v/>
      </c>
      <c r="O913" s="1" t="str">
        <f aca="false">IF(OR(C913="",M913=""),"",C913&amp;"|"&amp;COUNTIFS(C$3:C913,C913,M$3:M913,"&lt;&gt;"))</f>
        <v/>
      </c>
    </row>
    <row r="914" customFormat="false" ht="15" hidden="false" customHeight="false" outlineLevel="0" collapsed="false">
      <c r="B914" s="7"/>
      <c r="C914" s="5"/>
      <c r="D914" s="9" t="str">
        <f aca="false">IF(C914="","",IFERROR(VLOOKUP(C914,EQUIPOS!$B$3:$C$18,2,0),"NO EXISTE"))</f>
        <v/>
      </c>
      <c r="E914" s="9" t="str">
        <f aca="false">IF(C914="","",IFERROR(VLOOKUP(C914,EQUIPOS!$B$3:$F$18,5,0),""))</f>
        <v/>
      </c>
      <c r="F914" s="5" t="str">
        <f aca="false">IF(C914="","",IFERROR(VLOOKUP(C914,EQUIPOS!$B$3:$G$18,6,0),""))</f>
        <v/>
      </c>
      <c r="G914" s="8"/>
      <c r="H914" s="5"/>
      <c r="I914" s="5"/>
      <c r="J914" s="9"/>
      <c r="K914" s="17" t="str">
        <f aca="false">IF(H914="","",IFERROR(SUMIFS(BD_PLAN!$I$3:$I$312,BD_PLAN!$B$3:$B$312,E914,BD_PLAN!$C$3:$C$312,INDEX(BD_CICLO!$F$3:$F$54,MATCH(E914&amp;"|"&amp;H914,BD_CICLO!$G$3:$G$54,0))),""))</f>
        <v/>
      </c>
      <c r="L914" s="9"/>
      <c r="M914" s="9"/>
      <c r="N914" s="1" t="str">
        <f aca="false">IF(C914="","",C914&amp;"|"&amp;COUNTIF(C$3:C914,C914))</f>
        <v/>
      </c>
      <c r="O914" s="1" t="str">
        <f aca="false">IF(OR(C914="",M914=""),"",C914&amp;"|"&amp;COUNTIFS(C$3:C914,C914,M$3:M914,"&lt;&gt;"))</f>
        <v/>
      </c>
    </row>
    <row r="915" customFormat="false" ht="15" hidden="false" customHeight="false" outlineLevel="0" collapsed="false">
      <c r="B915" s="7"/>
      <c r="C915" s="5"/>
      <c r="D915" s="9" t="str">
        <f aca="false">IF(C915="","",IFERROR(VLOOKUP(C915,EQUIPOS!$B$3:$C$18,2,0),"NO EXISTE"))</f>
        <v/>
      </c>
      <c r="E915" s="9" t="str">
        <f aca="false">IF(C915="","",IFERROR(VLOOKUP(C915,EQUIPOS!$B$3:$F$18,5,0),""))</f>
        <v/>
      </c>
      <c r="F915" s="5" t="str">
        <f aca="false">IF(C915="","",IFERROR(VLOOKUP(C915,EQUIPOS!$B$3:$G$18,6,0),""))</f>
        <v/>
      </c>
      <c r="G915" s="8"/>
      <c r="H915" s="5"/>
      <c r="I915" s="5"/>
      <c r="J915" s="9"/>
      <c r="K915" s="17" t="str">
        <f aca="false">IF(H915="","",IFERROR(SUMIFS(BD_PLAN!$I$3:$I$312,BD_PLAN!$B$3:$B$312,E915,BD_PLAN!$C$3:$C$312,INDEX(BD_CICLO!$F$3:$F$54,MATCH(E915&amp;"|"&amp;H915,BD_CICLO!$G$3:$G$54,0))),""))</f>
        <v/>
      </c>
      <c r="L915" s="9"/>
      <c r="M915" s="9"/>
      <c r="N915" s="1" t="str">
        <f aca="false">IF(C915="","",C915&amp;"|"&amp;COUNTIF(C$3:C915,C915))</f>
        <v/>
      </c>
      <c r="O915" s="1" t="str">
        <f aca="false">IF(OR(C915="",M915=""),"",C915&amp;"|"&amp;COUNTIFS(C$3:C915,C915,M$3:M915,"&lt;&gt;"))</f>
        <v/>
      </c>
    </row>
    <row r="916" customFormat="false" ht="15" hidden="false" customHeight="false" outlineLevel="0" collapsed="false">
      <c r="B916" s="7"/>
      <c r="C916" s="5"/>
      <c r="D916" s="9" t="str">
        <f aca="false">IF(C916="","",IFERROR(VLOOKUP(C916,EQUIPOS!$B$3:$C$18,2,0),"NO EXISTE"))</f>
        <v/>
      </c>
      <c r="E916" s="9" t="str">
        <f aca="false">IF(C916="","",IFERROR(VLOOKUP(C916,EQUIPOS!$B$3:$F$18,5,0),""))</f>
        <v/>
      </c>
      <c r="F916" s="5" t="str">
        <f aca="false">IF(C916="","",IFERROR(VLOOKUP(C916,EQUIPOS!$B$3:$G$18,6,0),""))</f>
        <v/>
      </c>
      <c r="G916" s="8"/>
      <c r="H916" s="5"/>
      <c r="I916" s="5"/>
      <c r="J916" s="9"/>
      <c r="K916" s="17" t="str">
        <f aca="false">IF(H916="","",IFERROR(SUMIFS(BD_PLAN!$I$3:$I$312,BD_PLAN!$B$3:$B$312,E916,BD_PLAN!$C$3:$C$312,INDEX(BD_CICLO!$F$3:$F$54,MATCH(E916&amp;"|"&amp;H916,BD_CICLO!$G$3:$G$54,0))),""))</f>
        <v/>
      </c>
      <c r="L916" s="9"/>
      <c r="M916" s="9"/>
      <c r="N916" s="1" t="str">
        <f aca="false">IF(C916="","",C916&amp;"|"&amp;COUNTIF(C$3:C916,C916))</f>
        <v/>
      </c>
      <c r="O916" s="1" t="str">
        <f aca="false">IF(OR(C916="",M916=""),"",C916&amp;"|"&amp;COUNTIFS(C$3:C916,C916,M$3:M916,"&lt;&gt;"))</f>
        <v/>
      </c>
    </row>
    <row r="917" customFormat="false" ht="15" hidden="false" customHeight="false" outlineLevel="0" collapsed="false">
      <c r="B917" s="7"/>
      <c r="C917" s="5"/>
      <c r="D917" s="9" t="str">
        <f aca="false">IF(C917="","",IFERROR(VLOOKUP(C917,EQUIPOS!$B$3:$C$18,2,0),"NO EXISTE"))</f>
        <v/>
      </c>
      <c r="E917" s="9" t="str">
        <f aca="false">IF(C917="","",IFERROR(VLOOKUP(C917,EQUIPOS!$B$3:$F$18,5,0),""))</f>
        <v/>
      </c>
      <c r="F917" s="5" t="str">
        <f aca="false">IF(C917="","",IFERROR(VLOOKUP(C917,EQUIPOS!$B$3:$G$18,6,0),""))</f>
        <v/>
      </c>
      <c r="G917" s="8"/>
      <c r="H917" s="5"/>
      <c r="I917" s="5"/>
      <c r="J917" s="9"/>
      <c r="K917" s="17" t="str">
        <f aca="false">IF(H917="","",IFERROR(SUMIFS(BD_PLAN!$I$3:$I$312,BD_PLAN!$B$3:$B$312,E917,BD_PLAN!$C$3:$C$312,INDEX(BD_CICLO!$F$3:$F$54,MATCH(E917&amp;"|"&amp;H917,BD_CICLO!$G$3:$G$54,0))),""))</f>
        <v/>
      </c>
      <c r="L917" s="9"/>
      <c r="M917" s="9"/>
      <c r="N917" s="1" t="str">
        <f aca="false">IF(C917="","",C917&amp;"|"&amp;COUNTIF(C$3:C917,C917))</f>
        <v/>
      </c>
      <c r="O917" s="1" t="str">
        <f aca="false">IF(OR(C917="",M917=""),"",C917&amp;"|"&amp;COUNTIFS(C$3:C917,C917,M$3:M917,"&lt;&gt;"))</f>
        <v/>
      </c>
    </row>
    <row r="918" customFormat="false" ht="15" hidden="false" customHeight="false" outlineLevel="0" collapsed="false">
      <c r="B918" s="7"/>
      <c r="C918" s="5"/>
      <c r="D918" s="9" t="str">
        <f aca="false">IF(C918="","",IFERROR(VLOOKUP(C918,EQUIPOS!$B$3:$C$18,2,0),"NO EXISTE"))</f>
        <v/>
      </c>
      <c r="E918" s="9" t="str">
        <f aca="false">IF(C918="","",IFERROR(VLOOKUP(C918,EQUIPOS!$B$3:$F$18,5,0),""))</f>
        <v/>
      </c>
      <c r="F918" s="5" t="str">
        <f aca="false">IF(C918="","",IFERROR(VLOOKUP(C918,EQUIPOS!$B$3:$G$18,6,0),""))</f>
        <v/>
      </c>
      <c r="G918" s="8"/>
      <c r="H918" s="5"/>
      <c r="I918" s="5"/>
      <c r="J918" s="9"/>
      <c r="K918" s="17" t="str">
        <f aca="false">IF(H918="","",IFERROR(SUMIFS(BD_PLAN!$I$3:$I$312,BD_PLAN!$B$3:$B$312,E918,BD_PLAN!$C$3:$C$312,INDEX(BD_CICLO!$F$3:$F$54,MATCH(E918&amp;"|"&amp;H918,BD_CICLO!$G$3:$G$54,0))),""))</f>
        <v/>
      </c>
      <c r="L918" s="9"/>
      <c r="M918" s="9"/>
      <c r="N918" s="1" t="str">
        <f aca="false">IF(C918="","",C918&amp;"|"&amp;COUNTIF(C$3:C918,C918))</f>
        <v/>
      </c>
      <c r="O918" s="1" t="str">
        <f aca="false">IF(OR(C918="",M918=""),"",C918&amp;"|"&amp;COUNTIFS(C$3:C918,C918,M$3:M918,"&lt;&gt;"))</f>
        <v/>
      </c>
    </row>
    <row r="919" customFormat="false" ht="15" hidden="false" customHeight="false" outlineLevel="0" collapsed="false">
      <c r="B919" s="7"/>
      <c r="C919" s="5"/>
      <c r="D919" s="9" t="str">
        <f aca="false">IF(C919="","",IFERROR(VLOOKUP(C919,EQUIPOS!$B$3:$C$18,2,0),"NO EXISTE"))</f>
        <v/>
      </c>
      <c r="E919" s="9" t="str">
        <f aca="false">IF(C919="","",IFERROR(VLOOKUP(C919,EQUIPOS!$B$3:$F$18,5,0),""))</f>
        <v/>
      </c>
      <c r="F919" s="5" t="str">
        <f aca="false">IF(C919="","",IFERROR(VLOOKUP(C919,EQUIPOS!$B$3:$G$18,6,0),""))</f>
        <v/>
      </c>
      <c r="G919" s="8"/>
      <c r="H919" s="5"/>
      <c r="I919" s="5"/>
      <c r="J919" s="9"/>
      <c r="K919" s="17" t="str">
        <f aca="false">IF(H919="","",IFERROR(SUMIFS(BD_PLAN!$I$3:$I$312,BD_PLAN!$B$3:$B$312,E919,BD_PLAN!$C$3:$C$312,INDEX(BD_CICLO!$F$3:$F$54,MATCH(E919&amp;"|"&amp;H919,BD_CICLO!$G$3:$G$54,0))),""))</f>
        <v/>
      </c>
      <c r="L919" s="9"/>
      <c r="M919" s="9"/>
      <c r="N919" s="1" t="str">
        <f aca="false">IF(C919="","",C919&amp;"|"&amp;COUNTIF(C$3:C919,C919))</f>
        <v/>
      </c>
      <c r="O919" s="1" t="str">
        <f aca="false">IF(OR(C919="",M919=""),"",C919&amp;"|"&amp;COUNTIFS(C$3:C919,C919,M$3:M919,"&lt;&gt;"))</f>
        <v/>
      </c>
    </row>
    <row r="920" customFormat="false" ht="15" hidden="false" customHeight="false" outlineLevel="0" collapsed="false">
      <c r="B920" s="7"/>
      <c r="C920" s="5"/>
      <c r="D920" s="9" t="str">
        <f aca="false">IF(C920="","",IFERROR(VLOOKUP(C920,EQUIPOS!$B$3:$C$18,2,0),"NO EXISTE"))</f>
        <v/>
      </c>
      <c r="E920" s="9" t="str">
        <f aca="false">IF(C920="","",IFERROR(VLOOKUP(C920,EQUIPOS!$B$3:$F$18,5,0),""))</f>
        <v/>
      </c>
      <c r="F920" s="5" t="str">
        <f aca="false">IF(C920="","",IFERROR(VLOOKUP(C920,EQUIPOS!$B$3:$G$18,6,0),""))</f>
        <v/>
      </c>
      <c r="G920" s="8"/>
      <c r="H920" s="5"/>
      <c r="I920" s="5"/>
      <c r="J920" s="9"/>
      <c r="K920" s="17" t="str">
        <f aca="false">IF(H920="","",IFERROR(SUMIFS(BD_PLAN!$I$3:$I$312,BD_PLAN!$B$3:$B$312,E920,BD_PLAN!$C$3:$C$312,INDEX(BD_CICLO!$F$3:$F$54,MATCH(E920&amp;"|"&amp;H920,BD_CICLO!$G$3:$G$54,0))),""))</f>
        <v/>
      </c>
      <c r="L920" s="9"/>
      <c r="M920" s="9"/>
      <c r="N920" s="1" t="str">
        <f aca="false">IF(C920="","",C920&amp;"|"&amp;COUNTIF(C$3:C920,C920))</f>
        <v/>
      </c>
      <c r="O920" s="1" t="str">
        <f aca="false">IF(OR(C920="",M920=""),"",C920&amp;"|"&amp;COUNTIFS(C$3:C920,C920,M$3:M920,"&lt;&gt;"))</f>
        <v/>
      </c>
    </row>
    <row r="921" customFormat="false" ht="15" hidden="false" customHeight="false" outlineLevel="0" collapsed="false">
      <c r="B921" s="7"/>
      <c r="C921" s="5"/>
      <c r="D921" s="9" t="str">
        <f aca="false">IF(C921="","",IFERROR(VLOOKUP(C921,EQUIPOS!$B$3:$C$18,2,0),"NO EXISTE"))</f>
        <v/>
      </c>
      <c r="E921" s="9" t="str">
        <f aca="false">IF(C921="","",IFERROR(VLOOKUP(C921,EQUIPOS!$B$3:$F$18,5,0),""))</f>
        <v/>
      </c>
      <c r="F921" s="5" t="str">
        <f aca="false">IF(C921="","",IFERROR(VLOOKUP(C921,EQUIPOS!$B$3:$G$18,6,0),""))</f>
        <v/>
      </c>
      <c r="G921" s="8"/>
      <c r="H921" s="5"/>
      <c r="I921" s="5"/>
      <c r="J921" s="9"/>
      <c r="K921" s="17" t="str">
        <f aca="false">IF(H921="","",IFERROR(SUMIFS(BD_PLAN!$I$3:$I$312,BD_PLAN!$B$3:$B$312,E921,BD_PLAN!$C$3:$C$312,INDEX(BD_CICLO!$F$3:$F$54,MATCH(E921&amp;"|"&amp;H921,BD_CICLO!$G$3:$G$54,0))),""))</f>
        <v/>
      </c>
      <c r="L921" s="9"/>
      <c r="M921" s="9"/>
      <c r="N921" s="1" t="str">
        <f aca="false">IF(C921="","",C921&amp;"|"&amp;COUNTIF(C$3:C921,C921))</f>
        <v/>
      </c>
      <c r="O921" s="1" t="str">
        <f aca="false">IF(OR(C921="",M921=""),"",C921&amp;"|"&amp;COUNTIFS(C$3:C921,C921,M$3:M921,"&lt;&gt;"))</f>
        <v/>
      </c>
    </row>
    <row r="922" customFormat="false" ht="15" hidden="false" customHeight="false" outlineLevel="0" collapsed="false">
      <c r="B922" s="7"/>
      <c r="C922" s="5"/>
      <c r="D922" s="9" t="str">
        <f aca="false">IF(C922="","",IFERROR(VLOOKUP(C922,EQUIPOS!$B$3:$C$18,2,0),"NO EXISTE"))</f>
        <v/>
      </c>
      <c r="E922" s="9" t="str">
        <f aca="false">IF(C922="","",IFERROR(VLOOKUP(C922,EQUIPOS!$B$3:$F$18,5,0),""))</f>
        <v/>
      </c>
      <c r="F922" s="5" t="str">
        <f aca="false">IF(C922="","",IFERROR(VLOOKUP(C922,EQUIPOS!$B$3:$G$18,6,0),""))</f>
        <v/>
      </c>
      <c r="G922" s="8"/>
      <c r="H922" s="5"/>
      <c r="I922" s="5"/>
      <c r="J922" s="9"/>
      <c r="K922" s="17" t="str">
        <f aca="false">IF(H922="","",IFERROR(SUMIFS(BD_PLAN!$I$3:$I$312,BD_PLAN!$B$3:$B$312,E922,BD_PLAN!$C$3:$C$312,INDEX(BD_CICLO!$F$3:$F$54,MATCH(E922&amp;"|"&amp;H922,BD_CICLO!$G$3:$G$54,0))),""))</f>
        <v/>
      </c>
      <c r="L922" s="9"/>
      <c r="M922" s="9"/>
      <c r="N922" s="1" t="str">
        <f aca="false">IF(C922="","",C922&amp;"|"&amp;COUNTIF(C$3:C922,C922))</f>
        <v/>
      </c>
      <c r="O922" s="1" t="str">
        <f aca="false">IF(OR(C922="",M922=""),"",C922&amp;"|"&amp;COUNTIFS(C$3:C922,C922,M$3:M922,"&lt;&gt;"))</f>
        <v/>
      </c>
    </row>
    <row r="923" customFormat="false" ht="15" hidden="false" customHeight="false" outlineLevel="0" collapsed="false">
      <c r="B923" s="7"/>
      <c r="C923" s="5"/>
      <c r="D923" s="9" t="str">
        <f aca="false">IF(C923="","",IFERROR(VLOOKUP(C923,EQUIPOS!$B$3:$C$18,2,0),"NO EXISTE"))</f>
        <v/>
      </c>
      <c r="E923" s="9" t="str">
        <f aca="false">IF(C923="","",IFERROR(VLOOKUP(C923,EQUIPOS!$B$3:$F$18,5,0),""))</f>
        <v/>
      </c>
      <c r="F923" s="5" t="str">
        <f aca="false">IF(C923="","",IFERROR(VLOOKUP(C923,EQUIPOS!$B$3:$G$18,6,0),""))</f>
        <v/>
      </c>
      <c r="G923" s="8"/>
      <c r="H923" s="5"/>
      <c r="I923" s="5"/>
      <c r="J923" s="9"/>
      <c r="K923" s="17" t="str">
        <f aca="false">IF(H923="","",IFERROR(SUMIFS(BD_PLAN!$I$3:$I$312,BD_PLAN!$B$3:$B$312,E923,BD_PLAN!$C$3:$C$312,INDEX(BD_CICLO!$F$3:$F$54,MATCH(E923&amp;"|"&amp;H923,BD_CICLO!$G$3:$G$54,0))),""))</f>
        <v/>
      </c>
      <c r="L923" s="9"/>
      <c r="M923" s="9"/>
      <c r="N923" s="1" t="str">
        <f aca="false">IF(C923="","",C923&amp;"|"&amp;COUNTIF(C$3:C923,C923))</f>
        <v/>
      </c>
      <c r="O923" s="1" t="str">
        <f aca="false">IF(OR(C923="",M923=""),"",C923&amp;"|"&amp;COUNTIFS(C$3:C923,C923,M$3:M923,"&lt;&gt;"))</f>
        <v/>
      </c>
    </row>
    <row r="924" customFormat="false" ht="15" hidden="false" customHeight="false" outlineLevel="0" collapsed="false">
      <c r="B924" s="7"/>
      <c r="C924" s="5"/>
      <c r="D924" s="9" t="str">
        <f aca="false">IF(C924="","",IFERROR(VLOOKUP(C924,EQUIPOS!$B$3:$C$18,2,0),"NO EXISTE"))</f>
        <v/>
      </c>
      <c r="E924" s="9" t="str">
        <f aca="false">IF(C924="","",IFERROR(VLOOKUP(C924,EQUIPOS!$B$3:$F$18,5,0),""))</f>
        <v/>
      </c>
      <c r="F924" s="5" t="str">
        <f aca="false">IF(C924="","",IFERROR(VLOOKUP(C924,EQUIPOS!$B$3:$G$18,6,0),""))</f>
        <v/>
      </c>
      <c r="G924" s="8"/>
      <c r="H924" s="5"/>
      <c r="I924" s="5"/>
      <c r="J924" s="9"/>
      <c r="K924" s="17" t="str">
        <f aca="false">IF(H924="","",IFERROR(SUMIFS(BD_PLAN!$I$3:$I$312,BD_PLAN!$B$3:$B$312,E924,BD_PLAN!$C$3:$C$312,INDEX(BD_CICLO!$F$3:$F$54,MATCH(E924&amp;"|"&amp;H924,BD_CICLO!$G$3:$G$54,0))),""))</f>
        <v/>
      </c>
      <c r="L924" s="9"/>
      <c r="M924" s="9"/>
      <c r="N924" s="1" t="str">
        <f aca="false">IF(C924="","",C924&amp;"|"&amp;COUNTIF(C$3:C924,C924))</f>
        <v/>
      </c>
      <c r="O924" s="1" t="str">
        <f aca="false">IF(OR(C924="",M924=""),"",C924&amp;"|"&amp;COUNTIFS(C$3:C924,C924,M$3:M924,"&lt;&gt;"))</f>
        <v/>
      </c>
    </row>
    <row r="925" customFormat="false" ht="15" hidden="false" customHeight="false" outlineLevel="0" collapsed="false">
      <c r="B925" s="7"/>
      <c r="C925" s="5"/>
      <c r="D925" s="9" t="str">
        <f aca="false">IF(C925="","",IFERROR(VLOOKUP(C925,EQUIPOS!$B$3:$C$18,2,0),"NO EXISTE"))</f>
        <v/>
      </c>
      <c r="E925" s="9" t="str">
        <f aca="false">IF(C925="","",IFERROR(VLOOKUP(C925,EQUIPOS!$B$3:$F$18,5,0),""))</f>
        <v/>
      </c>
      <c r="F925" s="5" t="str">
        <f aca="false">IF(C925="","",IFERROR(VLOOKUP(C925,EQUIPOS!$B$3:$G$18,6,0),""))</f>
        <v/>
      </c>
      <c r="G925" s="8"/>
      <c r="H925" s="5"/>
      <c r="I925" s="5"/>
      <c r="J925" s="9"/>
      <c r="K925" s="17" t="str">
        <f aca="false">IF(H925="","",IFERROR(SUMIFS(BD_PLAN!$I$3:$I$312,BD_PLAN!$B$3:$B$312,E925,BD_PLAN!$C$3:$C$312,INDEX(BD_CICLO!$F$3:$F$54,MATCH(E925&amp;"|"&amp;H925,BD_CICLO!$G$3:$G$54,0))),""))</f>
        <v/>
      </c>
      <c r="L925" s="9"/>
      <c r="M925" s="9"/>
      <c r="N925" s="1" t="str">
        <f aca="false">IF(C925="","",C925&amp;"|"&amp;COUNTIF(C$3:C925,C925))</f>
        <v/>
      </c>
      <c r="O925" s="1" t="str">
        <f aca="false">IF(OR(C925="",M925=""),"",C925&amp;"|"&amp;COUNTIFS(C$3:C925,C925,M$3:M925,"&lt;&gt;"))</f>
        <v/>
      </c>
    </row>
    <row r="926" customFormat="false" ht="15" hidden="false" customHeight="false" outlineLevel="0" collapsed="false">
      <c r="B926" s="7"/>
      <c r="C926" s="5"/>
      <c r="D926" s="9" t="str">
        <f aca="false">IF(C926="","",IFERROR(VLOOKUP(C926,EQUIPOS!$B$3:$C$18,2,0),"NO EXISTE"))</f>
        <v/>
      </c>
      <c r="E926" s="9" t="str">
        <f aca="false">IF(C926="","",IFERROR(VLOOKUP(C926,EQUIPOS!$B$3:$F$18,5,0),""))</f>
        <v/>
      </c>
      <c r="F926" s="5" t="str">
        <f aca="false">IF(C926="","",IFERROR(VLOOKUP(C926,EQUIPOS!$B$3:$G$18,6,0),""))</f>
        <v/>
      </c>
      <c r="G926" s="8"/>
      <c r="H926" s="5"/>
      <c r="I926" s="5"/>
      <c r="J926" s="9"/>
      <c r="K926" s="17" t="str">
        <f aca="false">IF(H926="","",IFERROR(SUMIFS(BD_PLAN!$I$3:$I$312,BD_PLAN!$B$3:$B$312,E926,BD_PLAN!$C$3:$C$312,INDEX(BD_CICLO!$F$3:$F$54,MATCH(E926&amp;"|"&amp;H926,BD_CICLO!$G$3:$G$54,0))),""))</f>
        <v/>
      </c>
      <c r="L926" s="9"/>
      <c r="M926" s="9"/>
      <c r="N926" s="1" t="str">
        <f aca="false">IF(C926="","",C926&amp;"|"&amp;COUNTIF(C$3:C926,C926))</f>
        <v/>
      </c>
      <c r="O926" s="1" t="str">
        <f aca="false">IF(OR(C926="",M926=""),"",C926&amp;"|"&amp;COUNTIFS(C$3:C926,C926,M$3:M926,"&lt;&gt;"))</f>
        <v/>
      </c>
    </row>
    <row r="927" customFormat="false" ht="15" hidden="false" customHeight="false" outlineLevel="0" collapsed="false">
      <c r="B927" s="7"/>
      <c r="C927" s="5"/>
      <c r="D927" s="9" t="str">
        <f aca="false">IF(C927="","",IFERROR(VLOOKUP(C927,EQUIPOS!$B$3:$C$18,2,0),"NO EXISTE"))</f>
        <v/>
      </c>
      <c r="E927" s="9" t="str">
        <f aca="false">IF(C927="","",IFERROR(VLOOKUP(C927,EQUIPOS!$B$3:$F$18,5,0),""))</f>
        <v/>
      </c>
      <c r="F927" s="5" t="str">
        <f aca="false">IF(C927="","",IFERROR(VLOOKUP(C927,EQUIPOS!$B$3:$G$18,6,0),""))</f>
        <v/>
      </c>
      <c r="G927" s="8"/>
      <c r="H927" s="5"/>
      <c r="I927" s="5"/>
      <c r="J927" s="9"/>
      <c r="K927" s="17" t="str">
        <f aca="false">IF(H927="","",IFERROR(SUMIFS(BD_PLAN!$I$3:$I$312,BD_PLAN!$B$3:$B$312,E927,BD_PLAN!$C$3:$C$312,INDEX(BD_CICLO!$F$3:$F$54,MATCH(E927&amp;"|"&amp;H927,BD_CICLO!$G$3:$G$54,0))),""))</f>
        <v/>
      </c>
      <c r="L927" s="9"/>
      <c r="M927" s="9"/>
      <c r="N927" s="1" t="str">
        <f aca="false">IF(C927="","",C927&amp;"|"&amp;COUNTIF(C$3:C927,C927))</f>
        <v/>
      </c>
      <c r="O927" s="1" t="str">
        <f aca="false">IF(OR(C927="",M927=""),"",C927&amp;"|"&amp;COUNTIFS(C$3:C927,C927,M$3:M927,"&lt;&gt;"))</f>
        <v/>
      </c>
    </row>
    <row r="928" customFormat="false" ht="15" hidden="false" customHeight="false" outlineLevel="0" collapsed="false">
      <c r="B928" s="7"/>
      <c r="C928" s="5"/>
      <c r="D928" s="9" t="str">
        <f aca="false">IF(C928="","",IFERROR(VLOOKUP(C928,EQUIPOS!$B$3:$C$18,2,0),"NO EXISTE"))</f>
        <v/>
      </c>
      <c r="E928" s="9" t="str">
        <f aca="false">IF(C928="","",IFERROR(VLOOKUP(C928,EQUIPOS!$B$3:$F$18,5,0),""))</f>
        <v/>
      </c>
      <c r="F928" s="5" t="str">
        <f aca="false">IF(C928="","",IFERROR(VLOOKUP(C928,EQUIPOS!$B$3:$G$18,6,0),""))</f>
        <v/>
      </c>
      <c r="G928" s="8"/>
      <c r="H928" s="5"/>
      <c r="I928" s="5"/>
      <c r="J928" s="9"/>
      <c r="K928" s="17" t="str">
        <f aca="false">IF(H928="","",IFERROR(SUMIFS(BD_PLAN!$I$3:$I$312,BD_PLAN!$B$3:$B$312,E928,BD_PLAN!$C$3:$C$312,INDEX(BD_CICLO!$F$3:$F$54,MATCH(E928&amp;"|"&amp;H928,BD_CICLO!$G$3:$G$54,0))),""))</f>
        <v/>
      </c>
      <c r="L928" s="9"/>
      <c r="M928" s="9"/>
      <c r="N928" s="1" t="str">
        <f aca="false">IF(C928="","",C928&amp;"|"&amp;COUNTIF(C$3:C928,C928))</f>
        <v/>
      </c>
      <c r="O928" s="1" t="str">
        <f aca="false">IF(OR(C928="",M928=""),"",C928&amp;"|"&amp;COUNTIFS(C$3:C928,C928,M$3:M928,"&lt;&gt;"))</f>
        <v/>
      </c>
    </row>
    <row r="929" customFormat="false" ht="15" hidden="false" customHeight="false" outlineLevel="0" collapsed="false">
      <c r="B929" s="7"/>
      <c r="C929" s="5"/>
      <c r="D929" s="9" t="str">
        <f aca="false">IF(C929="","",IFERROR(VLOOKUP(C929,EQUIPOS!$B$3:$C$18,2,0),"NO EXISTE"))</f>
        <v/>
      </c>
      <c r="E929" s="9" t="str">
        <f aca="false">IF(C929="","",IFERROR(VLOOKUP(C929,EQUIPOS!$B$3:$F$18,5,0),""))</f>
        <v/>
      </c>
      <c r="F929" s="5" t="str">
        <f aca="false">IF(C929="","",IFERROR(VLOOKUP(C929,EQUIPOS!$B$3:$G$18,6,0),""))</f>
        <v/>
      </c>
      <c r="G929" s="8"/>
      <c r="H929" s="5"/>
      <c r="I929" s="5"/>
      <c r="J929" s="9"/>
      <c r="K929" s="17" t="str">
        <f aca="false">IF(H929="","",IFERROR(SUMIFS(BD_PLAN!$I$3:$I$312,BD_PLAN!$B$3:$B$312,E929,BD_PLAN!$C$3:$C$312,INDEX(BD_CICLO!$F$3:$F$54,MATCH(E929&amp;"|"&amp;H929,BD_CICLO!$G$3:$G$54,0))),""))</f>
        <v/>
      </c>
      <c r="L929" s="9"/>
      <c r="M929" s="9"/>
      <c r="N929" s="1" t="str">
        <f aca="false">IF(C929="","",C929&amp;"|"&amp;COUNTIF(C$3:C929,C929))</f>
        <v/>
      </c>
      <c r="O929" s="1" t="str">
        <f aca="false">IF(OR(C929="",M929=""),"",C929&amp;"|"&amp;COUNTIFS(C$3:C929,C929,M$3:M929,"&lt;&gt;"))</f>
        <v/>
      </c>
    </row>
    <row r="930" customFormat="false" ht="15" hidden="false" customHeight="false" outlineLevel="0" collapsed="false">
      <c r="B930" s="7"/>
      <c r="C930" s="5"/>
      <c r="D930" s="9" t="str">
        <f aca="false">IF(C930="","",IFERROR(VLOOKUP(C930,EQUIPOS!$B$3:$C$18,2,0),"NO EXISTE"))</f>
        <v/>
      </c>
      <c r="E930" s="9" t="str">
        <f aca="false">IF(C930="","",IFERROR(VLOOKUP(C930,EQUIPOS!$B$3:$F$18,5,0),""))</f>
        <v/>
      </c>
      <c r="F930" s="5" t="str">
        <f aca="false">IF(C930="","",IFERROR(VLOOKUP(C930,EQUIPOS!$B$3:$G$18,6,0),""))</f>
        <v/>
      </c>
      <c r="G930" s="8"/>
      <c r="H930" s="5"/>
      <c r="I930" s="5"/>
      <c r="J930" s="9"/>
      <c r="K930" s="17" t="str">
        <f aca="false">IF(H930="","",IFERROR(SUMIFS(BD_PLAN!$I$3:$I$312,BD_PLAN!$B$3:$B$312,E930,BD_PLAN!$C$3:$C$312,INDEX(BD_CICLO!$F$3:$F$54,MATCH(E930&amp;"|"&amp;H930,BD_CICLO!$G$3:$G$54,0))),""))</f>
        <v/>
      </c>
      <c r="L930" s="9"/>
      <c r="M930" s="9"/>
      <c r="N930" s="1" t="str">
        <f aca="false">IF(C930="","",C930&amp;"|"&amp;COUNTIF(C$3:C930,C930))</f>
        <v/>
      </c>
      <c r="O930" s="1" t="str">
        <f aca="false">IF(OR(C930="",M930=""),"",C930&amp;"|"&amp;COUNTIFS(C$3:C930,C930,M$3:M930,"&lt;&gt;"))</f>
        <v/>
      </c>
    </row>
    <row r="931" customFormat="false" ht="15" hidden="false" customHeight="false" outlineLevel="0" collapsed="false">
      <c r="B931" s="7"/>
      <c r="C931" s="5"/>
      <c r="D931" s="9" t="str">
        <f aca="false">IF(C931="","",IFERROR(VLOOKUP(C931,EQUIPOS!$B$3:$C$18,2,0),"NO EXISTE"))</f>
        <v/>
      </c>
      <c r="E931" s="9" t="str">
        <f aca="false">IF(C931="","",IFERROR(VLOOKUP(C931,EQUIPOS!$B$3:$F$18,5,0),""))</f>
        <v/>
      </c>
      <c r="F931" s="5" t="str">
        <f aca="false">IF(C931="","",IFERROR(VLOOKUP(C931,EQUIPOS!$B$3:$G$18,6,0),""))</f>
        <v/>
      </c>
      <c r="G931" s="8"/>
      <c r="H931" s="5"/>
      <c r="I931" s="5"/>
      <c r="J931" s="9"/>
      <c r="K931" s="17" t="str">
        <f aca="false">IF(H931="","",IFERROR(SUMIFS(BD_PLAN!$I$3:$I$312,BD_PLAN!$B$3:$B$312,E931,BD_PLAN!$C$3:$C$312,INDEX(BD_CICLO!$F$3:$F$54,MATCH(E931&amp;"|"&amp;H931,BD_CICLO!$G$3:$G$54,0))),""))</f>
        <v/>
      </c>
      <c r="L931" s="9"/>
      <c r="M931" s="9"/>
      <c r="N931" s="1" t="str">
        <f aca="false">IF(C931="","",C931&amp;"|"&amp;COUNTIF(C$3:C931,C931))</f>
        <v/>
      </c>
      <c r="O931" s="1" t="str">
        <f aca="false">IF(OR(C931="",M931=""),"",C931&amp;"|"&amp;COUNTIFS(C$3:C931,C931,M$3:M931,"&lt;&gt;"))</f>
        <v/>
      </c>
    </row>
    <row r="932" customFormat="false" ht="15" hidden="false" customHeight="false" outlineLevel="0" collapsed="false">
      <c r="B932" s="7"/>
      <c r="C932" s="5"/>
      <c r="D932" s="9" t="str">
        <f aca="false">IF(C932="","",IFERROR(VLOOKUP(C932,EQUIPOS!$B$3:$C$18,2,0),"NO EXISTE"))</f>
        <v/>
      </c>
      <c r="E932" s="9" t="str">
        <f aca="false">IF(C932="","",IFERROR(VLOOKUP(C932,EQUIPOS!$B$3:$F$18,5,0),""))</f>
        <v/>
      </c>
      <c r="F932" s="5" t="str">
        <f aca="false">IF(C932="","",IFERROR(VLOOKUP(C932,EQUIPOS!$B$3:$G$18,6,0),""))</f>
        <v/>
      </c>
      <c r="G932" s="8"/>
      <c r="H932" s="5"/>
      <c r="I932" s="5"/>
      <c r="J932" s="9"/>
      <c r="K932" s="17" t="str">
        <f aca="false">IF(H932="","",IFERROR(SUMIFS(BD_PLAN!$I$3:$I$312,BD_PLAN!$B$3:$B$312,E932,BD_PLAN!$C$3:$C$312,INDEX(BD_CICLO!$F$3:$F$54,MATCH(E932&amp;"|"&amp;H932,BD_CICLO!$G$3:$G$54,0))),""))</f>
        <v/>
      </c>
      <c r="L932" s="9"/>
      <c r="M932" s="9"/>
      <c r="N932" s="1" t="str">
        <f aca="false">IF(C932="","",C932&amp;"|"&amp;COUNTIF(C$3:C932,C932))</f>
        <v/>
      </c>
      <c r="O932" s="1" t="str">
        <f aca="false">IF(OR(C932="",M932=""),"",C932&amp;"|"&amp;COUNTIFS(C$3:C932,C932,M$3:M932,"&lt;&gt;"))</f>
        <v/>
      </c>
    </row>
    <row r="933" customFormat="false" ht="15" hidden="false" customHeight="false" outlineLevel="0" collapsed="false">
      <c r="B933" s="7"/>
      <c r="C933" s="5"/>
      <c r="D933" s="9" t="str">
        <f aca="false">IF(C933="","",IFERROR(VLOOKUP(C933,EQUIPOS!$B$3:$C$18,2,0),"NO EXISTE"))</f>
        <v/>
      </c>
      <c r="E933" s="9" t="str">
        <f aca="false">IF(C933="","",IFERROR(VLOOKUP(C933,EQUIPOS!$B$3:$F$18,5,0),""))</f>
        <v/>
      </c>
      <c r="F933" s="5" t="str">
        <f aca="false">IF(C933="","",IFERROR(VLOOKUP(C933,EQUIPOS!$B$3:$G$18,6,0),""))</f>
        <v/>
      </c>
      <c r="G933" s="8"/>
      <c r="H933" s="5"/>
      <c r="I933" s="5"/>
      <c r="J933" s="9"/>
      <c r="K933" s="17" t="str">
        <f aca="false">IF(H933="","",IFERROR(SUMIFS(BD_PLAN!$I$3:$I$312,BD_PLAN!$B$3:$B$312,E933,BD_PLAN!$C$3:$C$312,INDEX(BD_CICLO!$F$3:$F$54,MATCH(E933&amp;"|"&amp;H933,BD_CICLO!$G$3:$G$54,0))),""))</f>
        <v/>
      </c>
      <c r="L933" s="9"/>
      <c r="M933" s="9"/>
      <c r="N933" s="1" t="str">
        <f aca="false">IF(C933="","",C933&amp;"|"&amp;COUNTIF(C$3:C933,C933))</f>
        <v/>
      </c>
      <c r="O933" s="1" t="str">
        <f aca="false">IF(OR(C933="",M933=""),"",C933&amp;"|"&amp;COUNTIFS(C$3:C933,C933,M$3:M933,"&lt;&gt;"))</f>
        <v/>
      </c>
    </row>
    <row r="934" customFormat="false" ht="15" hidden="false" customHeight="false" outlineLevel="0" collapsed="false">
      <c r="B934" s="7"/>
      <c r="C934" s="5"/>
      <c r="D934" s="9" t="str">
        <f aca="false">IF(C934="","",IFERROR(VLOOKUP(C934,EQUIPOS!$B$3:$C$18,2,0),"NO EXISTE"))</f>
        <v/>
      </c>
      <c r="E934" s="9" t="str">
        <f aca="false">IF(C934="","",IFERROR(VLOOKUP(C934,EQUIPOS!$B$3:$F$18,5,0),""))</f>
        <v/>
      </c>
      <c r="F934" s="5" t="str">
        <f aca="false">IF(C934="","",IFERROR(VLOOKUP(C934,EQUIPOS!$B$3:$G$18,6,0),""))</f>
        <v/>
      </c>
      <c r="G934" s="8"/>
      <c r="H934" s="5"/>
      <c r="I934" s="5"/>
      <c r="J934" s="9"/>
      <c r="K934" s="17" t="str">
        <f aca="false">IF(H934="","",IFERROR(SUMIFS(BD_PLAN!$I$3:$I$312,BD_PLAN!$B$3:$B$312,E934,BD_PLAN!$C$3:$C$312,INDEX(BD_CICLO!$F$3:$F$54,MATCH(E934&amp;"|"&amp;H934,BD_CICLO!$G$3:$G$54,0))),""))</f>
        <v/>
      </c>
      <c r="L934" s="9"/>
      <c r="M934" s="9"/>
      <c r="N934" s="1" t="str">
        <f aca="false">IF(C934="","",C934&amp;"|"&amp;COUNTIF(C$3:C934,C934))</f>
        <v/>
      </c>
      <c r="O934" s="1" t="str">
        <f aca="false">IF(OR(C934="",M934=""),"",C934&amp;"|"&amp;COUNTIFS(C$3:C934,C934,M$3:M934,"&lt;&gt;"))</f>
        <v/>
      </c>
    </row>
    <row r="935" customFormat="false" ht="15" hidden="false" customHeight="false" outlineLevel="0" collapsed="false">
      <c r="B935" s="7"/>
      <c r="C935" s="5"/>
      <c r="D935" s="9" t="str">
        <f aca="false">IF(C935="","",IFERROR(VLOOKUP(C935,EQUIPOS!$B$3:$C$18,2,0),"NO EXISTE"))</f>
        <v/>
      </c>
      <c r="E935" s="9" t="str">
        <f aca="false">IF(C935="","",IFERROR(VLOOKUP(C935,EQUIPOS!$B$3:$F$18,5,0),""))</f>
        <v/>
      </c>
      <c r="F935" s="5" t="str">
        <f aca="false">IF(C935="","",IFERROR(VLOOKUP(C935,EQUIPOS!$B$3:$G$18,6,0),""))</f>
        <v/>
      </c>
      <c r="G935" s="8"/>
      <c r="H935" s="5"/>
      <c r="I935" s="5"/>
      <c r="J935" s="9"/>
      <c r="K935" s="17" t="str">
        <f aca="false">IF(H935="","",IFERROR(SUMIFS(BD_PLAN!$I$3:$I$312,BD_PLAN!$B$3:$B$312,E935,BD_PLAN!$C$3:$C$312,INDEX(BD_CICLO!$F$3:$F$54,MATCH(E935&amp;"|"&amp;H935,BD_CICLO!$G$3:$G$54,0))),""))</f>
        <v/>
      </c>
      <c r="L935" s="9"/>
      <c r="M935" s="9"/>
      <c r="N935" s="1" t="str">
        <f aca="false">IF(C935="","",C935&amp;"|"&amp;COUNTIF(C$3:C935,C935))</f>
        <v/>
      </c>
      <c r="O935" s="1" t="str">
        <f aca="false">IF(OR(C935="",M935=""),"",C935&amp;"|"&amp;COUNTIFS(C$3:C935,C935,M$3:M935,"&lt;&gt;"))</f>
        <v/>
      </c>
    </row>
    <row r="936" customFormat="false" ht="15" hidden="false" customHeight="false" outlineLevel="0" collapsed="false">
      <c r="B936" s="7"/>
      <c r="C936" s="5"/>
      <c r="D936" s="9" t="str">
        <f aca="false">IF(C936="","",IFERROR(VLOOKUP(C936,EQUIPOS!$B$3:$C$18,2,0),"NO EXISTE"))</f>
        <v/>
      </c>
      <c r="E936" s="9" t="str">
        <f aca="false">IF(C936="","",IFERROR(VLOOKUP(C936,EQUIPOS!$B$3:$F$18,5,0),""))</f>
        <v/>
      </c>
      <c r="F936" s="5" t="str">
        <f aca="false">IF(C936="","",IFERROR(VLOOKUP(C936,EQUIPOS!$B$3:$G$18,6,0),""))</f>
        <v/>
      </c>
      <c r="G936" s="8"/>
      <c r="H936" s="5"/>
      <c r="I936" s="5"/>
      <c r="J936" s="9"/>
      <c r="K936" s="17" t="str">
        <f aca="false">IF(H936="","",IFERROR(SUMIFS(BD_PLAN!$I$3:$I$312,BD_PLAN!$B$3:$B$312,E936,BD_PLAN!$C$3:$C$312,INDEX(BD_CICLO!$F$3:$F$54,MATCH(E936&amp;"|"&amp;H936,BD_CICLO!$G$3:$G$54,0))),""))</f>
        <v/>
      </c>
      <c r="L936" s="9"/>
      <c r="M936" s="9"/>
      <c r="N936" s="1" t="str">
        <f aca="false">IF(C936="","",C936&amp;"|"&amp;COUNTIF(C$3:C936,C936))</f>
        <v/>
      </c>
      <c r="O936" s="1" t="str">
        <f aca="false">IF(OR(C936="",M936=""),"",C936&amp;"|"&amp;COUNTIFS(C$3:C936,C936,M$3:M936,"&lt;&gt;"))</f>
        <v/>
      </c>
    </row>
    <row r="937" customFormat="false" ht="15" hidden="false" customHeight="false" outlineLevel="0" collapsed="false">
      <c r="B937" s="7"/>
      <c r="C937" s="5"/>
      <c r="D937" s="9" t="str">
        <f aca="false">IF(C937="","",IFERROR(VLOOKUP(C937,EQUIPOS!$B$3:$C$18,2,0),"NO EXISTE"))</f>
        <v/>
      </c>
      <c r="E937" s="9" t="str">
        <f aca="false">IF(C937="","",IFERROR(VLOOKUP(C937,EQUIPOS!$B$3:$F$18,5,0),""))</f>
        <v/>
      </c>
      <c r="F937" s="5" t="str">
        <f aca="false">IF(C937="","",IFERROR(VLOOKUP(C937,EQUIPOS!$B$3:$G$18,6,0),""))</f>
        <v/>
      </c>
      <c r="G937" s="8"/>
      <c r="H937" s="5"/>
      <c r="I937" s="5"/>
      <c r="J937" s="9"/>
      <c r="K937" s="17" t="str">
        <f aca="false">IF(H937="","",IFERROR(SUMIFS(BD_PLAN!$I$3:$I$312,BD_PLAN!$B$3:$B$312,E937,BD_PLAN!$C$3:$C$312,INDEX(BD_CICLO!$F$3:$F$54,MATCH(E937&amp;"|"&amp;H937,BD_CICLO!$G$3:$G$54,0))),""))</f>
        <v/>
      </c>
      <c r="L937" s="9"/>
      <c r="M937" s="9"/>
      <c r="N937" s="1" t="str">
        <f aca="false">IF(C937="","",C937&amp;"|"&amp;COUNTIF(C$3:C937,C937))</f>
        <v/>
      </c>
      <c r="O937" s="1" t="str">
        <f aca="false">IF(OR(C937="",M937=""),"",C937&amp;"|"&amp;COUNTIFS(C$3:C937,C937,M$3:M937,"&lt;&gt;"))</f>
        <v/>
      </c>
    </row>
    <row r="938" customFormat="false" ht="15" hidden="false" customHeight="false" outlineLevel="0" collapsed="false">
      <c r="B938" s="7"/>
      <c r="C938" s="5"/>
      <c r="D938" s="9" t="str">
        <f aca="false">IF(C938="","",IFERROR(VLOOKUP(C938,EQUIPOS!$B$3:$C$18,2,0),"NO EXISTE"))</f>
        <v/>
      </c>
      <c r="E938" s="9" t="str">
        <f aca="false">IF(C938="","",IFERROR(VLOOKUP(C938,EQUIPOS!$B$3:$F$18,5,0),""))</f>
        <v/>
      </c>
      <c r="F938" s="5" t="str">
        <f aca="false">IF(C938="","",IFERROR(VLOOKUP(C938,EQUIPOS!$B$3:$G$18,6,0),""))</f>
        <v/>
      </c>
      <c r="G938" s="8"/>
      <c r="H938" s="5"/>
      <c r="I938" s="5"/>
      <c r="J938" s="9"/>
      <c r="K938" s="17" t="str">
        <f aca="false">IF(H938="","",IFERROR(SUMIFS(BD_PLAN!$I$3:$I$312,BD_PLAN!$B$3:$B$312,E938,BD_PLAN!$C$3:$C$312,INDEX(BD_CICLO!$F$3:$F$54,MATCH(E938&amp;"|"&amp;H938,BD_CICLO!$G$3:$G$54,0))),""))</f>
        <v/>
      </c>
      <c r="L938" s="9"/>
      <c r="M938" s="9"/>
      <c r="N938" s="1" t="str">
        <f aca="false">IF(C938="","",C938&amp;"|"&amp;COUNTIF(C$3:C938,C938))</f>
        <v/>
      </c>
      <c r="O938" s="1" t="str">
        <f aca="false">IF(OR(C938="",M938=""),"",C938&amp;"|"&amp;COUNTIFS(C$3:C938,C938,M$3:M938,"&lt;&gt;"))</f>
        <v/>
      </c>
    </row>
    <row r="939" customFormat="false" ht="15" hidden="false" customHeight="false" outlineLevel="0" collapsed="false">
      <c r="B939" s="7"/>
      <c r="C939" s="5"/>
      <c r="D939" s="9" t="str">
        <f aca="false">IF(C939="","",IFERROR(VLOOKUP(C939,EQUIPOS!$B$3:$C$18,2,0),"NO EXISTE"))</f>
        <v/>
      </c>
      <c r="E939" s="9" t="str">
        <f aca="false">IF(C939="","",IFERROR(VLOOKUP(C939,EQUIPOS!$B$3:$F$18,5,0),""))</f>
        <v/>
      </c>
      <c r="F939" s="5" t="str">
        <f aca="false">IF(C939="","",IFERROR(VLOOKUP(C939,EQUIPOS!$B$3:$G$18,6,0),""))</f>
        <v/>
      </c>
      <c r="G939" s="8"/>
      <c r="H939" s="5"/>
      <c r="I939" s="5"/>
      <c r="J939" s="9"/>
      <c r="K939" s="17" t="str">
        <f aca="false">IF(H939="","",IFERROR(SUMIFS(BD_PLAN!$I$3:$I$312,BD_PLAN!$B$3:$B$312,E939,BD_PLAN!$C$3:$C$312,INDEX(BD_CICLO!$F$3:$F$54,MATCH(E939&amp;"|"&amp;H939,BD_CICLO!$G$3:$G$54,0))),""))</f>
        <v/>
      </c>
      <c r="L939" s="9"/>
      <c r="M939" s="9"/>
      <c r="N939" s="1" t="str">
        <f aca="false">IF(C939="","",C939&amp;"|"&amp;COUNTIF(C$3:C939,C939))</f>
        <v/>
      </c>
      <c r="O939" s="1" t="str">
        <f aca="false">IF(OR(C939="",M939=""),"",C939&amp;"|"&amp;COUNTIFS(C$3:C939,C939,M$3:M939,"&lt;&gt;"))</f>
        <v/>
      </c>
    </row>
    <row r="940" customFormat="false" ht="15" hidden="false" customHeight="false" outlineLevel="0" collapsed="false">
      <c r="B940" s="7"/>
      <c r="C940" s="5"/>
      <c r="D940" s="9" t="str">
        <f aca="false">IF(C940="","",IFERROR(VLOOKUP(C940,EQUIPOS!$B$3:$C$18,2,0),"NO EXISTE"))</f>
        <v/>
      </c>
      <c r="E940" s="9" t="str">
        <f aca="false">IF(C940="","",IFERROR(VLOOKUP(C940,EQUIPOS!$B$3:$F$18,5,0),""))</f>
        <v/>
      </c>
      <c r="F940" s="5" t="str">
        <f aca="false">IF(C940="","",IFERROR(VLOOKUP(C940,EQUIPOS!$B$3:$G$18,6,0),""))</f>
        <v/>
      </c>
      <c r="G940" s="8"/>
      <c r="H940" s="5"/>
      <c r="I940" s="5"/>
      <c r="J940" s="9"/>
      <c r="K940" s="17" t="str">
        <f aca="false">IF(H940="","",IFERROR(SUMIFS(BD_PLAN!$I$3:$I$312,BD_PLAN!$B$3:$B$312,E940,BD_PLAN!$C$3:$C$312,INDEX(BD_CICLO!$F$3:$F$54,MATCH(E940&amp;"|"&amp;H940,BD_CICLO!$G$3:$G$54,0))),""))</f>
        <v/>
      </c>
      <c r="L940" s="9"/>
      <c r="M940" s="9"/>
      <c r="N940" s="1" t="str">
        <f aca="false">IF(C940="","",C940&amp;"|"&amp;COUNTIF(C$3:C940,C940))</f>
        <v/>
      </c>
      <c r="O940" s="1" t="str">
        <f aca="false">IF(OR(C940="",M940=""),"",C940&amp;"|"&amp;COUNTIFS(C$3:C940,C940,M$3:M940,"&lt;&gt;"))</f>
        <v/>
      </c>
    </row>
    <row r="941" customFormat="false" ht="15" hidden="false" customHeight="false" outlineLevel="0" collapsed="false">
      <c r="B941" s="7"/>
      <c r="C941" s="5"/>
      <c r="D941" s="9" t="str">
        <f aca="false">IF(C941="","",IFERROR(VLOOKUP(C941,EQUIPOS!$B$3:$C$18,2,0),"NO EXISTE"))</f>
        <v/>
      </c>
      <c r="E941" s="9" t="str">
        <f aca="false">IF(C941="","",IFERROR(VLOOKUP(C941,EQUIPOS!$B$3:$F$18,5,0),""))</f>
        <v/>
      </c>
      <c r="F941" s="5" t="str">
        <f aca="false">IF(C941="","",IFERROR(VLOOKUP(C941,EQUIPOS!$B$3:$G$18,6,0),""))</f>
        <v/>
      </c>
      <c r="G941" s="8"/>
      <c r="H941" s="5"/>
      <c r="I941" s="5"/>
      <c r="J941" s="9"/>
      <c r="K941" s="17" t="str">
        <f aca="false">IF(H941="","",IFERROR(SUMIFS(BD_PLAN!$I$3:$I$312,BD_PLAN!$B$3:$B$312,E941,BD_PLAN!$C$3:$C$312,INDEX(BD_CICLO!$F$3:$F$54,MATCH(E941&amp;"|"&amp;H941,BD_CICLO!$G$3:$G$54,0))),""))</f>
        <v/>
      </c>
      <c r="L941" s="9"/>
      <c r="M941" s="9"/>
      <c r="N941" s="1" t="str">
        <f aca="false">IF(C941="","",C941&amp;"|"&amp;COUNTIF(C$3:C941,C941))</f>
        <v/>
      </c>
      <c r="O941" s="1" t="str">
        <f aca="false">IF(OR(C941="",M941=""),"",C941&amp;"|"&amp;COUNTIFS(C$3:C941,C941,M$3:M941,"&lt;&gt;"))</f>
        <v/>
      </c>
    </row>
    <row r="942" customFormat="false" ht="15" hidden="false" customHeight="false" outlineLevel="0" collapsed="false">
      <c r="B942" s="7"/>
      <c r="C942" s="5"/>
      <c r="D942" s="9" t="str">
        <f aca="false">IF(C942="","",IFERROR(VLOOKUP(C942,EQUIPOS!$B$3:$C$18,2,0),"NO EXISTE"))</f>
        <v/>
      </c>
      <c r="E942" s="9" t="str">
        <f aca="false">IF(C942="","",IFERROR(VLOOKUP(C942,EQUIPOS!$B$3:$F$18,5,0),""))</f>
        <v/>
      </c>
      <c r="F942" s="5" t="str">
        <f aca="false">IF(C942="","",IFERROR(VLOOKUP(C942,EQUIPOS!$B$3:$G$18,6,0),""))</f>
        <v/>
      </c>
      <c r="G942" s="8"/>
      <c r="H942" s="5"/>
      <c r="I942" s="5"/>
      <c r="J942" s="9"/>
      <c r="K942" s="17" t="str">
        <f aca="false">IF(H942="","",IFERROR(SUMIFS(BD_PLAN!$I$3:$I$312,BD_PLAN!$B$3:$B$312,E942,BD_PLAN!$C$3:$C$312,INDEX(BD_CICLO!$F$3:$F$54,MATCH(E942&amp;"|"&amp;H942,BD_CICLO!$G$3:$G$54,0))),""))</f>
        <v/>
      </c>
      <c r="L942" s="9"/>
      <c r="M942" s="9"/>
      <c r="N942" s="1" t="str">
        <f aca="false">IF(C942="","",C942&amp;"|"&amp;COUNTIF(C$3:C942,C942))</f>
        <v/>
      </c>
      <c r="O942" s="1" t="str">
        <f aca="false">IF(OR(C942="",M942=""),"",C942&amp;"|"&amp;COUNTIFS(C$3:C942,C942,M$3:M942,"&lt;&gt;"))</f>
        <v/>
      </c>
    </row>
    <row r="943" customFormat="false" ht="15" hidden="false" customHeight="false" outlineLevel="0" collapsed="false">
      <c r="B943" s="7"/>
      <c r="C943" s="5"/>
      <c r="D943" s="9" t="str">
        <f aca="false">IF(C943="","",IFERROR(VLOOKUP(C943,EQUIPOS!$B$3:$C$18,2,0),"NO EXISTE"))</f>
        <v/>
      </c>
      <c r="E943" s="9" t="str">
        <f aca="false">IF(C943="","",IFERROR(VLOOKUP(C943,EQUIPOS!$B$3:$F$18,5,0),""))</f>
        <v/>
      </c>
      <c r="F943" s="5" t="str">
        <f aca="false">IF(C943="","",IFERROR(VLOOKUP(C943,EQUIPOS!$B$3:$G$18,6,0),""))</f>
        <v/>
      </c>
      <c r="G943" s="8"/>
      <c r="H943" s="5"/>
      <c r="I943" s="5"/>
      <c r="J943" s="9"/>
      <c r="K943" s="17" t="str">
        <f aca="false">IF(H943="","",IFERROR(SUMIFS(BD_PLAN!$I$3:$I$312,BD_PLAN!$B$3:$B$312,E943,BD_PLAN!$C$3:$C$312,INDEX(BD_CICLO!$F$3:$F$54,MATCH(E943&amp;"|"&amp;H943,BD_CICLO!$G$3:$G$54,0))),""))</f>
        <v/>
      </c>
      <c r="L943" s="9"/>
      <c r="M943" s="9"/>
      <c r="N943" s="1" t="str">
        <f aca="false">IF(C943="","",C943&amp;"|"&amp;COUNTIF(C$3:C943,C943))</f>
        <v/>
      </c>
      <c r="O943" s="1" t="str">
        <f aca="false">IF(OR(C943="",M943=""),"",C943&amp;"|"&amp;COUNTIFS(C$3:C943,C943,M$3:M943,"&lt;&gt;"))</f>
        <v/>
      </c>
    </row>
    <row r="944" customFormat="false" ht="15" hidden="false" customHeight="false" outlineLevel="0" collapsed="false">
      <c r="B944" s="7"/>
      <c r="C944" s="5"/>
      <c r="D944" s="9" t="str">
        <f aca="false">IF(C944="","",IFERROR(VLOOKUP(C944,EQUIPOS!$B$3:$C$18,2,0),"NO EXISTE"))</f>
        <v/>
      </c>
      <c r="E944" s="9" t="str">
        <f aca="false">IF(C944="","",IFERROR(VLOOKUP(C944,EQUIPOS!$B$3:$F$18,5,0),""))</f>
        <v/>
      </c>
      <c r="F944" s="5" t="str">
        <f aca="false">IF(C944="","",IFERROR(VLOOKUP(C944,EQUIPOS!$B$3:$G$18,6,0),""))</f>
        <v/>
      </c>
      <c r="G944" s="8"/>
      <c r="H944" s="5"/>
      <c r="I944" s="5"/>
      <c r="J944" s="9"/>
      <c r="K944" s="17" t="str">
        <f aca="false">IF(H944="","",IFERROR(SUMIFS(BD_PLAN!$I$3:$I$312,BD_PLAN!$B$3:$B$312,E944,BD_PLAN!$C$3:$C$312,INDEX(BD_CICLO!$F$3:$F$54,MATCH(E944&amp;"|"&amp;H944,BD_CICLO!$G$3:$G$54,0))),""))</f>
        <v/>
      </c>
      <c r="L944" s="9"/>
      <c r="M944" s="9"/>
      <c r="N944" s="1" t="str">
        <f aca="false">IF(C944="","",C944&amp;"|"&amp;COUNTIF(C$3:C944,C944))</f>
        <v/>
      </c>
      <c r="O944" s="1" t="str">
        <f aca="false">IF(OR(C944="",M944=""),"",C944&amp;"|"&amp;COUNTIFS(C$3:C944,C944,M$3:M944,"&lt;&gt;"))</f>
        <v/>
      </c>
    </row>
    <row r="945" customFormat="false" ht="15" hidden="false" customHeight="false" outlineLevel="0" collapsed="false">
      <c r="B945" s="7"/>
      <c r="C945" s="5"/>
      <c r="D945" s="9" t="str">
        <f aca="false">IF(C945="","",IFERROR(VLOOKUP(C945,EQUIPOS!$B$3:$C$18,2,0),"NO EXISTE"))</f>
        <v/>
      </c>
      <c r="E945" s="9" t="str">
        <f aca="false">IF(C945="","",IFERROR(VLOOKUP(C945,EQUIPOS!$B$3:$F$18,5,0),""))</f>
        <v/>
      </c>
      <c r="F945" s="5" t="str">
        <f aca="false">IF(C945="","",IFERROR(VLOOKUP(C945,EQUIPOS!$B$3:$G$18,6,0),""))</f>
        <v/>
      </c>
      <c r="G945" s="8"/>
      <c r="H945" s="5"/>
      <c r="I945" s="5"/>
      <c r="J945" s="9"/>
      <c r="K945" s="17" t="str">
        <f aca="false">IF(H945="","",IFERROR(SUMIFS(BD_PLAN!$I$3:$I$312,BD_PLAN!$B$3:$B$312,E945,BD_PLAN!$C$3:$C$312,INDEX(BD_CICLO!$F$3:$F$54,MATCH(E945&amp;"|"&amp;H945,BD_CICLO!$G$3:$G$54,0))),""))</f>
        <v/>
      </c>
      <c r="L945" s="9"/>
      <c r="M945" s="9"/>
      <c r="N945" s="1" t="str">
        <f aca="false">IF(C945="","",C945&amp;"|"&amp;COUNTIF(C$3:C945,C945))</f>
        <v/>
      </c>
      <c r="O945" s="1" t="str">
        <f aca="false">IF(OR(C945="",M945=""),"",C945&amp;"|"&amp;COUNTIFS(C$3:C945,C945,M$3:M945,"&lt;&gt;"))</f>
        <v/>
      </c>
    </row>
    <row r="946" customFormat="false" ht="15" hidden="false" customHeight="false" outlineLevel="0" collapsed="false">
      <c r="B946" s="7"/>
      <c r="C946" s="5"/>
      <c r="D946" s="9" t="str">
        <f aca="false">IF(C946="","",IFERROR(VLOOKUP(C946,EQUIPOS!$B$3:$C$18,2,0),"NO EXISTE"))</f>
        <v/>
      </c>
      <c r="E946" s="9" t="str">
        <f aca="false">IF(C946="","",IFERROR(VLOOKUP(C946,EQUIPOS!$B$3:$F$18,5,0),""))</f>
        <v/>
      </c>
      <c r="F946" s="5" t="str">
        <f aca="false">IF(C946="","",IFERROR(VLOOKUP(C946,EQUIPOS!$B$3:$G$18,6,0),""))</f>
        <v/>
      </c>
      <c r="G946" s="8"/>
      <c r="H946" s="5"/>
      <c r="I946" s="5"/>
      <c r="J946" s="9"/>
      <c r="K946" s="17" t="str">
        <f aca="false">IF(H946="","",IFERROR(SUMIFS(BD_PLAN!$I$3:$I$312,BD_PLAN!$B$3:$B$312,E946,BD_PLAN!$C$3:$C$312,INDEX(BD_CICLO!$F$3:$F$54,MATCH(E946&amp;"|"&amp;H946,BD_CICLO!$G$3:$G$54,0))),""))</f>
        <v/>
      </c>
      <c r="L946" s="9"/>
      <c r="M946" s="9"/>
      <c r="N946" s="1" t="str">
        <f aca="false">IF(C946="","",C946&amp;"|"&amp;COUNTIF(C$3:C946,C946))</f>
        <v/>
      </c>
      <c r="O946" s="1" t="str">
        <f aca="false">IF(OR(C946="",M946=""),"",C946&amp;"|"&amp;COUNTIFS(C$3:C946,C946,M$3:M946,"&lt;&gt;"))</f>
        <v/>
      </c>
    </row>
    <row r="947" customFormat="false" ht="15" hidden="false" customHeight="false" outlineLevel="0" collapsed="false">
      <c r="B947" s="7"/>
      <c r="C947" s="5"/>
      <c r="D947" s="9" t="str">
        <f aca="false">IF(C947="","",IFERROR(VLOOKUP(C947,EQUIPOS!$B$3:$C$18,2,0),"NO EXISTE"))</f>
        <v/>
      </c>
      <c r="E947" s="9" t="str">
        <f aca="false">IF(C947="","",IFERROR(VLOOKUP(C947,EQUIPOS!$B$3:$F$18,5,0),""))</f>
        <v/>
      </c>
      <c r="F947" s="5" t="str">
        <f aca="false">IF(C947="","",IFERROR(VLOOKUP(C947,EQUIPOS!$B$3:$G$18,6,0),""))</f>
        <v/>
      </c>
      <c r="G947" s="8"/>
      <c r="H947" s="5"/>
      <c r="I947" s="5"/>
      <c r="J947" s="9"/>
      <c r="K947" s="17" t="str">
        <f aca="false">IF(H947="","",IFERROR(SUMIFS(BD_PLAN!$I$3:$I$312,BD_PLAN!$B$3:$B$312,E947,BD_PLAN!$C$3:$C$312,INDEX(BD_CICLO!$F$3:$F$54,MATCH(E947&amp;"|"&amp;H947,BD_CICLO!$G$3:$G$54,0))),""))</f>
        <v/>
      </c>
      <c r="L947" s="9"/>
      <c r="M947" s="9"/>
      <c r="N947" s="1" t="str">
        <f aca="false">IF(C947="","",C947&amp;"|"&amp;COUNTIF(C$3:C947,C947))</f>
        <v/>
      </c>
      <c r="O947" s="1" t="str">
        <f aca="false">IF(OR(C947="",M947=""),"",C947&amp;"|"&amp;COUNTIFS(C$3:C947,C947,M$3:M947,"&lt;&gt;"))</f>
        <v/>
      </c>
    </row>
    <row r="948" customFormat="false" ht="15" hidden="false" customHeight="false" outlineLevel="0" collapsed="false">
      <c r="B948" s="7"/>
      <c r="C948" s="5"/>
      <c r="D948" s="9" t="str">
        <f aca="false">IF(C948="","",IFERROR(VLOOKUP(C948,EQUIPOS!$B$3:$C$18,2,0),"NO EXISTE"))</f>
        <v/>
      </c>
      <c r="E948" s="9" t="str">
        <f aca="false">IF(C948="","",IFERROR(VLOOKUP(C948,EQUIPOS!$B$3:$F$18,5,0),""))</f>
        <v/>
      </c>
      <c r="F948" s="5" t="str">
        <f aca="false">IF(C948="","",IFERROR(VLOOKUP(C948,EQUIPOS!$B$3:$G$18,6,0),""))</f>
        <v/>
      </c>
      <c r="G948" s="8"/>
      <c r="H948" s="5"/>
      <c r="I948" s="5"/>
      <c r="J948" s="9"/>
      <c r="K948" s="17" t="str">
        <f aca="false">IF(H948="","",IFERROR(SUMIFS(BD_PLAN!$I$3:$I$312,BD_PLAN!$B$3:$B$312,E948,BD_PLAN!$C$3:$C$312,INDEX(BD_CICLO!$F$3:$F$54,MATCH(E948&amp;"|"&amp;H948,BD_CICLO!$G$3:$G$54,0))),""))</f>
        <v/>
      </c>
      <c r="L948" s="9"/>
      <c r="M948" s="9"/>
      <c r="N948" s="1" t="str">
        <f aca="false">IF(C948="","",C948&amp;"|"&amp;COUNTIF(C$3:C948,C948))</f>
        <v/>
      </c>
      <c r="O948" s="1" t="str">
        <f aca="false">IF(OR(C948="",M948=""),"",C948&amp;"|"&amp;COUNTIFS(C$3:C948,C948,M$3:M948,"&lt;&gt;"))</f>
        <v/>
      </c>
    </row>
    <row r="949" customFormat="false" ht="15" hidden="false" customHeight="false" outlineLevel="0" collapsed="false">
      <c r="B949" s="7"/>
      <c r="C949" s="5"/>
      <c r="D949" s="9" t="str">
        <f aca="false">IF(C949="","",IFERROR(VLOOKUP(C949,EQUIPOS!$B$3:$C$18,2,0),"NO EXISTE"))</f>
        <v/>
      </c>
      <c r="E949" s="9" t="str">
        <f aca="false">IF(C949="","",IFERROR(VLOOKUP(C949,EQUIPOS!$B$3:$F$18,5,0),""))</f>
        <v/>
      </c>
      <c r="F949" s="5" t="str">
        <f aca="false">IF(C949="","",IFERROR(VLOOKUP(C949,EQUIPOS!$B$3:$G$18,6,0),""))</f>
        <v/>
      </c>
      <c r="G949" s="8"/>
      <c r="H949" s="5"/>
      <c r="I949" s="5"/>
      <c r="J949" s="9"/>
      <c r="K949" s="17" t="str">
        <f aca="false">IF(H949="","",IFERROR(SUMIFS(BD_PLAN!$I$3:$I$312,BD_PLAN!$B$3:$B$312,E949,BD_PLAN!$C$3:$C$312,INDEX(BD_CICLO!$F$3:$F$54,MATCH(E949&amp;"|"&amp;H949,BD_CICLO!$G$3:$G$54,0))),""))</f>
        <v/>
      </c>
      <c r="L949" s="9"/>
      <c r="M949" s="9"/>
      <c r="N949" s="1" t="str">
        <f aca="false">IF(C949="","",C949&amp;"|"&amp;COUNTIF(C$3:C949,C949))</f>
        <v/>
      </c>
      <c r="O949" s="1" t="str">
        <f aca="false">IF(OR(C949="",M949=""),"",C949&amp;"|"&amp;COUNTIFS(C$3:C949,C949,M$3:M949,"&lt;&gt;"))</f>
        <v/>
      </c>
    </row>
    <row r="950" customFormat="false" ht="15" hidden="false" customHeight="false" outlineLevel="0" collapsed="false">
      <c r="B950" s="7"/>
      <c r="C950" s="5"/>
      <c r="D950" s="9" t="str">
        <f aca="false">IF(C950="","",IFERROR(VLOOKUP(C950,EQUIPOS!$B$3:$C$18,2,0),"NO EXISTE"))</f>
        <v/>
      </c>
      <c r="E950" s="9" t="str">
        <f aca="false">IF(C950="","",IFERROR(VLOOKUP(C950,EQUIPOS!$B$3:$F$18,5,0),""))</f>
        <v/>
      </c>
      <c r="F950" s="5" t="str">
        <f aca="false">IF(C950="","",IFERROR(VLOOKUP(C950,EQUIPOS!$B$3:$G$18,6,0),""))</f>
        <v/>
      </c>
      <c r="G950" s="8"/>
      <c r="H950" s="5"/>
      <c r="I950" s="5"/>
      <c r="J950" s="9"/>
      <c r="K950" s="17" t="str">
        <f aca="false">IF(H950="","",IFERROR(SUMIFS(BD_PLAN!$I$3:$I$312,BD_PLAN!$B$3:$B$312,E950,BD_PLAN!$C$3:$C$312,INDEX(BD_CICLO!$F$3:$F$54,MATCH(E950&amp;"|"&amp;H950,BD_CICLO!$G$3:$G$54,0))),""))</f>
        <v/>
      </c>
      <c r="L950" s="9"/>
      <c r="M950" s="9"/>
      <c r="N950" s="1" t="str">
        <f aca="false">IF(C950="","",C950&amp;"|"&amp;COUNTIF(C$3:C950,C950))</f>
        <v/>
      </c>
      <c r="O950" s="1" t="str">
        <f aca="false">IF(OR(C950="",M950=""),"",C950&amp;"|"&amp;COUNTIFS(C$3:C950,C950,M$3:M950,"&lt;&gt;"))</f>
        <v/>
      </c>
    </row>
    <row r="951" customFormat="false" ht="15" hidden="false" customHeight="false" outlineLevel="0" collapsed="false">
      <c r="B951" s="7"/>
      <c r="C951" s="5"/>
      <c r="D951" s="9" t="str">
        <f aca="false">IF(C951="","",IFERROR(VLOOKUP(C951,EQUIPOS!$B$3:$C$18,2,0),"NO EXISTE"))</f>
        <v/>
      </c>
      <c r="E951" s="9" t="str">
        <f aca="false">IF(C951="","",IFERROR(VLOOKUP(C951,EQUIPOS!$B$3:$F$18,5,0),""))</f>
        <v/>
      </c>
      <c r="F951" s="5" t="str">
        <f aca="false">IF(C951="","",IFERROR(VLOOKUP(C951,EQUIPOS!$B$3:$G$18,6,0),""))</f>
        <v/>
      </c>
      <c r="G951" s="8"/>
      <c r="H951" s="5"/>
      <c r="I951" s="5"/>
      <c r="J951" s="9"/>
      <c r="K951" s="17" t="str">
        <f aca="false">IF(H951="","",IFERROR(SUMIFS(BD_PLAN!$I$3:$I$312,BD_PLAN!$B$3:$B$312,E951,BD_PLAN!$C$3:$C$312,INDEX(BD_CICLO!$F$3:$F$54,MATCH(E951&amp;"|"&amp;H951,BD_CICLO!$G$3:$G$54,0))),""))</f>
        <v/>
      </c>
      <c r="L951" s="9"/>
      <c r="M951" s="9"/>
      <c r="N951" s="1" t="str">
        <f aca="false">IF(C951="","",C951&amp;"|"&amp;COUNTIF(C$3:C951,C951))</f>
        <v/>
      </c>
      <c r="O951" s="1" t="str">
        <f aca="false">IF(OR(C951="",M951=""),"",C951&amp;"|"&amp;COUNTIFS(C$3:C951,C951,M$3:M951,"&lt;&gt;"))</f>
        <v/>
      </c>
    </row>
    <row r="952" customFormat="false" ht="15" hidden="false" customHeight="false" outlineLevel="0" collapsed="false">
      <c r="B952" s="7"/>
      <c r="C952" s="5"/>
      <c r="D952" s="9" t="str">
        <f aca="false">IF(C952="","",IFERROR(VLOOKUP(C952,EQUIPOS!$B$3:$C$18,2,0),"NO EXISTE"))</f>
        <v/>
      </c>
      <c r="E952" s="9" t="str">
        <f aca="false">IF(C952="","",IFERROR(VLOOKUP(C952,EQUIPOS!$B$3:$F$18,5,0),""))</f>
        <v/>
      </c>
      <c r="F952" s="5" t="str">
        <f aca="false">IF(C952="","",IFERROR(VLOOKUP(C952,EQUIPOS!$B$3:$G$18,6,0),""))</f>
        <v/>
      </c>
      <c r="G952" s="8"/>
      <c r="H952" s="5"/>
      <c r="I952" s="5"/>
      <c r="J952" s="9"/>
      <c r="K952" s="17" t="str">
        <f aca="false">IF(H952="","",IFERROR(SUMIFS(BD_PLAN!$I$3:$I$312,BD_PLAN!$B$3:$B$312,E952,BD_PLAN!$C$3:$C$312,INDEX(BD_CICLO!$F$3:$F$54,MATCH(E952&amp;"|"&amp;H952,BD_CICLO!$G$3:$G$54,0))),""))</f>
        <v/>
      </c>
      <c r="L952" s="9"/>
      <c r="M952" s="9"/>
      <c r="N952" s="1" t="str">
        <f aca="false">IF(C952="","",C952&amp;"|"&amp;COUNTIF(C$3:C952,C952))</f>
        <v/>
      </c>
      <c r="O952" s="1" t="str">
        <f aca="false">IF(OR(C952="",M952=""),"",C952&amp;"|"&amp;COUNTIFS(C$3:C952,C952,M$3:M952,"&lt;&gt;"))</f>
        <v/>
      </c>
    </row>
    <row r="953" customFormat="false" ht="15" hidden="false" customHeight="false" outlineLevel="0" collapsed="false">
      <c r="B953" s="7"/>
      <c r="C953" s="5"/>
      <c r="D953" s="9" t="str">
        <f aca="false">IF(C953="","",IFERROR(VLOOKUP(C953,EQUIPOS!$B$3:$C$18,2,0),"NO EXISTE"))</f>
        <v/>
      </c>
      <c r="E953" s="9" t="str">
        <f aca="false">IF(C953="","",IFERROR(VLOOKUP(C953,EQUIPOS!$B$3:$F$18,5,0),""))</f>
        <v/>
      </c>
      <c r="F953" s="5" t="str">
        <f aca="false">IF(C953="","",IFERROR(VLOOKUP(C953,EQUIPOS!$B$3:$G$18,6,0),""))</f>
        <v/>
      </c>
      <c r="G953" s="8"/>
      <c r="H953" s="5"/>
      <c r="I953" s="5"/>
      <c r="J953" s="9"/>
      <c r="K953" s="17" t="str">
        <f aca="false">IF(H953="","",IFERROR(SUMIFS(BD_PLAN!$I$3:$I$312,BD_PLAN!$B$3:$B$312,E953,BD_PLAN!$C$3:$C$312,INDEX(BD_CICLO!$F$3:$F$54,MATCH(E953&amp;"|"&amp;H953,BD_CICLO!$G$3:$G$54,0))),""))</f>
        <v/>
      </c>
      <c r="L953" s="9"/>
      <c r="M953" s="9"/>
      <c r="N953" s="1" t="str">
        <f aca="false">IF(C953="","",C953&amp;"|"&amp;COUNTIF(C$3:C953,C953))</f>
        <v/>
      </c>
      <c r="O953" s="1" t="str">
        <f aca="false">IF(OR(C953="",M953=""),"",C953&amp;"|"&amp;COUNTIFS(C$3:C953,C953,M$3:M953,"&lt;&gt;"))</f>
        <v/>
      </c>
    </row>
    <row r="954" customFormat="false" ht="15" hidden="false" customHeight="false" outlineLevel="0" collapsed="false">
      <c r="B954" s="7"/>
      <c r="C954" s="5"/>
      <c r="D954" s="9" t="str">
        <f aca="false">IF(C954="","",IFERROR(VLOOKUP(C954,EQUIPOS!$B$3:$C$18,2,0),"NO EXISTE"))</f>
        <v/>
      </c>
      <c r="E954" s="9" t="str">
        <f aca="false">IF(C954="","",IFERROR(VLOOKUP(C954,EQUIPOS!$B$3:$F$18,5,0),""))</f>
        <v/>
      </c>
      <c r="F954" s="5" t="str">
        <f aca="false">IF(C954="","",IFERROR(VLOOKUP(C954,EQUIPOS!$B$3:$G$18,6,0),""))</f>
        <v/>
      </c>
      <c r="G954" s="8"/>
      <c r="H954" s="5"/>
      <c r="I954" s="5"/>
      <c r="J954" s="9"/>
      <c r="K954" s="17" t="str">
        <f aca="false">IF(H954="","",IFERROR(SUMIFS(BD_PLAN!$I$3:$I$312,BD_PLAN!$B$3:$B$312,E954,BD_PLAN!$C$3:$C$312,INDEX(BD_CICLO!$F$3:$F$54,MATCH(E954&amp;"|"&amp;H954,BD_CICLO!$G$3:$G$54,0))),""))</f>
        <v/>
      </c>
      <c r="L954" s="9"/>
      <c r="M954" s="9"/>
      <c r="N954" s="1" t="str">
        <f aca="false">IF(C954="","",C954&amp;"|"&amp;COUNTIF(C$3:C954,C954))</f>
        <v/>
      </c>
      <c r="O954" s="1" t="str">
        <f aca="false">IF(OR(C954="",M954=""),"",C954&amp;"|"&amp;COUNTIFS(C$3:C954,C954,M$3:M954,"&lt;&gt;"))</f>
        <v/>
      </c>
    </row>
    <row r="955" customFormat="false" ht="15" hidden="false" customHeight="false" outlineLevel="0" collapsed="false">
      <c r="B955" s="7"/>
      <c r="C955" s="5"/>
      <c r="D955" s="9" t="str">
        <f aca="false">IF(C955="","",IFERROR(VLOOKUP(C955,EQUIPOS!$B$3:$C$18,2,0),"NO EXISTE"))</f>
        <v/>
      </c>
      <c r="E955" s="9" t="str">
        <f aca="false">IF(C955="","",IFERROR(VLOOKUP(C955,EQUIPOS!$B$3:$F$18,5,0),""))</f>
        <v/>
      </c>
      <c r="F955" s="5" t="str">
        <f aca="false">IF(C955="","",IFERROR(VLOOKUP(C955,EQUIPOS!$B$3:$G$18,6,0),""))</f>
        <v/>
      </c>
      <c r="G955" s="8"/>
      <c r="H955" s="5"/>
      <c r="I955" s="5"/>
      <c r="J955" s="9"/>
      <c r="K955" s="17" t="str">
        <f aca="false">IF(H955="","",IFERROR(SUMIFS(BD_PLAN!$I$3:$I$312,BD_PLAN!$B$3:$B$312,E955,BD_PLAN!$C$3:$C$312,INDEX(BD_CICLO!$F$3:$F$54,MATCH(E955&amp;"|"&amp;H955,BD_CICLO!$G$3:$G$54,0))),""))</f>
        <v/>
      </c>
      <c r="L955" s="9"/>
      <c r="M955" s="9"/>
      <c r="N955" s="1" t="str">
        <f aca="false">IF(C955="","",C955&amp;"|"&amp;COUNTIF(C$3:C955,C955))</f>
        <v/>
      </c>
      <c r="O955" s="1" t="str">
        <f aca="false">IF(OR(C955="",M955=""),"",C955&amp;"|"&amp;COUNTIFS(C$3:C955,C955,M$3:M955,"&lt;&gt;"))</f>
        <v/>
      </c>
    </row>
    <row r="956" customFormat="false" ht="15" hidden="false" customHeight="false" outlineLevel="0" collapsed="false">
      <c r="B956" s="7"/>
      <c r="C956" s="5"/>
      <c r="D956" s="9" t="str">
        <f aca="false">IF(C956="","",IFERROR(VLOOKUP(C956,EQUIPOS!$B$3:$C$18,2,0),"NO EXISTE"))</f>
        <v/>
      </c>
      <c r="E956" s="9" t="str">
        <f aca="false">IF(C956="","",IFERROR(VLOOKUP(C956,EQUIPOS!$B$3:$F$18,5,0),""))</f>
        <v/>
      </c>
      <c r="F956" s="5" t="str">
        <f aca="false">IF(C956="","",IFERROR(VLOOKUP(C956,EQUIPOS!$B$3:$G$18,6,0),""))</f>
        <v/>
      </c>
      <c r="G956" s="8"/>
      <c r="H956" s="5"/>
      <c r="I956" s="5"/>
      <c r="J956" s="9"/>
      <c r="K956" s="17" t="str">
        <f aca="false">IF(H956="","",IFERROR(SUMIFS(BD_PLAN!$I$3:$I$312,BD_PLAN!$B$3:$B$312,E956,BD_PLAN!$C$3:$C$312,INDEX(BD_CICLO!$F$3:$F$54,MATCH(E956&amp;"|"&amp;H956,BD_CICLO!$G$3:$G$54,0))),""))</f>
        <v/>
      </c>
      <c r="L956" s="9"/>
      <c r="M956" s="9"/>
      <c r="N956" s="1" t="str">
        <f aca="false">IF(C956="","",C956&amp;"|"&amp;COUNTIF(C$3:C956,C956))</f>
        <v/>
      </c>
      <c r="O956" s="1" t="str">
        <f aca="false">IF(OR(C956="",M956=""),"",C956&amp;"|"&amp;COUNTIFS(C$3:C956,C956,M$3:M956,"&lt;&gt;"))</f>
        <v/>
      </c>
    </row>
    <row r="957" customFormat="false" ht="15" hidden="false" customHeight="false" outlineLevel="0" collapsed="false">
      <c r="B957" s="7"/>
      <c r="C957" s="5"/>
      <c r="D957" s="9" t="str">
        <f aca="false">IF(C957="","",IFERROR(VLOOKUP(C957,EQUIPOS!$B$3:$C$18,2,0),"NO EXISTE"))</f>
        <v/>
      </c>
      <c r="E957" s="9" t="str">
        <f aca="false">IF(C957="","",IFERROR(VLOOKUP(C957,EQUIPOS!$B$3:$F$18,5,0),""))</f>
        <v/>
      </c>
      <c r="F957" s="5" t="str">
        <f aca="false">IF(C957="","",IFERROR(VLOOKUP(C957,EQUIPOS!$B$3:$G$18,6,0),""))</f>
        <v/>
      </c>
      <c r="G957" s="8"/>
      <c r="H957" s="5"/>
      <c r="I957" s="5"/>
      <c r="J957" s="9"/>
      <c r="K957" s="17" t="str">
        <f aca="false">IF(H957="","",IFERROR(SUMIFS(BD_PLAN!$I$3:$I$312,BD_PLAN!$B$3:$B$312,E957,BD_PLAN!$C$3:$C$312,INDEX(BD_CICLO!$F$3:$F$54,MATCH(E957&amp;"|"&amp;H957,BD_CICLO!$G$3:$G$54,0))),""))</f>
        <v/>
      </c>
      <c r="L957" s="9"/>
      <c r="M957" s="9"/>
      <c r="N957" s="1" t="str">
        <f aca="false">IF(C957="","",C957&amp;"|"&amp;COUNTIF(C$3:C957,C957))</f>
        <v/>
      </c>
      <c r="O957" s="1" t="str">
        <f aca="false">IF(OR(C957="",M957=""),"",C957&amp;"|"&amp;COUNTIFS(C$3:C957,C957,M$3:M957,"&lt;&gt;"))</f>
        <v/>
      </c>
    </row>
    <row r="958" customFormat="false" ht="15" hidden="false" customHeight="false" outlineLevel="0" collapsed="false">
      <c r="B958" s="7"/>
      <c r="C958" s="5"/>
      <c r="D958" s="9" t="str">
        <f aca="false">IF(C958="","",IFERROR(VLOOKUP(C958,EQUIPOS!$B$3:$C$18,2,0),"NO EXISTE"))</f>
        <v/>
      </c>
      <c r="E958" s="9" t="str">
        <f aca="false">IF(C958="","",IFERROR(VLOOKUP(C958,EQUIPOS!$B$3:$F$18,5,0),""))</f>
        <v/>
      </c>
      <c r="F958" s="5" t="str">
        <f aca="false">IF(C958="","",IFERROR(VLOOKUP(C958,EQUIPOS!$B$3:$G$18,6,0),""))</f>
        <v/>
      </c>
      <c r="G958" s="8"/>
      <c r="H958" s="5"/>
      <c r="I958" s="5"/>
      <c r="J958" s="9"/>
      <c r="K958" s="17" t="str">
        <f aca="false">IF(H958="","",IFERROR(SUMIFS(BD_PLAN!$I$3:$I$312,BD_PLAN!$B$3:$B$312,E958,BD_PLAN!$C$3:$C$312,INDEX(BD_CICLO!$F$3:$F$54,MATCH(E958&amp;"|"&amp;H958,BD_CICLO!$G$3:$G$54,0))),""))</f>
        <v/>
      </c>
      <c r="L958" s="9"/>
      <c r="M958" s="9"/>
      <c r="N958" s="1" t="str">
        <f aca="false">IF(C958="","",C958&amp;"|"&amp;COUNTIF(C$3:C958,C958))</f>
        <v/>
      </c>
      <c r="O958" s="1" t="str">
        <f aca="false">IF(OR(C958="",M958=""),"",C958&amp;"|"&amp;COUNTIFS(C$3:C958,C958,M$3:M958,"&lt;&gt;"))</f>
        <v/>
      </c>
    </row>
    <row r="959" customFormat="false" ht="15" hidden="false" customHeight="false" outlineLevel="0" collapsed="false">
      <c r="B959" s="7"/>
      <c r="C959" s="5"/>
      <c r="D959" s="9" t="str">
        <f aca="false">IF(C959="","",IFERROR(VLOOKUP(C959,EQUIPOS!$B$3:$C$18,2,0),"NO EXISTE"))</f>
        <v/>
      </c>
      <c r="E959" s="9" t="str">
        <f aca="false">IF(C959="","",IFERROR(VLOOKUP(C959,EQUIPOS!$B$3:$F$18,5,0),""))</f>
        <v/>
      </c>
      <c r="F959" s="5" t="str">
        <f aca="false">IF(C959="","",IFERROR(VLOOKUP(C959,EQUIPOS!$B$3:$G$18,6,0),""))</f>
        <v/>
      </c>
      <c r="G959" s="8"/>
      <c r="H959" s="5"/>
      <c r="I959" s="5"/>
      <c r="J959" s="9"/>
      <c r="K959" s="17" t="str">
        <f aca="false">IF(H959="","",IFERROR(SUMIFS(BD_PLAN!$I$3:$I$312,BD_PLAN!$B$3:$B$312,E959,BD_PLAN!$C$3:$C$312,INDEX(BD_CICLO!$F$3:$F$54,MATCH(E959&amp;"|"&amp;H959,BD_CICLO!$G$3:$G$54,0))),""))</f>
        <v/>
      </c>
      <c r="L959" s="9"/>
      <c r="M959" s="9"/>
      <c r="N959" s="1" t="str">
        <f aca="false">IF(C959="","",C959&amp;"|"&amp;COUNTIF(C$3:C959,C959))</f>
        <v/>
      </c>
      <c r="O959" s="1" t="str">
        <f aca="false">IF(OR(C959="",M959=""),"",C959&amp;"|"&amp;COUNTIFS(C$3:C959,C959,M$3:M959,"&lt;&gt;"))</f>
        <v/>
      </c>
    </row>
    <row r="960" customFormat="false" ht="15" hidden="false" customHeight="false" outlineLevel="0" collapsed="false">
      <c r="B960" s="7"/>
      <c r="C960" s="5"/>
      <c r="D960" s="9" t="str">
        <f aca="false">IF(C960="","",IFERROR(VLOOKUP(C960,EQUIPOS!$B$3:$C$18,2,0),"NO EXISTE"))</f>
        <v/>
      </c>
      <c r="E960" s="9" t="str">
        <f aca="false">IF(C960="","",IFERROR(VLOOKUP(C960,EQUIPOS!$B$3:$F$18,5,0),""))</f>
        <v/>
      </c>
      <c r="F960" s="5" t="str">
        <f aca="false">IF(C960="","",IFERROR(VLOOKUP(C960,EQUIPOS!$B$3:$G$18,6,0),""))</f>
        <v/>
      </c>
      <c r="G960" s="8"/>
      <c r="H960" s="5"/>
      <c r="I960" s="5"/>
      <c r="J960" s="9"/>
      <c r="K960" s="17" t="str">
        <f aca="false">IF(H960="","",IFERROR(SUMIFS(BD_PLAN!$I$3:$I$312,BD_PLAN!$B$3:$B$312,E960,BD_PLAN!$C$3:$C$312,INDEX(BD_CICLO!$F$3:$F$54,MATCH(E960&amp;"|"&amp;H960,BD_CICLO!$G$3:$G$54,0))),""))</f>
        <v/>
      </c>
      <c r="L960" s="9"/>
      <c r="M960" s="9"/>
      <c r="N960" s="1" t="str">
        <f aca="false">IF(C960="","",C960&amp;"|"&amp;COUNTIF(C$3:C960,C960))</f>
        <v/>
      </c>
      <c r="O960" s="1" t="str">
        <f aca="false">IF(OR(C960="",M960=""),"",C960&amp;"|"&amp;COUNTIFS(C$3:C960,C960,M$3:M960,"&lt;&gt;"))</f>
        <v/>
      </c>
    </row>
    <row r="961" customFormat="false" ht="15" hidden="false" customHeight="false" outlineLevel="0" collapsed="false">
      <c r="B961" s="7"/>
      <c r="C961" s="5"/>
      <c r="D961" s="9" t="str">
        <f aca="false">IF(C961="","",IFERROR(VLOOKUP(C961,EQUIPOS!$B$3:$C$18,2,0),"NO EXISTE"))</f>
        <v/>
      </c>
      <c r="E961" s="9" t="str">
        <f aca="false">IF(C961="","",IFERROR(VLOOKUP(C961,EQUIPOS!$B$3:$F$18,5,0),""))</f>
        <v/>
      </c>
      <c r="F961" s="5" t="str">
        <f aca="false">IF(C961="","",IFERROR(VLOOKUP(C961,EQUIPOS!$B$3:$G$18,6,0),""))</f>
        <v/>
      </c>
      <c r="G961" s="8"/>
      <c r="H961" s="5"/>
      <c r="I961" s="5"/>
      <c r="J961" s="9"/>
      <c r="K961" s="17" t="str">
        <f aca="false">IF(H961="","",IFERROR(SUMIFS(BD_PLAN!$I$3:$I$312,BD_PLAN!$B$3:$B$312,E961,BD_PLAN!$C$3:$C$312,INDEX(BD_CICLO!$F$3:$F$54,MATCH(E961&amp;"|"&amp;H961,BD_CICLO!$G$3:$G$54,0))),""))</f>
        <v/>
      </c>
      <c r="L961" s="9"/>
      <c r="M961" s="9"/>
      <c r="N961" s="1" t="str">
        <f aca="false">IF(C961="","",C961&amp;"|"&amp;COUNTIF(C$3:C961,C961))</f>
        <v/>
      </c>
      <c r="O961" s="1" t="str">
        <f aca="false">IF(OR(C961="",M961=""),"",C961&amp;"|"&amp;COUNTIFS(C$3:C961,C961,M$3:M961,"&lt;&gt;"))</f>
        <v/>
      </c>
    </row>
    <row r="962" customFormat="false" ht="15" hidden="false" customHeight="false" outlineLevel="0" collapsed="false">
      <c r="B962" s="7"/>
      <c r="C962" s="5"/>
      <c r="D962" s="9" t="str">
        <f aca="false">IF(C962="","",IFERROR(VLOOKUP(C962,EQUIPOS!$B$3:$C$18,2,0),"NO EXISTE"))</f>
        <v/>
      </c>
      <c r="E962" s="9" t="str">
        <f aca="false">IF(C962="","",IFERROR(VLOOKUP(C962,EQUIPOS!$B$3:$F$18,5,0),""))</f>
        <v/>
      </c>
      <c r="F962" s="5" t="str">
        <f aca="false">IF(C962="","",IFERROR(VLOOKUP(C962,EQUIPOS!$B$3:$G$18,6,0),""))</f>
        <v/>
      </c>
      <c r="G962" s="8"/>
      <c r="H962" s="5"/>
      <c r="I962" s="5"/>
      <c r="J962" s="9"/>
      <c r="K962" s="17" t="str">
        <f aca="false">IF(H962="","",IFERROR(SUMIFS(BD_PLAN!$I$3:$I$312,BD_PLAN!$B$3:$B$312,E962,BD_PLAN!$C$3:$C$312,INDEX(BD_CICLO!$F$3:$F$54,MATCH(E962&amp;"|"&amp;H962,BD_CICLO!$G$3:$G$54,0))),""))</f>
        <v/>
      </c>
      <c r="L962" s="9"/>
      <c r="M962" s="9"/>
      <c r="N962" s="1" t="str">
        <f aca="false">IF(C962="","",C962&amp;"|"&amp;COUNTIF(C$3:C962,C962))</f>
        <v/>
      </c>
      <c r="O962" s="1" t="str">
        <f aca="false">IF(OR(C962="",M962=""),"",C962&amp;"|"&amp;COUNTIFS(C$3:C962,C962,M$3:M962,"&lt;&gt;"))</f>
        <v/>
      </c>
    </row>
    <row r="963" customFormat="false" ht="15" hidden="false" customHeight="false" outlineLevel="0" collapsed="false">
      <c r="B963" s="7"/>
      <c r="C963" s="5"/>
      <c r="D963" s="9" t="str">
        <f aca="false">IF(C963="","",IFERROR(VLOOKUP(C963,EQUIPOS!$B$3:$C$18,2,0),"NO EXISTE"))</f>
        <v/>
      </c>
      <c r="E963" s="9" t="str">
        <f aca="false">IF(C963="","",IFERROR(VLOOKUP(C963,EQUIPOS!$B$3:$F$18,5,0),""))</f>
        <v/>
      </c>
      <c r="F963" s="5" t="str">
        <f aca="false">IF(C963="","",IFERROR(VLOOKUP(C963,EQUIPOS!$B$3:$G$18,6,0),""))</f>
        <v/>
      </c>
      <c r="G963" s="8"/>
      <c r="H963" s="5"/>
      <c r="I963" s="5"/>
      <c r="J963" s="9"/>
      <c r="K963" s="17" t="str">
        <f aca="false">IF(H963="","",IFERROR(SUMIFS(BD_PLAN!$I$3:$I$312,BD_PLAN!$B$3:$B$312,E963,BD_PLAN!$C$3:$C$312,INDEX(BD_CICLO!$F$3:$F$54,MATCH(E963&amp;"|"&amp;H963,BD_CICLO!$G$3:$G$54,0))),""))</f>
        <v/>
      </c>
      <c r="L963" s="9"/>
      <c r="M963" s="9"/>
      <c r="N963" s="1" t="str">
        <f aca="false">IF(C963="","",C963&amp;"|"&amp;COUNTIF(C$3:C963,C963))</f>
        <v/>
      </c>
      <c r="O963" s="1" t="str">
        <f aca="false">IF(OR(C963="",M963=""),"",C963&amp;"|"&amp;COUNTIFS(C$3:C963,C963,M$3:M963,"&lt;&gt;"))</f>
        <v/>
      </c>
    </row>
    <row r="964" customFormat="false" ht="15" hidden="false" customHeight="false" outlineLevel="0" collapsed="false">
      <c r="B964" s="7"/>
      <c r="C964" s="5"/>
      <c r="D964" s="9" t="str">
        <f aca="false">IF(C964="","",IFERROR(VLOOKUP(C964,EQUIPOS!$B$3:$C$18,2,0),"NO EXISTE"))</f>
        <v/>
      </c>
      <c r="E964" s="9" t="str">
        <f aca="false">IF(C964="","",IFERROR(VLOOKUP(C964,EQUIPOS!$B$3:$F$18,5,0),""))</f>
        <v/>
      </c>
      <c r="F964" s="5" t="str">
        <f aca="false">IF(C964="","",IFERROR(VLOOKUP(C964,EQUIPOS!$B$3:$G$18,6,0),""))</f>
        <v/>
      </c>
      <c r="G964" s="8"/>
      <c r="H964" s="5"/>
      <c r="I964" s="5"/>
      <c r="J964" s="9"/>
      <c r="K964" s="17" t="str">
        <f aca="false">IF(H964="","",IFERROR(SUMIFS(BD_PLAN!$I$3:$I$312,BD_PLAN!$B$3:$B$312,E964,BD_PLAN!$C$3:$C$312,INDEX(BD_CICLO!$F$3:$F$54,MATCH(E964&amp;"|"&amp;H964,BD_CICLO!$G$3:$G$54,0))),""))</f>
        <v/>
      </c>
      <c r="L964" s="9"/>
      <c r="M964" s="9"/>
      <c r="N964" s="1" t="str">
        <f aca="false">IF(C964="","",C964&amp;"|"&amp;COUNTIF(C$3:C964,C964))</f>
        <v/>
      </c>
      <c r="O964" s="1" t="str">
        <f aca="false">IF(OR(C964="",M964=""),"",C964&amp;"|"&amp;COUNTIFS(C$3:C964,C964,M$3:M964,"&lt;&gt;"))</f>
        <v/>
      </c>
    </row>
    <row r="965" customFormat="false" ht="15" hidden="false" customHeight="false" outlineLevel="0" collapsed="false">
      <c r="B965" s="7"/>
      <c r="C965" s="5"/>
      <c r="D965" s="9" t="str">
        <f aca="false">IF(C965="","",IFERROR(VLOOKUP(C965,EQUIPOS!$B$3:$C$18,2,0),"NO EXISTE"))</f>
        <v/>
      </c>
      <c r="E965" s="9" t="str">
        <f aca="false">IF(C965="","",IFERROR(VLOOKUP(C965,EQUIPOS!$B$3:$F$18,5,0),""))</f>
        <v/>
      </c>
      <c r="F965" s="5" t="str">
        <f aca="false">IF(C965="","",IFERROR(VLOOKUP(C965,EQUIPOS!$B$3:$G$18,6,0),""))</f>
        <v/>
      </c>
      <c r="G965" s="8"/>
      <c r="H965" s="5"/>
      <c r="I965" s="5"/>
      <c r="J965" s="9"/>
      <c r="K965" s="17" t="str">
        <f aca="false">IF(H965="","",IFERROR(SUMIFS(BD_PLAN!$I$3:$I$312,BD_PLAN!$B$3:$B$312,E965,BD_PLAN!$C$3:$C$312,INDEX(BD_CICLO!$F$3:$F$54,MATCH(E965&amp;"|"&amp;H965,BD_CICLO!$G$3:$G$54,0))),""))</f>
        <v/>
      </c>
      <c r="L965" s="9"/>
      <c r="M965" s="9"/>
      <c r="N965" s="1" t="str">
        <f aca="false">IF(C965="","",C965&amp;"|"&amp;COUNTIF(C$3:C965,C965))</f>
        <v/>
      </c>
      <c r="O965" s="1" t="str">
        <f aca="false">IF(OR(C965="",M965=""),"",C965&amp;"|"&amp;COUNTIFS(C$3:C965,C965,M$3:M965,"&lt;&gt;"))</f>
        <v/>
      </c>
    </row>
    <row r="966" customFormat="false" ht="15" hidden="false" customHeight="false" outlineLevel="0" collapsed="false">
      <c r="B966" s="7"/>
      <c r="C966" s="5"/>
      <c r="D966" s="9" t="str">
        <f aca="false">IF(C966="","",IFERROR(VLOOKUP(C966,EQUIPOS!$B$3:$C$18,2,0),"NO EXISTE"))</f>
        <v/>
      </c>
      <c r="E966" s="9" t="str">
        <f aca="false">IF(C966="","",IFERROR(VLOOKUP(C966,EQUIPOS!$B$3:$F$18,5,0),""))</f>
        <v/>
      </c>
      <c r="F966" s="5" t="str">
        <f aca="false">IF(C966="","",IFERROR(VLOOKUP(C966,EQUIPOS!$B$3:$G$18,6,0),""))</f>
        <v/>
      </c>
      <c r="G966" s="8"/>
      <c r="H966" s="5"/>
      <c r="I966" s="5"/>
      <c r="J966" s="9"/>
      <c r="K966" s="17" t="str">
        <f aca="false">IF(H966="","",IFERROR(SUMIFS(BD_PLAN!$I$3:$I$312,BD_PLAN!$B$3:$B$312,E966,BD_PLAN!$C$3:$C$312,INDEX(BD_CICLO!$F$3:$F$54,MATCH(E966&amp;"|"&amp;H966,BD_CICLO!$G$3:$G$54,0))),""))</f>
        <v/>
      </c>
      <c r="L966" s="9"/>
      <c r="M966" s="9"/>
      <c r="N966" s="1" t="str">
        <f aca="false">IF(C966="","",C966&amp;"|"&amp;COUNTIF(C$3:C966,C966))</f>
        <v/>
      </c>
      <c r="O966" s="1" t="str">
        <f aca="false">IF(OR(C966="",M966=""),"",C966&amp;"|"&amp;COUNTIFS(C$3:C966,C966,M$3:M966,"&lt;&gt;"))</f>
        <v/>
      </c>
    </row>
    <row r="967" customFormat="false" ht="15" hidden="false" customHeight="false" outlineLevel="0" collapsed="false">
      <c r="B967" s="7"/>
      <c r="C967" s="5"/>
      <c r="D967" s="9" t="str">
        <f aca="false">IF(C967="","",IFERROR(VLOOKUP(C967,EQUIPOS!$B$3:$C$18,2,0),"NO EXISTE"))</f>
        <v/>
      </c>
      <c r="E967" s="9" t="str">
        <f aca="false">IF(C967="","",IFERROR(VLOOKUP(C967,EQUIPOS!$B$3:$F$18,5,0),""))</f>
        <v/>
      </c>
      <c r="F967" s="5" t="str">
        <f aca="false">IF(C967="","",IFERROR(VLOOKUP(C967,EQUIPOS!$B$3:$G$18,6,0),""))</f>
        <v/>
      </c>
      <c r="G967" s="8"/>
      <c r="H967" s="5"/>
      <c r="I967" s="5"/>
      <c r="J967" s="9"/>
      <c r="K967" s="17" t="str">
        <f aca="false">IF(H967="","",IFERROR(SUMIFS(BD_PLAN!$I$3:$I$312,BD_PLAN!$B$3:$B$312,E967,BD_PLAN!$C$3:$C$312,INDEX(BD_CICLO!$F$3:$F$54,MATCH(E967&amp;"|"&amp;H967,BD_CICLO!$G$3:$G$54,0))),""))</f>
        <v/>
      </c>
      <c r="L967" s="9"/>
      <c r="M967" s="9"/>
      <c r="N967" s="1" t="str">
        <f aca="false">IF(C967="","",C967&amp;"|"&amp;COUNTIF(C$3:C967,C967))</f>
        <v/>
      </c>
      <c r="O967" s="1" t="str">
        <f aca="false">IF(OR(C967="",M967=""),"",C967&amp;"|"&amp;COUNTIFS(C$3:C967,C967,M$3:M967,"&lt;&gt;"))</f>
        <v/>
      </c>
    </row>
    <row r="968" customFormat="false" ht="15" hidden="false" customHeight="false" outlineLevel="0" collapsed="false">
      <c r="B968" s="7"/>
      <c r="C968" s="5"/>
      <c r="D968" s="9" t="str">
        <f aca="false">IF(C968="","",IFERROR(VLOOKUP(C968,EQUIPOS!$B$3:$C$18,2,0),"NO EXISTE"))</f>
        <v/>
      </c>
      <c r="E968" s="9" t="str">
        <f aca="false">IF(C968="","",IFERROR(VLOOKUP(C968,EQUIPOS!$B$3:$F$18,5,0),""))</f>
        <v/>
      </c>
      <c r="F968" s="5" t="str">
        <f aca="false">IF(C968="","",IFERROR(VLOOKUP(C968,EQUIPOS!$B$3:$G$18,6,0),""))</f>
        <v/>
      </c>
      <c r="G968" s="8"/>
      <c r="H968" s="5"/>
      <c r="I968" s="5"/>
      <c r="J968" s="9"/>
      <c r="K968" s="17" t="str">
        <f aca="false">IF(H968="","",IFERROR(SUMIFS(BD_PLAN!$I$3:$I$312,BD_PLAN!$B$3:$B$312,E968,BD_PLAN!$C$3:$C$312,INDEX(BD_CICLO!$F$3:$F$54,MATCH(E968&amp;"|"&amp;H968,BD_CICLO!$G$3:$G$54,0))),""))</f>
        <v/>
      </c>
      <c r="L968" s="9"/>
      <c r="M968" s="9"/>
      <c r="N968" s="1" t="str">
        <f aca="false">IF(C968="","",C968&amp;"|"&amp;COUNTIF(C$3:C968,C968))</f>
        <v/>
      </c>
      <c r="O968" s="1" t="str">
        <f aca="false">IF(OR(C968="",M968=""),"",C968&amp;"|"&amp;COUNTIFS(C$3:C968,C968,M$3:M968,"&lt;&gt;"))</f>
        <v/>
      </c>
    </row>
    <row r="969" customFormat="false" ht="15" hidden="false" customHeight="false" outlineLevel="0" collapsed="false">
      <c r="B969" s="7"/>
      <c r="C969" s="5"/>
      <c r="D969" s="9" t="str">
        <f aca="false">IF(C969="","",IFERROR(VLOOKUP(C969,EQUIPOS!$B$3:$C$18,2,0),"NO EXISTE"))</f>
        <v/>
      </c>
      <c r="E969" s="9" t="str">
        <f aca="false">IF(C969="","",IFERROR(VLOOKUP(C969,EQUIPOS!$B$3:$F$18,5,0),""))</f>
        <v/>
      </c>
      <c r="F969" s="5" t="str">
        <f aca="false">IF(C969="","",IFERROR(VLOOKUP(C969,EQUIPOS!$B$3:$G$18,6,0),""))</f>
        <v/>
      </c>
      <c r="G969" s="8"/>
      <c r="H969" s="5"/>
      <c r="I969" s="5"/>
      <c r="J969" s="9"/>
      <c r="K969" s="17" t="str">
        <f aca="false">IF(H969="","",IFERROR(SUMIFS(BD_PLAN!$I$3:$I$312,BD_PLAN!$B$3:$B$312,E969,BD_PLAN!$C$3:$C$312,INDEX(BD_CICLO!$F$3:$F$54,MATCH(E969&amp;"|"&amp;H969,BD_CICLO!$G$3:$G$54,0))),""))</f>
        <v/>
      </c>
      <c r="L969" s="9"/>
      <c r="M969" s="9"/>
      <c r="N969" s="1" t="str">
        <f aca="false">IF(C969="","",C969&amp;"|"&amp;COUNTIF(C$3:C969,C969))</f>
        <v/>
      </c>
      <c r="O969" s="1" t="str">
        <f aca="false">IF(OR(C969="",M969=""),"",C969&amp;"|"&amp;COUNTIFS(C$3:C969,C969,M$3:M969,"&lt;&gt;"))</f>
        <v/>
      </c>
    </row>
    <row r="970" customFormat="false" ht="15" hidden="false" customHeight="false" outlineLevel="0" collapsed="false">
      <c r="B970" s="7"/>
      <c r="C970" s="5"/>
      <c r="D970" s="9" t="str">
        <f aca="false">IF(C970="","",IFERROR(VLOOKUP(C970,EQUIPOS!$B$3:$C$18,2,0),"NO EXISTE"))</f>
        <v/>
      </c>
      <c r="E970" s="9" t="str">
        <f aca="false">IF(C970="","",IFERROR(VLOOKUP(C970,EQUIPOS!$B$3:$F$18,5,0),""))</f>
        <v/>
      </c>
      <c r="F970" s="5" t="str">
        <f aca="false">IF(C970="","",IFERROR(VLOOKUP(C970,EQUIPOS!$B$3:$G$18,6,0),""))</f>
        <v/>
      </c>
      <c r="G970" s="8"/>
      <c r="H970" s="5"/>
      <c r="I970" s="5"/>
      <c r="J970" s="9"/>
      <c r="K970" s="17" t="str">
        <f aca="false">IF(H970="","",IFERROR(SUMIFS(BD_PLAN!$I$3:$I$312,BD_PLAN!$B$3:$B$312,E970,BD_PLAN!$C$3:$C$312,INDEX(BD_CICLO!$F$3:$F$54,MATCH(E970&amp;"|"&amp;H970,BD_CICLO!$G$3:$G$54,0))),""))</f>
        <v/>
      </c>
      <c r="L970" s="9"/>
      <c r="M970" s="9"/>
      <c r="N970" s="1" t="str">
        <f aca="false">IF(C970="","",C970&amp;"|"&amp;COUNTIF(C$3:C970,C970))</f>
        <v/>
      </c>
      <c r="O970" s="1" t="str">
        <f aca="false">IF(OR(C970="",M970=""),"",C970&amp;"|"&amp;COUNTIFS(C$3:C970,C970,M$3:M970,"&lt;&gt;"))</f>
        <v/>
      </c>
    </row>
    <row r="971" customFormat="false" ht="15" hidden="false" customHeight="false" outlineLevel="0" collapsed="false">
      <c r="B971" s="7"/>
      <c r="C971" s="5"/>
      <c r="D971" s="9" t="str">
        <f aca="false">IF(C971="","",IFERROR(VLOOKUP(C971,EQUIPOS!$B$3:$C$18,2,0),"NO EXISTE"))</f>
        <v/>
      </c>
      <c r="E971" s="9" t="str">
        <f aca="false">IF(C971="","",IFERROR(VLOOKUP(C971,EQUIPOS!$B$3:$F$18,5,0),""))</f>
        <v/>
      </c>
      <c r="F971" s="5" t="str">
        <f aca="false">IF(C971="","",IFERROR(VLOOKUP(C971,EQUIPOS!$B$3:$G$18,6,0),""))</f>
        <v/>
      </c>
      <c r="G971" s="8"/>
      <c r="H971" s="5"/>
      <c r="I971" s="5"/>
      <c r="J971" s="9"/>
      <c r="K971" s="17" t="str">
        <f aca="false">IF(H971="","",IFERROR(SUMIFS(BD_PLAN!$I$3:$I$312,BD_PLAN!$B$3:$B$312,E971,BD_PLAN!$C$3:$C$312,INDEX(BD_CICLO!$F$3:$F$54,MATCH(E971&amp;"|"&amp;H971,BD_CICLO!$G$3:$G$54,0))),""))</f>
        <v/>
      </c>
      <c r="L971" s="9"/>
      <c r="M971" s="9"/>
      <c r="N971" s="1" t="str">
        <f aca="false">IF(C971="","",C971&amp;"|"&amp;COUNTIF(C$3:C971,C971))</f>
        <v/>
      </c>
      <c r="O971" s="1" t="str">
        <f aca="false">IF(OR(C971="",M971=""),"",C971&amp;"|"&amp;COUNTIFS(C$3:C971,C971,M$3:M971,"&lt;&gt;"))</f>
        <v/>
      </c>
    </row>
    <row r="972" customFormat="false" ht="15" hidden="false" customHeight="false" outlineLevel="0" collapsed="false">
      <c r="B972" s="7"/>
      <c r="C972" s="5"/>
      <c r="D972" s="9" t="str">
        <f aca="false">IF(C972="","",IFERROR(VLOOKUP(C972,EQUIPOS!$B$3:$C$18,2,0),"NO EXISTE"))</f>
        <v/>
      </c>
      <c r="E972" s="9" t="str">
        <f aca="false">IF(C972="","",IFERROR(VLOOKUP(C972,EQUIPOS!$B$3:$F$18,5,0),""))</f>
        <v/>
      </c>
      <c r="F972" s="5" t="str">
        <f aca="false">IF(C972="","",IFERROR(VLOOKUP(C972,EQUIPOS!$B$3:$G$18,6,0),""))</f>
        <v/>
      </c>
      <c r="G972" s="8"/>
      <c r="H972" s="5"/>
      <c r="I972" s="5"/>
      <c r="J972" s="9"/>
      <c r="K972" s="17" t="str">
        <f aca="false">IF(H972="","",IFERROR(SUMIFS(BD_PLAN!$I$3:$I$312,BD_PLAN!$B$3:$B$312,E972,BD_PLAN!$C$3:$C$312,INDEX(BD_CICLO!$F$3:$F$54,MATCH(E972&amp;"|"&amp;H972,BD_CICLO!$G$3:$G$54,0))),""))</f>
        <v/>
      </c>
      <c r="L972" s="9"/>
      <c r="M972" s="9"/>
      <c r="N972" s="1" t="str">
        <f aca="false">IF(C972="","",C972&amp;"|"&amp;COUNTIF(C$3:C972,C972))</f>
        <v/>
      </c>
      <c r="O972" s="1" t="str">
        <f aca="false">IF(OR(C972="",M972=""),"",C972&amp;"|"&amp;COUNTIFS(C$3:C972,C972,M$3:M972,"&lt;&gt;"))</f>
        <v/>
      </c>
    </row>
    <row r="973" customFormat="false" ht="15" hidden="false" customHeight="false" outlineLevel="0" collapsed="false">
      <c r="B973" s="7"/>
      <c r="C973" s="5"/>
      <c r="D973" s="9" t="str">
        <f aca="false">IF(C973="","",IFERROR(VLOOKUP(C973,EQUIPOS!$B$3:$C$18,2,0),"NO EXISTE"))</f>
        <v/>
      </c>
      <c r="E973" s="9" t="str">
        <f aca="false">IF(C973="","",IFERROR(VLOOKUP(C973,EQUIPOS!$B$3:$F$18,5,0),""))</f>
        <v/>
      </c>
      <c r="F973" s="5" t="str">
        <f aca="false">IF(C973="","",IFERROR(VLOOKUP(C973,EQUIPOS!$B$3:$G$18,6,0),""))</f>
        <v/>
      </c>
      <c r="G973" s="8"/>
      <c r="H973" s="5"/>
      <c r="I973" s="5"/>
      <c r="J973" s="9"/>
      <c r="K973" s="17" t="str">
        <f aca="false">IF(H973="","",IFERROR(SUMIFS(BD_PLAN!$I$3:$I$312,BD_PLAN!$B$3:$B$312,E973,BD_PLAN!$C$3:$C$312,INDEX(BD_CICLO!$F$3:$F$54,MATCH(E973&amp;"|"&amp;H973,BD_CICLO!$G$3:$G$54,0))),""))</f>
        <v/>
      </c>
      <c r="L973" s="9"/>
      <c r="M973" s="9"/>
      <c r="N973" s="1" t="str">
        <f aca="false">IF(C973="","",C973&amp;"|"&amp;COUNTIF(C$3:C973,C973))</f>
        <v/>
      </c>
      <c r="O973" s="1" t="str">
        <f aca="false">IF(OR(C973="",M973=""),"",C973&amp;"|"&amp;COUNTIFS(C$3:C973,C973,M$3:M973,"&lt;&gt;"))</f>
        <v/>
      </c>
    </row>
    <row r="974" customFormat="false" ht="15" hidden="false" customHeight="false" outlineLevel="0" collapsed="false">
      <c r="B974" s="7"/>
      <c r="C974" s="5"/>
      <c r="D974" s="9" t="str">
        <f aca="false">IF(C974="","",IFERROR(VLOOKUP(C974,EQUIPOS!$B$3:$C$18,2,0),"NO EXISTE"))</f>
        <v/>
      </c>
      <c r="E974" s="9" t="str">
        <f aca="false">IF(C974="","",IFERROR(VLOOKUP(C974,EQUIPOS!$B$3:$F$18,5,0),""))</f>
        <v/>
      </c>
      <c r="F974" s="5" t="str">
        <f aca="false">IF(C974="","",IFERROR(VLOOKUP(C974,EQUIPOS!$B$3:$G$18,6,0),""))</f>
        <v/>
      </c>
      <c r="G974" s="8"/>
      <c r="H974" s="5"/>
      <c r="I974" s="5"/>
      <c r="J974" s="9"/>
      <c r="K974" s="17" t="str">
        <f aca="false">IF(H974="","",IFERROR(SUMIFS(BD_PLAN!$I$3:$I$312,BD_PLAN!$B$3:$B$312,E974,BD_PLAN!$C$3:$C$312,INDEX(BD_CICLO!$F$3:$F$54,MATCH(E974&amp;"|"&amp;H974,BD_CICLO!$G$3:$G$54,0))),""))</f>
        <v/>
      </c>
      <c r="L974" s="9"/>
      <c r="M974" s="9"/>
      <c r="N974" s="1" t="str">
        <f aca="false">IF(C974="","",C974&amp;"|"&amp;COUNTIF(C$3:C974,C974))</f>
        <v/>
      </c>
      <c r="O974" s="1" t="str">
        <f aca="false">IF(OR(C974="",M974=""),"",C974&amp;"|"&amp;COUNTIFS(C$3:C974,C974,M$3:M974,"&lt;&gt;"))</f>
        <v/>
      </c>
    </row>
    <row r="975" customFormat="false" ht="15" hidden="false" customHeight="false" outlineLevel="0" collapsed="false">
      <c r="B975" s="7"/>
      <c r="C975" s="5"/>
      <c r="D975" s="9" t="str">
        <f aca="false">IF(C975="","",IFERROR(VLOOKUP(C975,EQUIPOS!$B$3:$C$18,2,0),"NO EXISTE"))</f>
        <v/>
      </c>
      <c r="E975" s="9" t="str">
        <f aca="false">IF(C975="","",IFERROR(VLOOKUP(C975,EQUIPOS!$B$3:$F$18,5,0),""))</f>
        <v/>
      </c>
      <c r="F975" s="5" t="str">
        <f aca="false">IF(C975="","",IFERROR(VLOOKUP(C975,EQUIPOS!$B$3:$G$18,6,0),""))</f>
        <v/>
      </c>
      <c r="G975" s="8"/>
      <c r="H975" s="5"/>
      <c r="I975" s="5"/>
      <c r="J975" s="9"/>
      <c r="K975" s="17" t="str">
        <f aca="false">IF(H975="","",IFERROR(SUMIFS(BD_PLAN!$I$3:$I$312,BD_PLAN!$B$3:$B$312,E975,BD_PLAN!$C$3:$C$312,INDEX(BD_CICLO!$F$3:$F$54,MATCH(E975&amp;"|"&amp;H975,BD_CICLO!$G$3:$G$54,0))),""))</f>
        <v/>
      </c>
      <c r="L975" s="9"/>
      <c r="M975" s="9"/>
      <c r="N975" s="1" t="str">
        <f aca="false">IF(C975="","",C975&amp;"|"&amp;COUNTIF(C$3:C975,C975))</f>
        <v/>
      </c>
      <c r="O975" s="1" t="str">
        <f aca="false">IF(OR(C975="",M975=""),"",C975&amp;"|"&amp;COUNTIFS(C$3:C975,C975,M$3:M975,"&lt;&gt;"))</f>
        <v/>
      </c>
    </row>
    <row r="976" customFormat="false" ht="15" hidden="false" customHeight="false" outlineLevel="0" collapsed="false">
      <c r="B976" s="7"/>
      <c r="C976" s="5"/>
      <c r="D976" s="9" t="str">
        <f aca="false">IF(C976="","",IFERROR(VLOOKUP(C976,EQUIPOS!$B$3:$C$18,2,0),"NO EXISTE"))</f>
        <v/>
      </c>
      <c r="E976" s="9" t="str">
        <f aca="false">IF(C976="","",IFERROR(VLOOKUP(C976,EQUIPOS!$B$3:$F$18,5,0),""))</f>
        <v/>
      </c>
      <c r="F976" s="5" t="str">
        <f aca="false">IF(C976="","",IFERROR(VLOOKUP(C976,EQUIPOS!$B$3:$G$18,6,0),""))</f>
        <v/>
      </c>
      <c r="G976" s="8"/>
      <c r="H976" s="5"/>
      <c r="I976" s="5"/>
      <c r="J976" s="9"/>
      <c r="K976" s="17" t="str">
        <f aca="false">IF(H976="","",IFERROR(SUMIFS(BD_PLAN!$I$3:$I$312,BD_PLAN!$B$3:$B$312,E976,BD_PLAN!$C$3:$C$312,INDEX(BD_CICLO!$F$3:$F$54,MATCH(E976&amp;"|"&amp;H976,BD_CICLO!$G$3:$G$54,0))),""))</f>
        <v/>
      </c>
      <c r="L976" s="9"/>
      <c r="M976" s="9"/>
      <c r="N976" s="1" t="str">
        <f aca="false">IF(C976="","",C976&amp;"|"&amp;COUNTIF(C$3:C976,C976))</f>
        <v/>
      </c>
      <c r="O976" s="1" t="str">
        <f aca="false">IF(OR(C976="",M976=""),"",C976&amp;"|"&amp;COUNTIFS(C$3:C976,C976,M$3:M976,"&lt;&gt;"))</f>
        <v/>
      </c>
    </row>
    <row r="977" customFormat="false" ht="15" hidden="false" customHeight="false" outlineLevel="0" collapsed="false">
      <c r="B977" s="7"/>
      <c r="C977" s="5"/>
      <c r="D977" s="9" t="str">
        <f aca="false">IF(C977="","",IFERROR(VLOOKUP(C977,EQUIPOS!$B$3:$C$18,2,0),"NO EXISTE"))</f>
        <v/>
      </c>
      <c r="E977" s="9" t="str">
        <f aca="false">IF(C977="","",IFERROR(VLOOKUP(C977,EQUIPOS!$B$3:$F$18,5,0),""))</f>
        <v/>
      </c>
      <c r="F977" s="5" t="str">
        <f aca="false">IF(C977="","",IFERROR(VLOOKUP(C977,EQUIPOS!$B$3:$G$18,6,0),""))</f>
        <v/>
      </c>
      <c r="G977" s="8"/>
      <c r="H977" s="5"/>
      <c r="I977" s="5"/>
      <c r="J977" s="9"/>
      <c r="K977" s="17" t="str">
        <f aca="false">IF(H977="","",IFERROR(SUMIFS(BD_PLAN!$I$3:$I$312,BD_PLAN!$B$3:$B$312,E977,BD_PLAN!$C$3:$C$312,INDEX(BD_CICLO!$F$3:$F$54,MATCH(E977&amp;"|"&amp;H977,BD_CICLO!$G$3:$G$54,0))),""))</f>
        <v/>
      </c>
      <c r="L977" s="9"/>
      <c r="M977" s="9"/>
      <c r="N977" s="1" t="str">
        <f aca="false">IF(C977="","",C977&amp;"|"&amp;COUNTIF(C$3:C977,C977))</f>
        <v/>
      </c>
      <c r="O977" s="1" t="str">
        <f aca="false">IF(OR(C977="",M977=""),"",C977&amp;"|"&amp;COUNTIFS(C$3:C977,C977,M$3:M977,"&lt;&gt;"))</f>
        <v/>
      </c>
    </row>
    <row r="978" customFormat="false" ht="15" hidden="false" customHeight="false" outlineLevel="0" collapsed="false">
      <c r="B978" s="7"/>
      <c r="C978" s="5"/>
      <c r="D978" s="9" t="str">
        <f aca="false">IF(C978="","",IFERROR(VLOOKUP(C978,EQUIPOS!$B$3:$C$18,2,0),"NO EXISTE"))</f>
        <v/>
      </c>
      <c r="E978" s="9" t="str">
        <f aca="false">IF(C978="","",IFERROR(VLOOKUP(C978,EQUIPOS!$B$3:$F$18,5,0),""))</f>
        <v/>
      </c>
      <c r="F978" s="5" t="str">
        <f aca="false">IF(C978="","",IFERROR(VLOOKUP(C978,EQUIPOS!$B$3:$G$18,6,0),""))</f>
        <v/>
      </c>
      <c r="G978" s="8"/>
      <c r="H978" s="5"/>
      <c r="I978" s="5"/>
      <c r="J978" s="9"/>
      <c r="K978" s="17" t="str">
        <f aca="false">IF(H978="","",IFERROR(SUMIFS(BD_PLAN!$I$3:$I$312,BD_PLAN!$B$3:$B$312,E978,BD_PLAN!$C$3:$C$312,INDEX(BD_CICLO!$F$3:$F$54,MATCH(E978&amp;"|"&amp;H978,BD_CICLO!$G$3:$G$54,0))),""))</f>
        <v/>
      </c>
      <c r="L978" s="9"/>
      <c r="M978" s="9"/>
      <c r="N978" s="1" t="str">
        <f aca="false">IF(C978="","",C978&amp;"|"&amp;COUNTIF(C$3:C978,C978))</f>
        <v/>
      </c>
      <c r="O978" s="1" t="str">
        <f aca="false">IF(OR(C978="",M978=""),"",C978&amp;"|"&amp;COUNTIFS(C$3:C978,C978,M$3:M978,"&lt;&gt;"))</f>
        <v/>
      </c>
    </row>
    <row r="979" customFormat="false" ht="15" hidden="false" customHeight="false" outlineLevel="0" collapsed="false">
      <c r="B979" s="7"/>
      <c r="C979" s="5"/>
      <c r="D979" s="9" t="str">
        <f aca="false">IF(C979="","",IFERROR(VLOOKUP(C979,EQUIPOS!$B$3:$C$18,2,0),"NO EXISTE"))</f>
        <v/>
      </c>
      <c r="E979" s="9" t="str">
        <f aca="false">IF(C979="","",IFERROR(VLOOKUP(C979,EQUIPOS!$B$3:$F$18,5,0),""))</f>
        <v/>
      </c>
      <c r="F979" s="5" t="str">
        <f aca="false">IF(C979="","",IFERROR(VLOOKUP(C979,EQUIPOS!$B$3:$G$18,6,0),""))</f>
        <v/>
      </c>
      <c r="G979" s="8"/>
      <c r="H979" s="5"/>
      <c r="I979" s="5"/>
      <c r="J979" s="9"/>
      <c r="K979" s="17" t="str">
        <f aca="false">IF(H979="","",IFERROR(SUMIFS(BD_PLAN!$I$3:$I$312,BD_PLAN!$B$3:$B$312,E979,BD_PLAN!$C$3:$C$312,INDEX(BD_CICLO!$F$3:$F$54,MATCH(E979&amp;"|"&amp;H979,BD_CICLO!$G$3:$G$54,0))),""))</f>
        <v/>
      </c>
      <c r="L979" s="9"/>
      <c r="M979" s="9"/>
      <c r="N979" s="1" t="str">
        <f aca="false">IF(C979="","",C979&amp;"|"&amp;COUNTIF(C$3:C979,C979))</f>
        <v/>
      </c>
      <c r="O979" s="1" t="str">
        <f aca="false">IF(OR(C979="",M979=""),"",C979&amp;"|"&amp;COUNTIFS(C$3:C979,C979,M$3:M979,"&lt;&gt;"))</f>
        <v/>
      </c>
    </row>
    <row r="980" customFormat="false" ht="15" hidden="false" customHeight="false" outlineLevel="0" collapsed="false">
      <c r="B980" s="7"/>
      <c r="C980" s="5"/>
      <c r="D980" s="9" t="str">
        <f aca="false">IF(C980="","",IFERROR(VLOOKUP(C980,EQUIPOS!$B$3:$C$18,2,0),"NO EXISTE"))</f>
        <v/>
      </c>
      <c r="E980" s="9" t="str">
        <f aca="false">IF(C980="","",IFERROR(VLOOKUP(C980,EQUIPOS!$B$3:$F$18,5,0),""))</f>
        <v/>
      </c>
      <c r="F980" s="5" t="str">
        <f aca="false">IF(C980="","",IFERROR(VLOOKUP(C980,EQUIPOS!$B$3:$G$18,6,0),""))</f>
        <v/>
      </c>
      <c r="G980" s="8"/>
      <c r="H980" s="5"/>
      <c r="I980" s="5"/>
      <c r="J980" s="9"/>
      <c r="K980" s="17" t="str">
        <f aca="false">IF(H980="","",IFERROR(SUMIFS(BD_PLAN!$I$3:$I$312,BD_PLAN!$B$3:$B$312,E980,BD_PLAN!$C$3:$C$312,INDEX(BD_CICLO!$F$3:$F$54,MATCH(E980&amp;"|"&amp;H980,BD_CICLO!$G$3:$G$54,0))),""))</f>
        <v/>
      </c>
      <c r="L980" s="9"/>
      <c r="M980" s="9"/>
      <c r="N980" s="1" t="str">
        <f aca="false">IF(C980="","",C980&amp;"|"&amp;COUNTIF(C$3:C980,C980))</f>
        <v/>
      </c>
      <c r="O980" s="1" t="str">
        <f aca="false">IF(OR(C980="",M980=""),"",C980&amp;"|"&amp;COUNTIFS(C$3:C980,C980,M$3:M980,"&lt;&gt;"))</f>
        <v/>
      </c>
    </row>
    <row r="981" customFormat="false" ht="15" hidden="false" customHeight="false" outlineLevel="0" collapsed="false">
      <c r="B981" s="7"/>
      <c r="C981" s="5"/>
      <c r="D981" s="9" t="str">
        <f aca="false">IF(C981="","",IFERROR(VLOOKUP(C981,EQUIPOS!$B$3:$C$18,2,0),"NO EXISTE"))</f>
        <v/>
      </c>
      <c r="E981" s="9" t="str">
        <f aca="false">IF(C981="","",IFERROR(VLOOKUP(C981,EQUIPOS!$B$3:$F$18,5,0),""))</f>
        <v/>
      </c>
      <c r="F981" s="5" t="str">
        <f aca="false">IF(C981="","",IFERROR(VLOOKUP(C981,EQUIPOS!$B$3:$G$18,6,0),""))</f>
        <v/>
      </c>
      <c r="G981" s="8"/>
      <c r="H981" s="5"/>
      <c r="I981" s="5"/>
      <c r="J981" s="9"/>
      <c r="K981" s="17" t="str">
        <f aca="false">IF(H981="","",IFERROR(SUMIFS(BD_PLAN!$I$3:$I$312,BD_PLAN!$B$3:$B$312,E981,BD_PLAN!$C$3:$C$312,INDEX(BD_CICLO!$F$3:$F$54,MATCH(E981&amp;"|"&amp;H981,BD_CICLO!$G$3:$G$54,0))),""))</f>
        <v/>
      </c>
      <c r="L981" s="9"/>
      <c r="M981" s="9"/>
      <c r="N981" s="1" t="str">
        <f aca="false">IF(C981="","",C981&amp;"|"&amp;COUNTIF(C$3:C981,C981))</f>
        <v/>
      </c>
      <c r="O981" s="1" t="str">
        <f aca="false">IF(OR(C981="",M981=""),"",C981&amp;"|"&amp;COUNTIFS(C$3:C981,C981,M$3:M981,"&lt;&gt;"))</f>
        <v/>
      </c>
    </row>
    <row r="982" customFormat="false" ht="15" hidden="false" customHeight="false" outlineLevel="0" collapsed="false">
      <c r="B982" s="7"/>
      <c r="C982" s="5"/>
      <c r="D982" s="9" t="str">
        <f aca="false">IF(C982="","",IFERROR(VLOOKUP(C982,EQUIPOS!$B$3:$C$18,2,0),"NO EXISTE"))</f>
        <v/>
      </c>
      <c r="E982" s="9" t="str">
        <f aca="false">IF(C982="","",IFERROR(VLOOKUP(C982,EQUIPOS!$B$3:$F$18,5,0),""))</f>
        <v/>
      </c>
      <c r="F982" s="5" t="str">
        <f aca="false">IF(C982="","",IFERROR(VLOOKUP(C982,EQUIPOS!$B$3:$G$18,6,0),""))</f>
        <v/>
      </c>
      <c r="G982" s="8"/>
      <c r="H982" s="5"/>
      <c r="I982" s="5"/>
      <c r="J982" s="9"/>
      <c r="K982" s="17" t="str">
        <f aca="false">IF(H982="","",IFERROR(SUMIFS(BD_PLAN!$I$3:$I$312,BD_PLAN!$B$3:$B$312,E982,BD_PLAN!$C$3:$C$312,INDEX(BD_CICLO!$F$3:$F$54,MATCH(E982&amp;"|"&amp;H982,BD_CICLO!$G$3:$G$54,0))),""))</f>
        <v/>
      </c>
      <c r="L982" s="9"/>
      <c r="M982" s="9"/>
      <c r="N982" s="1" t="str">
        <f aca="false">IF(C982="","",C982&amp;"|"&amp;COUNTIF(C$3:C982,C982))</f>
        <v/>
      </c>
      <c r="O982" s="1" t="str">
        <f aca="false">IF(OR(C982="",M982=""),"",C982&amp;"|"&amp;COUNTIFS(C$3:C982,C982,M$3:M982,"&lt;&gt;"))</f>
        <v/>
      </c>
    </row>
    <row r="983" customFormat="false" ht="15" hidden="false" customHeight="false" outlineLevel="0" collapsed="false">
      <c r="B983" s="7"/>
      <c r="C983" s="5"/>
      <c r="D983" s="9" t="str">
        <f aca="false">IF(C983="","",IFERROR(VLOOKUP(C983,EQUIPOS!$B$3:$C$18,2,0),"NO EXISTE"))</f>
        <v/>
      </c>
      <c r="E983" s="9" t="str">
        <f aca="false">IF(C983="","",IFERROR(VLOOKUP(C983,EQUIPOS!$B$3:$F$18,5,0),""))</f>
        <v/>
      </c>
      <c r="F983" s="5" t="str">
        <f aca="false">IF(C983="","",IFERROR(VLOOKUP(C983,EQUIPOS!$B$3:$G$18,6,0),""))</f>
        <v/>
      </c>
      <c r="G983" s="8"/>
      <c r="H983" s="5"/>
      <c r="I983" s="5"/>
      <c r="J983" s="9"/>
      <c r="K983" s="17" t="str">
        <f aca="false">IF(H983="","",IFERROR(SUMIFS(BD_PLAN!$I$3:$I$312,BD_PLAN!$B$3:$B$312,E983,BD_PLAN!$C$3:$C$312,INDEX(BD_CICLO!$F$3:$F$54,MATCH(E983&amp;"|"&amp;H983,BD_CICLO!$G$3:$G$54,0))),""))</f>
        <v/>
      </c>
      <c r="L983" s="9"/>
      <c r="M983" s="9"/>
      <c r="N983" s="1" t="str">
        <f aca="false">IF(C983="","",C983&amp;"|"&amp;COUNTIF(C$3:C983,C983))</f>
        <v/>
      </c>
      <c r="O983" s="1" t="str">
        <f aca="false">IF(OR(C983="",M983=""),"",C983&amp;"|"&amp;COUNTIFS(C$3:C983,C983,M$3:M983,"&lt;&gt;"))</f>
        <v/>
      </c>
    </row>
    <row r="984" customFormat="false" ht="15" hidden="false" customHeight="false" outlineLevel="0" collapsed="false">
      <c r="B984" s="7"/>
      <c r="C984" s="5"/>
      <c r="D984" s="9" t="str">
        <f aca="false">IF(C984="","",IFERROR(VLOOKUP(C984,EQUIPOS!$B$3:$C$18,2,0),"NO EXISTE"))</f>
        <v/>
      </c>
      <c r="E984" s="9" t="str">
        <f aca="false">IF(C984="","",IFERROR(VLOOKUP(C984,EQUIPOS!$B$3:$F$18,5,0),""))</f>
        <v/>
      </c>
      <c r="F984" s="5" t="str">
        <f aca="false">IF(C984="","",IFERROR(VLOOKUP(C984,EQUIPOS!$B$3:$G$18,6,0),""))</f>
        <v/>
      </c>
      <c r="G984" s="8"/>
      <c r="H984" s="5"/>
      <c r="I984" s="5"/>
      <c r="J984" s="9"/>
      <c r="K984" s="17" t="str">
        <f aca="false">IF(H984="","",IFERROR(SUMIFS(BD_PLAN!$I$3:$I$312,BD_PLAN!$B$3:$B$312,E984,BD_PLAN!$C$3:$C$312,INDEX(BD_CICLO!$F$3:$F$54,MATCH(E984&amp;"|"&amp;H984,BD_CICLO!$G$3:$G$54,0))),""))</f>
        <v/>
      </c>
      <c r="L984" s="9"/>
      <c r="M984" s="9"/>
      <c r="N984" s="1" t="str">
        <f aca="false">IF(C984="","",C984&amp;"|"&amp;COUNTIF(C$3:C984,C984))</f>
        <v/>
      </c>
      <c r="O984" s="1" t="str">
        <f aca="false">IF(OR(C984="",M984=""),"",C984&amp;"|"&amp;COUNTIFS(C$3:C984,C984,M$3:M984,"&lt;&gt;"))</f>
        <v/>
      </c>
    </row>
    <row r="985" customFormat="false" ht="15" hidden="false" customHeight="false" outlineLevel="0" collapsed="false">
      <c r="B985" s="7"/>
      <c r="C985" s="5"/>
      <c r="D985" s="9" t="str">
        <f aca="false">IF(C985="","",IFERROR(VLOOKUP(C985,EQUIPOS!$B$3:$C$18,2,0),"NO EXISTE"))</f>
        <v/>
      </c>
      <c r="E985" s="9" t="str">
        <f aca="false">IF(C985="","",IFERROR(VLOOKUP(C985,EQUIPOS!$B$3:$F$18,5,0),""))</f>
        <v/>
      </c>
      <c r="F985" s="5" t="str">
        <f aca="false">IF(C985="","",IFERROR(VLOOKUP(C985,EQUIPOS!$B$3:$G$18,6,0),""))</f>
        <v/>
      </c>
      <c r="G985" s="8"/>
      <c r="H985" s="5"/>
      <c r="I985" s="5"/>
      <c r="J985" s="9"/>
      <c r="K985" s="17" t="str">
        <f aca="false">IF(H985="","",IFERROR(SUMIFS(BD_PLAN!$I$3:$I$312,BD_PLAN!$B$3:$B$312,E985,BD_PLAN!$C$3:$C$312,INDEX(BD_CICLO!$F$3:$F$54,MATCH(E985&amp;"|"&amp;H985,BD_CICLO!$G$3:$G$54,0))),""))</f>
        <v/>
      </c>
      <c r="L985" s="9"/>
      <c r="M985" s="9"/>
      <c r="N985" s="1" t="str">
        <f aca="false">IF(C985="","",C985&amp;"|"&amp;COUNTIF(C$3:C985,C985))</f>
        <v/>
      </c>
      <c r="O985" s="1" t="str">
        <f aca="false">IF(OR(C985="",M985=""),"",C985&amp;"|"&amp;COUNTIFS(C$3:C985,C985,M$3:M985,"&lt;&gt;"))</f>
        <v/>
      </c>
    </row>
    <row r="986" customFormat="false" ht="15" hidden="false" customHeight="false" outlineLevel="0" collapsed="false">
      <c r="B986" s="7"/>
      <c r="C986" s="5"/>
      <c r="D986" s="9" t="str">
        <f aca="false">IF(C986="","",IFERROR(VLOOKUP(C986,EQUIPOS!$B$3:$C$18,2,0),"NO EXISTE"))</f>
        <v/>
      </c>
      <c r="E986" s="9" t="str">
        <f aca="false">IF(C986="","",IFERROR(VLOOKUP(C986,EQUIPOS!$B$3:$F$18,5,0),""))</f>
        <v/>
      </c>
      <c r="F986" s="5" t="str">
        <f aca="false">IF(C986="","",IFERROR(VLOOKUP(C986,EQUIPOS!$B$3:$G$18,6,0),""))</f>
        <v/>
      </c>
      <c r="G986" s="8"/>
      <c r="H986" s="5"/>
      <c r="I986" s="5"/>
      <c r="J986" s="9"/>
      <c r="K986" s="17" t="str">
        <f aca="false">IF(H986="","",IFERROR(SUMIFS(BD_PLAN!$I$3:$I$312,BD_PLAN!$B$3:$B$312,E986,BD_PLAN!$C$3:$C$312,INDEX(BD_CICLO!$F$3:$F$54,MATCH(E986&amp;"|"&amp;H986,BD_CICLO!$G$3:$G$54,0))),""))</f>
        <v/>
      </c>
      <c r="L986" s="9"/>
      <c r="M986" s="9"/>
      <c r="N986" s="1" t="str">
        <f aca="false">IF(C986="","",C986&amp;"|"&amp;COUNTIF(C$3:C986,C986))</f>
        <v/>
      </c>
      <c r="O986" s="1" t="str">
        <f aca="false">IF(OR(C986="",M986=""),"",C986&amp;"|"&amp;COUNTIFS(C$3:C986,C986,M$3:M986,"&lt;&gt;"))</f>
        <v/>
      </c>
    </row>
    <row r="987" customFormat="false" ht="15" hidden="false" customHeight="false" outlineLevel="0" collapsed="false">
      <c r="B987" s="7"/>
      <c r="C987" s="5"/>
      <c r="D987" s="9" t="str">
        <f aca="false">IF(C987="","",IFERROR(VLOOKUP(C987,EQUIPOS!$B$3:$C$18,2,0),"NO EXISTE"))</f>
        <v/>
      </c>
      <c r="E987" s="9" t="str">
        <f aca="false">IF(C987="","",IFERROR(VLOOKUP(C987,EQUIPOS!$B$3:$F$18,5,0),""))</f>
        <v/>
      </c>
      <c r="F987" s="5" t="str">
        <f aca="false">IF(C987="","",IFERROR(VLOOKUP(C987,EQUIPOS!$B$3:$G$18,6,0),""))</f>
        <v/>
      </c>
      <c r="G987" s="8"/>
      <c r="H987" s="5"/>
      <c r="I987" s="5"/>
      <c r="J987" s="9"/>
      <c r="K987" s="17" t="str">
        <f aca="false">IF(H987="","",IFERROR(SUMIFS(BD_PLAN!$I$3:$I$312,BD_PLAN!$B$3:$B$312,E987,BD_PLAN!$C$3:$C$312,INDEX(BD_CICLO!$F$3:$F$54,MATCH(E987&amp;"|"&amp;H987,BD_CICLO!$G$3:$G$54,0))),""))</f>
        <v/>
      </c>
      <c r="L987" s="9"/>
      <c r="M987" s="9"/>
      <c r="N987" s="1" t="str">
        <f aca="false">IF(C987="","",C987&amp;"|"&amp;COUNTIF(C$3:C987,C987))</f>
        <v/>
      </c>
      <c r="O987" s="1" t="str">
        <f aca="false">IF(OR(C987="",M987=""),"",C987&amp;"|"&amp;COUNTIFS(C$3:C987,C987,M$3:M987,"&lt;&gt;"))</f>
        <v/>
      </c>
    </row>
    <row r="988" customFormat="false" ht="15" hidden="false" customHeight="false" outlineLevel="0" collapsed="false">
      <c r="B988" s="7"/>
      <c r="C988" s="5"/>
      <c r="D988" s="9" t="str">
        <f aca="false">IF(C988="","",IFERROR(VLOOKUP(C988,EQUIPOS!$B$3:$C$18,2,0),"NO EXISTE"))</f>
        <v/>
      </c>
      <c r="E988" s="9" t="str">
        <f aca="false">IF(C988="","",IFERROR(VLOOKUP(C988,EQUIPOS!$B$3:$F$18,5,0),""))</f>
        <v/>
      </c>
      <c r="F988" s="5" t="str">
        <f aca="false">IF(C988="","",IFERROR(VLOOKUP(C988,EQUIPOS!$B$3:$G$18,6,0),""))</f>
        <v/>
      </c>
      <c r="G988" s="8"/>
      <c r="H988" s="5"/>
      <c r="I988" s="5"/>
      <c r="J988" s="9"/>
      <c r="K988" s="17" t="str">
        <f aca="false">IF(H988="","",IFERROR(SUMIFS(BD_PLAN!$I$3:$I$312,BD_PLAN!$B$3:$B$312,E988,BD_PLAN!$C$3:$C$312,INDEX(BD_CICLO!$F$3:$F$54,MATCH(E988&amp;"|"&amp;H988,BD_CICLO!$G$3:$G$54,0))),""))</f>
        <v/>
      </c>
      <c r="L988" s="9"/>
      <c r="M988" s="9"/>
      <c r="N988" s="1" t="str">
        <f aca="false">IF(C988="","",C988&amp;"|"&amp;COUNTIF(C$3:C988,C988))</f>
        <v/>
      </c>
      <c r="O988" s="1" t="str">
        <f aca="false">IF(OR(C988="",M988=""),"",C988&amp;"|"&amp;COUNTIFS(C$3:C988,C988,M$3:M988,"&lt;&gt;"))</f>
        <v/>
      </c>
    </row>
    <row r="989" customFormat="false" ht="15" hidden="false" customHeight="false" outlineLevel="0" collapsed="false">
      <c r="B989" s="7"/>
      <c r="C989" s="5"/>
      <c r="D989" s="9" t="str">
        <f aca="false">IF(C989="","",IFERROR(VLOOKUP(C989,EQUIPOS!$B$3:$C$18,2,0),"NO EXISTE"))</f>
        <v/>
      </c>
      <c r="E989" s="9" t="str">
        <f aca="false">IF(C989="","",IFERROR(VLOOKUP(C989,EQUIPOS!$B$3:$F$18,5,0),""))</f>
        <v/>
      </c>
      <c r="F989" s="5" t="str">
        <f aca="false">IF(C989="","",IFERROR(VLOOKUP(C989,EQUIPOS!$B$3:$G$18,6,0),""))</f>
        <v/>
      </c>
      <c r="G989" s="8"/>
      <c r="H989" s="5"/>
      <c r="I989" s="5"/>
      <c r="J989" s="9"/>
      <c r="K989" s="17" t="str">
        <f aca="false">IF(H989="","",IFERROR(SUMIFS(BD_PLAN!$I$3:$I$312,BD_PLAN!$B$3:$B$312,E989,BD_PLAN!$C$3:$C$312,INDEX(BD_CICLO!$F$3:$F$54,MATCH(E989&amp;"|"&amp;H989,BD_CICLO!$G$3:$G$54,0))),""))</f>
        <v/>
      </c>
      <c r="L989" s="9"/>
      <c r="M989" s="9"/>
      <c r="N989" s="1" t="str">
        <f aca="false">IF(C989="","",C989&amp;"|"&amp;COUNTIF(C$3:C989,C989))</f>
        <v/>
      </c>
      <c r="O989" s="1" t="str">
        <f aca="false">IF(OR(C989="",M989=""),"",C989&amp;"|"&amp;COUNTIFS(C$3:C989,C989,M$3:M989,"&lt;&gt;"))</f>
        <v/>
      </c>
    </row>
    <row r="990" customFormat="false" ht="15" hidden="false" customHeight="false" outlineLevel="0" collapsed="false">
      <c r="B990" s="7"/>
      <c r="C990" s="5"/>
      <c r="D990" s="9" t="str">
        <f aca="false">IF(C990="","",IFERROR(VLOOKUP(C990,EQUIPOS!$B$3:$C$18,2,0),"NO EXISTE"))</f>
        <v/>
      </c>
      <c r="E990" s="9" t="str">
        <f aca="false">IF(C990="","",IFERROR(VLOOKUP(C990,EQUIPOS!$B$3:$F$18,5,0),""))</f>
        <v/>
      </c>
      <c r="F990" s="5" t="str">
        <f aca="false">IF(C990="","",IFERROR(VLOOKUP(C990,EQUIPOS!$B$3:$G$18,6,0),""))</f>
        <v/>
      </c>
      <c r="G990" s="8"/>
      <c r="H990" s="5"/>
      <c r="I990" s="5"/>
      <c r="J990" s="9"/>
      <c r="K990" s="17" t="str">
        <f aca="false">IF(H990="","",IFERROR(SUMIFS(BD_PLAN!$I$3:$I$312,BD_PLAN!$B$3:$B$312,E990,BD_PLAN!$C$3:$C$312,INDEX(BD_CICLO!$F$3:$F$54,MATCH(E990&amp;"|"&amp;H990,BD_CICLO!$G$3:$G$54,0))),""))</f>
        <v/>
      </c>
      <c r="L990" s="9"/>
      <c r="M990" s="9"/>
      <c r="N990" s="1" t="str">
        <f aca="false">IF(C990="","",C990&amp;"|"&amp;COUNTIF(C$3:C990,C990))</f>
        <v/>
      </c>
      <c r="O990" s="1" t="str">
        <f aca="false">IF(OR(C990="",M990=""),"",C990&amp;"|"&amp;COUNTIFS(C$3:C990,C990,M$3:M990,"&lt;&gt;"))</f>
        <v/>
      </c>
    </row>
    <row r="991" customFormat="false" ht="15" hidden="false" customHeight="false" outlineLevel="0" collapsed="false">
      <c r="B991" s="7"/>
      <c r="C991" s="5"/>
      <c r="D991" s="9" t="str">
        <f aca="false">IF(C991="","",IFERROR(VLOOKUP(C991,EQUIPOS!$B$3:$C$18,2,0),"NO EXISTE"))</f>
        <v/>
      </c>
      <c r="E991" s="9" t="str">
        <f aca="false">IF(C991="","",IFERROR(VLOOKUP(C991,EQUIPOS!$B$3:$F$18,5,0),""))</f>
        <v/>
      </c>
      <c r="F991" s="5" t="str">
        <f aca="false">IF(C991="","",IFERROR(VLOOKUP(C991,EQUIPOS!$B$3:$G$18,6,0),""))</f>
        <v/>
      </c>
      <c r="G991" s="8"/>
      <c r="H991" s="5"/>
      <c r="I991" s="5"/>
      <c r="J991" s="9"/>
      <c r="K991" s="17" t="str">
        <f aca="false">IF(H991="","",IFERROR(SUMIFS(BD_PLAN!$I$3:$I$312,BD_PLAN!$B$3:$B$312,E991,BD_PLAN!$C$3:$C$312,INDEX(BD_CICLO!$F$3:$F$54,MATCH(E991&amp;"|"&amp;H991,BD_CICLO!$G$3:$G$54,0))),""))</f>
        <v/>
      </c>
      <c r="L991" s="9"/>
      <c r="M991" s="9"/>
      <c r="N991" s="1" t="str">
        <f aca="false">IF(C991="","",C991&amp;"|"&amp;COUNTIF(C$3:C991,C991))</f>
        <v/>
      </c>
      <c r="O991" s="1" t="str">
        <f aca="false">IF(OR(C991="",M991=""),"",C991&amp;"|"&amp;COUNTIFS(C$3:C991,C991,M$3:M991,"&lt;&gt;"))</f>
        <v/>
      </c>
    </row>
    <row r="992" customFormat="false" ht="15" hidden="false" customHeight="false" outlineLevel="0" collapsed="false">
      <c r="B992" s="7"/>
      <c r="C992" s="5"/>
      <c r="D992" s="9" t="str">
        <f aca="false">IF(C992="","",IFERROR(VLOOKUP(C992,EQUIPOS!$B$3:$C$18,2,0),"NO EXISTE"))</f>
        <v/>
      </c>
      <c r="E992" s="9" t="str">
        <f aca="false">IF(C992="","",IFERROR(VLOOKUP(C992,EQUIPOS!$B$3:$F$18,5,0),""))</f>
        <v/>
      </c>
      <c r="F992" s="5" t="str">
        <f aca="false">IF(C992="","",IFERROR(VLOOKUP(C992,EQUIPOS!$B$3:$G$18,6,0),""))</f>
        <v/>
      </c>
      <c r="G992" s="8"/>
      <c r="H992" s="5"/>
      <c r="I992" s="5"/>
      <c r="J992" s="9"/>
      <c r="K992" s="17" t="str">
        <f aca="false">IF(H992="","",IFERROR(SUMIFS(BD_PLAN!$I$3:$I$312,BD_PLAN!$B$3:$B$312,E992,BD_PLAN!$C$3:$C$312,INDEX(BD_CICLO!$F$3:$F$54,MATCH(E992&amp;"|"&amp;H992,BD_CICLO!$G$3:$G$54,0))),""))</f>
        <v/>
      </c>
      <c r="L992" s="9"/>
      <c r="M992" s="9"/>
      <c r="N992" s="1" t="str">
        <f aca="false">IF(C992="","",C992&amp;"|"&amp;COUNTIF(C$3:C992,C992))</f>
        <v/>
      </c>
      <c r="O992" s="1" t="str">
        <f aca="false">IF(OR(C992="",M992=""),"",C992&amp;"|"&amp;COUNTIFS(C$3:C992,C992,M$3:M992,"&lt;&gt;"))</f>
        <v/>
      </c>
    </row>
    <row r="993" customFormat="false" ht="15" hidden="false" customHeight="false" outlineLevel="0" collapsed="false">
      <c r="B993" s="7"/>
      <c r="C993" s="5"/>
      <c r="D993" s="9" t="str">
        <f aca="false">IF(C993="","",IFERROR(VLOOKUP(C993,EQUIPOS!$B$3:$C$18,2,0),"NO EXISTE"))</f>
        <v/>
      </c>
      <c r="E993" s="9" t="str">
        <f aca="false">IF(C993="","",IFERROR(VLOOKUP(C993,EQUIPOS!$B$3:$F$18,5,0),""))</f>
        <v/>
      </c>
      <c r="F993" s="5" t="str">
        <f aca="false">IF(C993="","",IFERROR(VLOOKUP(C993,EQUIPOS!$B$3:$G$18,6,0),""))</f>
        <v/>
      </c>
      <c r="G993" s="8"/>
      <c r="H993" s="5"/>
      <c r="I993" s="5"/>
      <c r="J993" s="9"/>
      <c r="K993" s="17" t="str">
        <f aca="false">IF(H993="","",IFERROR(SUMIFS(BD_PLAN!$I$3:$I$312,BD_PLAN!$B$3:$B$312,E993,BD_PLAN!$C$3:$C$312,INDEX(BD_CICLO!$F$3:$F$54,MATCH(E993&amp;"|"&amp;H993,BD_CICLO!$G$3:$G$54,0))),""))</f>
        <v/>
      </c>
      <c r="L993" s="9"/>
      <c r="M993" s="9"/>
      <c r="N993" s="1" t="str">
        <f aca="false">IF(C993="","",C993&amp;"|"&amp;COUNTIF(C$3:C993,C993))</f>
        <v/>
      </c>
      <c r="O993" s="1" t="str">
        <f aca="false">IF(OR(C993="",M993=""),"",C993&amp;"|"&amp;COUNTIFS(C$3:C993,C993,M$3:M993,"&lt;&gt;"))</f>
        <v/>
      </c>
    </row>
    <row r="994" customFormat="false" ht="15" hidden="false" customHeight="false" outlineLevel="0" collapsed="false">
      <c r="B994" s="7"/>
      <c r="C994" s="5"/>
      <c r="D994" s="9" t="str">
        <f aca="false">IF(C994="","",IFERROR(VLOOKUP(C994,EQUIPOS!$B$3:$C$18,2,0),"NO EXISTE"))</f>
        <v/>
      </c>
      <c r="E994" s="9" t="str">
        <f aca="false">IF(C994="","",IFERROR(VLOOKUP(C994,EQUIPOS!$B$3:$F$18,5,0),""))</f>
        <v/>
      </c>
      <c r="F994" s="5" t="str">
        <f aca="false">IF(C994="","",IFERROR(VLOOKUP(C994,EQUIPOS!$B$3:$G$18,6,0),""))</f>
        <v/>
      </c>
      <c r="G994" s="8"/>
      <c r="H994" s="5"/>
      <c r="I994" s="5"/>
      <c r="J994" s="9"/>
      <c r="K994" s="17" t="str">
        <f aca="false">IF(H994="","",IFERROR(SUMIFS(BD_PLAN!$I$3:$I$312,BD_PLAN!$B$3:$B$312,E994,BD_PLAN!$C$3:$C$312,INDEX(BD_CICLO!$F$3:$F$54,MATCH(E994&amp;"|"&amp;H994,BD_CICLO!$G$3:$G$54,0))),""))</f>
        <v/>
      </c>
      <c r="L994" s="9"/>
      <c r="M994" s="9"/>
      <c r="N994" s="1" t="str">
        <f aca="false">IF(C994="","",C994&amp;"|"&amp;COUNTIF(C$3:C994,C994))</f>
        <v/>
      </c>
      <c r="O994" s="1" t="str">
        <f aca="false">IF(OR(C994="",M994=""),"",C994&amp;"|"&amp;COUNTIFS(C$3:C994,C994,M$3:M994,"&lt;&gt;"))</f>
        <v/>
      </c>
    </row>
    <row r="995" customFormat="false" ht="15" hidden="false" customHeight="false" outlineLevel="0" collapsed="false">
      <c r="B995" s="7"/>
      <c r="C995" s="5"/>
      <c r="D995" s="9" t="str">
        <f aca="false">IF(C995="","",IFERROR(VLOOKUP(C995,EQUIPOS!$B$3:$C$18,2,0),"NO EXISTE"))</f>
        <v/>
      </c>
      <c r="E995" s="9" t="str">
        <f aca="false">IF(C995="","",IFERROR(VLOOKUP(C995,EQUIPOS!$B$3:$F$18,5,0),""))</f>
        <v/>
      </c>
      <c r="F995" s="5" t="str">
        <f aca="false">IF(C995="","",IFERROR(VLOOKUP(C995,EQUIPOS!$B$3:$G$18,6,0),""))</f>
        <v/>
      </c>
      <c r="G995" s="8"/>
      <c r="H995" s="5"/>
      <c r="I995" s="5"/>
      <c r="J995" s="9"/>
      <c r="K995" s="17" t="str">
        <f aca="false">IF(H995="","",IFERROR(SUMIFS(BD_PLAN!$I$3:$I$312,BD_PLAN!$B$3:$B$312,E995,BD_PLAN!$C$3:$C$312,INDEX(BD_CICLO!$F$3:$F$54,MATCH(E995&amp;"|"&amp;H995,BD_CICLO!$G$3:$G$54,0))),""))</f>
        <v/>
      </c>
      <c r="L995" s="9"/>
      <c r="M995" s="9"/>
      <c r="N995" s="1" t="str">
        <f aca="false">IF(C995="","",C995&amp;"|"&amp;COUNTIF(C$3:C995,C995))</f>
        <v/>
      </c>
      <c r="O995" s="1" t="str">
        <f aca="false">IF(OR(C995="",M995=""),"",C995&amp;"|"&amp;COUNTIFS(C$3:C995,C995,M$3:M995,"&lt;&gt;"))</f>
        <v/>
      </c>
    </row>
    <row r="996" customFormat="false" ht="15" hidden="false" customHeight="false" outlineLevel="0" collapsed="false">
      <c r="B996" s="7"/>
      <c r="C996" s="5"/>
      <c r="D996" s="9" t="str">
        <f aca="false">IF(C996="","",IFERROR(VLOOKUP(C996,EQUIPOS!$B$3:$C$18,2,0),"NO EXISTE"))</f>
        <v/>
      </c>
      <c r="E996" s="9" t="str">
        <f aca="false">IF(C996="","",IFERROR(VLOOKUP(C996,EQUIPOS!$B$3:$F$18,5,0),""))</f>
        <v/>
      </c>
      <c r="F996" s="5" t="str">
        <f aca="false">IF(C996="","",IFERROR(VLOOKUP(C996,EQUIPOS!$B$3:$G$18,6,0),""))</f>
        <v/>
      </c>
      <c r="G996" s="8"/>
      <c r="H996" s="5"/>
      <c r="I996" s="5"/>
      <c r="J996" s="9"/>
      <c r="K996" s="17" t="str">
        <f aca="false">IF(H996="","",IFERROR(SUMIFS(BD_PLAN!$I$3:$I$312,BD_PLAN!$B$3:$B$312,E996,BD_PLAN!$C$3:$C$312,INDEX(BD_CICLO!$F$3:$F$54,MATCH(E996&amp;"|"&amp;H996,BD_CICLO!$G$3:$G$54,0))),""))</f>
        <v/>
      </c>
      <c r="L996" s="9"/>
      <c r="M996" s="9"/>
      <c r="N996" s="1" t="str">
        <f aca="false">IF(C996="","",C996&amp;"|"&amp;COUNTIF(C$3:C996,C996))</f>
        <v/>
      </c>
      <c r="O996" s="1" t="str">
        <f aca="false">IF(OR(C996="",M996=""),"",C996&amp;"|"&amp;COUNTIFS(C$3:C996,C996,M$3:M996,"&lt;&gt;"))</f>
        <v/>
      </c>
    </row>
    <row r="997" customFormat="false" ht="15" hidden="false" customHeight="false" outlineLevel="0" collapsed="false">
      <c r="B997" s="7"/>
      <c r="C997" s="5"/>
      <c r="D997" s="9" t="str">
        <f aca="false">IF(C997="","",IFERROR(VLOOKUP(C997,EQUIPOS!$B$3:$C$18,2,0),"NO EXISTE"))</f>
        <v/>
      </c>
      <c r="E997" s="9" t="str">
        <f aca="false">IF(C997="","",IFERROR(VLOOKUP(C997,EQUIPOS!$B$3:$F$18,5,0),""))</f>
        <v/>
      </c>
      <c r="F997" s="5" t="str">
        <f aca="false">IF(C997="","",IFERROR(VLOOKUP(C997,EQUIPOS!$B$3:$G$18,6,0),""))</f>
        <v/>
      </c>
      <c r="G997" s="8"/>
      <c r="H997" s="5"/>
      <c r="I997" s="5"/>
      <c r="J997" s="9"/>
      <c r="K997" s="17" t="str">
        <f aca="false">IF(H997="","",IFERROR(SUMIFS(BD_PLAN!$I$3:$I$312,BD_PLAN!$B$3:$B$312,E997,BD_PLAN!$C$3:$C$312,INDEX(BD_CICLO!$F$3:$F$54,MATCH(E997&amp;"|"&amp;H997,BD_CICLO!$G$3:$G$54,0))),""))</f>
        <v/>
      </c>
      <c r="L997" s="9"/>
      <c r="M997" s="9"/>
      <c r="N997" s="1" t="str">
        <f aca="false">IF(C997="","",C997&amp;"|"&amp;COUNTIF(C$3:C997,C997))</f>
        <v/>
      </c>
      <c r="O997" s="1" t="str">
        <f aca="false">IF(OR(C997="",M997=""),"",C997&amp;"|"&amp;COUNTIFS(C$3:C997,C997,M$3:M997,"&lt;&gt;"))</f>
        <v/>
      </c>
    </row>
    <row r="998" customFormat="false" ht="15" hidden="false" customHeight="false" outlineLevel="0" collapsed="false">
      <c r="B998" s="7"/>
      <c r="C998" s="5"/>
      <c r="D998" s="9" t="str">
        <f aca="false">IF(C998="","",IFERROR(VLOOKUP(C998,EQUIPOS!$B$3:$C$18,2,0),"NO EXISTE"))</f>
        <v/>
      </c>
      <c r="E998" s="9" t="str">
        <f aca="false">IF(C998="","",IFERROR(VLOOKUP(C998,EQUIPOS!$B$3:$F$18,5,0),""))</f>
        <v/>
      </c>
      <c r="F998" s="5" t="str">
        <f aca="false">IF(C998="","",IFERROR(VLOOKUP(C998,EQUIPOS!$B$3:$G$18,6,0),""))</f>
        <v/>
      </c>
      <c r="G998" s="8"/>
      <c r="H998" s="5"/>
      <c r="I998" s="5"/>
      <c r="J998" s="9"/>
      <c r="K998" s="17" t="str">
        <f aca="false">IF(H998="","",IFERROR(SUMIFS(BD_PLAN!$I$3:$I$312,BD_PLAN!$B$3:$B$312,E998,BD_PLAN!$C$3:$C$312,INDEX(BD_CICLO!$F$3:$F$54,MATCH(E998&amp;"|"&amp;H998,BD_CICLO!$G$3:$G$54,0))),""))</f>
        <v/>
      </c>
      <c r="L998" s="9"/>
      <c r="M998" s="9"/>
      <c r="N998" s="1" t="str">
        <f aca="false">IF(C998="","",C998&amp;"|"&amp;COUNTIF(C$3:C998,C998))</f>
        <v/>
      </c>
      <c r="O998" s="1" t="str">
        <f aca="false">IF(OR(C998="",M998=""),"",C998&amp;"|"&amp;COUNTIFS(C$3:C998,C998,M$3:M998,"&lt;&gt;"))</f>
        <v/>
      </c>
    </row>
    <row r="999" customFormat="false" ht="15" hidden="false" customHeight="false" outlineLevel="0" collapsed="false">
      <c r="B999" s="7"/>
      <c r="C999" s="5"/>
      <c r="D999" s="9" t="str">
        <f aca="false">IF(C999="","",IFERROR(VLOOKUP(C999,EQUIPOS!$B$3:$C$18,2,0),"NO EXISTE"))</f>
        <v/>
      </c>
      <c r="E999" s="9" t="str">
        <f aca="false">IF(C999="","",IFERROR(VLOOKUP(C999,EQUIPOS!$B$3:$F$18,5,0),""))</f>
        <v/>
      </c>
      <c r="F999" s="5" t="str">
        <f aca="false">IF(C999="","",IFERROR(VLOOKUP(C999,EQUIPOS!$B$3:$G$18,6,0),""))</f>
        <v/>
      </c>
      <c r="G999" s="8"/>
      <c r="H999" s="5"/>
      <c r="I999" s="5"/>
      <c r="J999" s="9"/>
      <c r="K999" s="17" t="str">
        <f aca="false">IF(H999="","",IFERROR(SUMIFS(BD_PLAN!$I$3:$I$312,BD_PLAN!$B$3:$B$312,E999,BD_PLAN!$C$3:$C$312,INDEX(BD_CICLO!$F$3:$F$54,MATCH(E999&amp;"|"&amp;H999,BD_CICLO!$G$3:$G$54,0))),""))</f>
        <v/>
      </c>
      <c r="L999" s="9"/>
      <c r="M999" s="9"/>
      <c r="N999" s="1" t="str">
        <f aca="false">IF(C999="","",C999&amp;"|"&amp;COUNTIF(C$3:C999,C999))</f>
        <v/>
      </c>
      <c r="O999" s="1" t="str">
        <f aca="false">IF(OR(C999="",M999=""),"",C999&amp;"|"&amp;COUNTIFS(C$3:C999,C999,M$3:M999,"&lt;&gt;"))</f>
        <v/>
      </c>
    </row>
    <row r="1000" customFormat="false" ht="15" hidden="false" customHeight="false" outlineLevel="0" collapsed="false">
      <c r="B1000" s="7"/>
      <c r="C1000" s="5"/>
      <c r="D1000" s="9" t="str">
        <f aca="false">IF(C1000="","",IFERROR(VLOOKUP(C1000,EQUIPOS!$B$3:$C$18,2,0),"NO EXISTE"))</f>
        <v/>
      </c>
      <c r="E1000" s="9" t="str">
        <f aca="false">IF(C1000="","",IFERROR(VLOOKUP(C1000,EQUIPOS!$B$3:$F$18,5,0),""))</f>
        <v/>
      </c>
      <c r="F1000" s="5" t="str">
        <f aca="false">IF(C1000="","",IFERROR(VLOOKUP(C1000,EQUIPOS!$B$3:$G$18,6,0),""))</f>
        <v/>
      </c>
      <c r="G1000" s="8"/>
      <c r="H1000" s="5"/>
      <c r="I1000" s="5"/>
      <c r="J1000" s="9"/>
      <c r="K1000" s="17" t="str">
        <f aca="false">IF(H1000="","",IFERROR(SUMIFS(BD_PLAN!$I$3:$I$312,BD_PLAN!$B$3:$B$312,E1000,BD_PLAN!$C$3:$C$312,INDEX(BD_CICLO!$F$3:$F$54,MATCH(E1000&amp;"|"&amp;H1000,BD_CICLO!$G$3:$G$54,0))),""))</f>
        <v/>
      </c>
      <c r="L1000" s="9"/>
      <c r="M1000" s="9"/>
      <c r="N1000" s="1" t="str">
        <f aca="false">IF(C1000="","",C1000&amp;"|"&amp;COUNTIF(C$3:C1000,C1000))</f>
        <v/>
      </c>
      <c r="O1000" s="1" t="str">
        <f aca="false">IF(OR(C1000="",M1000=""),"",C1000&amp;"|"&amp;COUNTIFS(C$3:C1000,C1000,M$3:M1000,"&lt;&gt;"))</f>
        <v/>
      </c>
    </row>
    <row r="1001" customFormat="false" ht="15" hidden="false" customHeight="false" outlineLevel="0" collapsed="false">
      <c r="B1001" s="7"/>
      <c r="C1001" s="5"/>
      <c r="D1001" s="9" t="str">
        <f aca="false">IF(C1001="","",IFERROR(VLOOKUP(C1001,EQUIPOS!$B$3:$C$18,2,0),"NO EXISTE"))</f>
        <v/>
      </c>
      <c r="E1001" s="9" t="str">
        <f aca="false">IF(C1001="","",IFERROR(VLOOKUP(C1001,EQUIPOS!$B$3:$F$18,5,0),""))</f>
        <v/>
      </c>
      <c r="F1001" s="5" t="str">
        <f aca="false">IF(C1001="","",IFERROR(VLOOKUP(C1001,EQUIPOS!$B$3:$G$18,6,0),""))</f>
        <v/>
      </c>
      <c r="G1001" s="8"/>
      <c r="H1001" s="5"/>
      <c r="I1001" s="5"/>
      <c r="J1001" s="9"/>
      <c r="K1001" s="17" t="str">
        <f aca="false">IF(H1001="","",IFERROR(SUMIFS(BD_PLAN!$I$3:$I$312,BD_PLAN!$B$3:$B$312,E1001,BD_PLAN!$C$3:$C$312,INDEX(BD_CICLO!$F$3:$F$54,MATCH(E1001&amp;"|"&amp;H1001,BD_CICLO!$G$3:$G$54,0))),""))</f>
        <v/>
      </c>
      <c r="L1001" s="9"/>
      <c r="M1001" s="9"/>
      <c r="N1001" s="1" t="str">
        <f aca="false">IF(C1001="","",C1001&amp;"|"&amp;COUNTIF(C$3:C1001,C1001))</f>
        <v/>
      </c>
      <c r="O1001" s="1" t="str">
        <f aca="false">IF(OR(C1001="",M1001=""),"",C1001&amp;"|"&amp;COUNTIFS(C$3:C1001,C1001,M$3:M1001,"&lt;&gt;"))</f>
        <v/>
      </c>
    </row>
    <row r="1002" customFormat="false" ht="15" hidden="false" customHeight="false" outlineLevel="0" collapsed="false">
      <c r="B1002" s="7"/>
      <c r="C1002" s="5"/>
      <c r="D1002" s="9" t="str">
        <f aca="false">IF(C1002="","",IFERROR(VLOOKUP(C1002,EQUIPOS!$B$3:$C$18,2,0),"NO EXISTE"))</f>
        <v/>
      </c>
      <c r="E1002" s="9" t="str">
        <f aca="false">IF(C1002="","",IFERROR(VLOOKUP(C1002,EQUIPOS!$B$3:$F$18,5,0),""))</f>
        <v/>
      </c>
      <c r="F1002" s="5" t="str">
        <f aca="false">IF(C1002="","",IFERROR(VLOOKUP(C1002,EQUIPOS!$B$3:$G$18,6,0),""))</f>
        <v/>
      </c>
      <c r="G1002" s="8"/>
      <c r="H1002" s="5"/>
      <c r="I1002" s="5"/>
      <c r="J1002" s="9"/>
      <c r="K1002" s="17" t="str">
        <f aca="false">IF(H1002="","",IFERROR(SUMIFS(BD_PLAN!$I$3:$I$312,BD_PLAN!$B$3:$B$312,E1002,BD_PLAN!$C$3:$C$312,INDEX(BD_CICLO!$F$3:$F$54,MATCH(E1002&amp;"|"&amp;H1002,BD_CICLO!$G$3:$G$54,0))),""))</f>
        <v/>
      </c>
      <c r="L1002" s="9"/>
      <c r="M1002" s="9"/>
      <c r="N1002" s="1" t="str">
        <f aca="false">IF(C1002="","",C1002&amp;"|"&amp;COUNTIF(C$3:C1002,C1002))</f>
        <v/>
      </c>
      <c r="O1002" s="1" t="str">
        <f aca="false">IF(OR(C1002="",M1002=""),"",C1002&amp;"|"&amp;COUNTIFS(C$3:C1002,C1002,M$3:M1002,"&lt;&gt;"))</f>
        <v/>
      </c>
    </row>
    <row r="1003" customFormat="false" ht="15" hidden="false" customHeight="false" outlineLevel="0" collapsed="false">
      <c r="B1003" s="7"/>
      <c r="C1003" s="5"/>
      <c r="D1003" s="9" t="str">
        <f aca="false">IF(C1003="","",IFERROR(VLOOKUP(C1003,EQUIPOS!$B$3:$C$18,2,0),"NO EXISTE"))</f>
        <v/>
      </c>
      <c r="E1003" s="9" t="str">
        <f aca="false">IF(C1003="","",IFERROR(VLOOKUP(C1003,EQUIPOS!$B$3:$F$18,5,0),""))</f>
        <v/>
      </c>
      <c r="F1003" s="5" t="str">
        <f aca="false">IF(C1003="","",IFERROR(VLOOKUP(C1003,EQUIPOS!$B$3:$G$18,6,0),""))</f>
        <v/>
      </c>
      <c r="G1003" s="8"/>
      <c r="H1003" s="5"/>
      <c r="I1003" s="5"/>
      <c r="J1003" s="9"/>
      <c r="K1003" s="17" t="str">
        <f aca="false">IF(H1003="","",IFERROR(SUMIFS(BD_PLAN!$I$3:$I$312,BD_PLAN!$B$3:$B$312,E1003,BD_PLAN!$C$3:$C$312,INDEX(BD_CICLO!$F$3:$F$54,MATCH(E1003&amp;"|"&amp;H1003,BD_CICLO!$G$3:$G$54,0))),""))</f>
        <v/>
      </c>
      <c r="L1003" s="9"/>
      <c r="M1003" s="9"/>
      <c r="N1003" s="1" t="str">
        <f aca="false">IF(C1003="","",C1003&amp;"|"&amp;COUNTIF(C$3:C1003,C1003))</f>
        <v/>
      </c>
      <c r="O1003" s="1" t="str">
        <f aca="false">IF(OR(C1003="",M1003=""),"",C1003&amp;"|"&amp;COUNTIFS(C$3:C1003,C1003,M$3:M1003,"&lt;&gt;"))</f>
        <v/>
      </c>
    </row>
    <row r="1004" customFormat="false" ht="15" hidden="false" customHeight="false" outlineLevel="0" collapsed="false">
      <c r="B1004" s="7"/>
      <c r="C1004" s="5"/>
      <c r="D1004" s="9" t="str">
        <f aca="false">IF(C1004="","",IFERROR(VLOOKUP(C1004,EQUIPOS!$B$3:$C$18,2,0),"NO EXISTE"))</f>
        <v/>
      </c>
      <c r="E1004" s="9" t="str">
        <f aca="false">IF(C1004="","",IFERROR(VLOOKUP(C1004,EQUIPOS!$B$3:$F$18,5,0),""))</f>
        <v/>
      </c>
      <c r="F1004" s="5" t="str">
        <f aca="false">IF(C1004="","",IFERROR(VLOOKUP(C1004,EQUIPOS!$B$3:$G$18,6,0),""))</f>
        <v/>
      </c>
      <c r="G1004" s="8"/>
      <c r="H1004" s="5"/>
      <c r="I1004" s="5"/>
      <c r="J1004" s="9"/>
      <c r="K1004" s="17" t="str">
        <f aca="false">IF(H1004="","",IFERROR(SUMIFS(BD_PLAN!$I$3:$I$312,BD_PLAN!$B$3:$B$312,E1004,BD_PLAN!$C$3:$C$312,INDEX(BD_CICLO!$F$3:$F$54,MATCH(E1004&amp;"|"&amp;H1004,BD_CICLO!$G$3:$G$54,0))),""))</f>
        <v/>
      </c>
      <c r="L1004" s="9"/>
      <c r="M1004" s="9"/>
      <c r="N1004" s="1" t="str">
        <f aca="false">IF(C1004="","",C1004&amp;"|"&amp;COUNTIF(C$3:C1004,C1004))</f>
        <v/>
      </c>
      <c r="O1004" s="1" t="str">
        <f aca="false">IF(OR(C1004="",M1004=""),"",C1004&amp;"|"&amp;COUNTIFS(C$3:C1004,C1004,M$3:M1004,"&lt;&gt;"))</f>
        <v/>
      </c>
    </row>
    <row r="1005" customFormat="false" ht="15" hidden="false" customHeight="false" outlineLevel="0" collapsed="false">
      <c r="B1005" s="7"/>
      <c r="C1005" s="5"/>
      <c r="D1005" s="9" t="str">
        <f aca="false">IF(C1005="","",IFERROR(VLOOKUP(C1005,EQUIPOS!$B$3:$C$18,2,0),"NO EXISTE"))</f>
        <v/>
      </c>
      <c r="E1005" s="9" t="str">
        <f aca="false">IF(C1005="","",IFERROR(VLOOKUP(C1005,EQUIPOS!$B$3:$F$18,5,0),""))</f>
        <v/>
      </c>
      <c r="F1005" s="5" t="str">
        <f aca="false">IF(C1005="","",IFERROR(VLOOKUP(C1005,EQUIPOS!$B$3:$G$18,6,0),""))</f>
        <v/>
      </c>
      <c r="G1005" s="8"/>
      <c r="H1005" s="5"/>
      <c r="I1005" s="5"/>
      <c r="J1005" s="9"/>
      <c r="K1005" s="17" t="str">
        <f aca="false">IF(H1005="","",IFERROR(SUMIFS(BD_PLAN!$I$3:$I$312,BD_PLAN!$B$3:$B$312,E1005,BD_PLAN!$C$3:$C$312,INDEX(BD_CICLO!$F$3:$F$54,MATCH(E1005&amp;"|"&amp;H1005,BD_CICLO!$G$3:$G$54,0))),""))</f>
        <v/>
      </c>
      <c r="L1005" s="9"/>
      <c r="M1005" s="9"/>
      <c r="N1005" s="1" t="str">
        <f aca="false">IF(C1005="","",C1005&amp;"|"&amp;COUNTIF(C$3:C1005,C1005))</f>
        <v/>
      </c>
      <c r="O1005" s="1" t="str">
        <f aca="false">IF(OR(C1005="",M1005=""),"",C1005&amp;"|"&amp;COUNTIFS(C$3:C1005,C1005,M$3:M1005,"&lt;&gt;"))</f>
        <v/>
      </c>
    </row>
    <row r="1006" customFormat="false" ht="15" hidden="false" customHeight="false" outlineLevel="0" collapsed="false">
      <c r="B1006" s="7"/>
      <c r="C1006" s="5"/>
      <c r="D1006" s="9" t="str">
        <f aca="false">IF(C1006="","",IFERROR(VLOOKUP(C1006,EQUIPOS!$B$3:$C$18,2,0),"NO EXISTE"))</f>
        <v/>
      </c>
      <c r="E1006" s="9" t="str">
        <f aca="false">IF(C1006="","",IFERROR(VLOOKUP(C1006,EQUIPOS!$B$3:$F$18,5,0),""))</f>
        <v/>
      </c>
      <c r="F1006" s="5" t="str">
        <f aca="false">IF(C1006="","",IFERROR(VLOOKUP(C1006,EQUIPOS!$B$3:$G$18,6,0),""))</f>
        <v/>
      </c>
      <c r="G1006" s="8"/>
      <c r="H1006" s="5"/>
      <c r="I1006" s="5"/>
      <c r="J1006" s="9"/>
      <c r="K1006" s="17" t="str">
        <f aca="false">IF(H1006="","",IFERROR(SUMIFS(BD_PLAN!$I$3:$I$312,BD_PLAN!$B$3:$B$312,E1006,BD_PLAN!$C$3:$C$312,INDEX(BD_CICLO!$F$3:$F$54,MATCH(E1006&amp;"|"&amp;H1006,BD_CICLO!$G$3:$G$54,0))),""))</f>
        <v/>
      </c>
      <c r="L1006" s="9"/>
      <c r="M1006" s="9"/>
      <c r="N1006" s="1" t="str">
        <f aca="false">IF(C1006="","",C1006&amp;"|"&amp;COUNTIF(C$3:C1006,C1006))</f>
        <v/>
      </c>
      <c r="O1006" s="1" t="str">
        <f aca="false">IF(OR(C1006="",M1006=""),"",C1006&amp;"|"&amp;COUNTIFS(C$3:C1006,C1006,M$3:M1006,"&lt;&gt;"))</f>
        <v/>
      </c>
    </row>
    <row r="1007" customFormat="false" ht="15" hidden="false" customHeight="false" outlineLevel="0" collapsed="false">
      <c r="B1007" s="7"/>
      <c r="C1007" s="5"/>
      <c r="D1007" s="9" t="str">
        <f aca="false">IF(C1007="","",IFERROR(VLOOKUP(C1007,EQUIPOS!$B$3:$C$18,2,0),"NO EXISTE"))</f>
        <v/>
      </c>
      <c r="E1007" s="9" t="str">
        <f aca="false">IF(C1007="","",IFERROR(VLOOKUP(C1007,EQUIPOS!$B$3:$F$18,5,0),""))</f>
        <v/>
      </c>
      <c r="F1007" s="5" t="str">
        <f aca="false">IF(C1007="","",IFERROR(VLOOKUP(C1007,EQUIPOS!$B$3:$G$18,6,0),""))</f>
        <v/>
      </c>
      <c r="G1007" s="8"/>
      <c r="H1007" s="5"/>
      <c r="I1007" s="5"/>
      <c r="J1007" s="9"/>
      <c r="K1007" s="17" t="str">
        <f aca="false">IF(H1007="","",IFERROR(SUMIFS(BD_PLAN!$I$3:$I$312,BD_PLAN!$B$3:$B$312,E1007,BD_PLAN!$C$3:$C$312,INDEX(BD_CICLO!$F$3:$F$54,MATCH(E1007&amp;"|"&amp;H1007,BD_CICLO!$G$3:$G$54,0))),""))</f>
        <v/>
      </c>
      <c r="L1007" s="9"/>
      <c r="M1007" s="9"/>
      <c r="N1007" s="1" t="str">
        <f aca="false">IF(C1007="","",C1007&amp;"|"&amp;COUNTIF(C$3:C1007,C1007))</f>
        <v/>
      </c>
      <c r="O1007" s="1" t="str">
        <f aca="false">IF(OR(C1007="",M1007=""),"",C1007&amp;"|"&amp;COUNTIFS(C$3:C1007,C1007,M$3:M1007,"&lt;&gt;"))</f>
        <v/>
      </c>
    </row>
    <row r="1008" customFormat="false" ht="15" hidden="false" customHeight="false" outlineLevel="0" collapsed="false">
      <c r="B1008" s="7"/>
      <c r="C1008" s="5"/>
      <c r="D1008" s="9" t="str">
        <f aca="false">IF(C1008="","",IFERROR(VLOOKUP(C1008,EQUIPOS!$B$3:$C$18,2,0),"NO EXISTE"))</f>
        <v/>
      </c>
      <c r="E1008" s="9" t="str">
        <f aca="false">IF(C1008="","",IFERROR(VLOOKUP(C1008,EQUIPOS!$B$3:$F$18,5,0),""))</f>
        <v/>
      </c>
      <c r="F1008" s="5" t="str">
        <f aca="false">IF(C1008="","",IFERROR(VLOOKUP(C1008,EQUIPOS!$B$3:$G$18,6,0),""))</f>
        <v/>
      </c>
      <c r="G1008" s="8"/>
      <c r="H1008" s="5"/>
      <c r="I1008" s="5"/>
      <c r="J1008" s="9"/>
      <c r="K1008" s="17" t="str">
        <f aca="false">IF(H1008="","",IFERROR(SUMIFS(BD_PLAN!$I$3:$I$312,BD_PLAN!$B$3:$B$312,E1008,BD_PLAN!$C$3:$C$312,INDEX(BD_CICLO!$F$3:$F$54,MATCH(E1008&amp;"|"&amp;H1008,BD_CICLO!$G$3:$G$54,0))),""))</f>
        <v/>
      </c>
      <c r="L1008" s="9"/>
      <c r="M1008" s="9"/>
      <c r="N1008" s="1" t="str">
        <f aca="false">IF(C1008="","",C1008&amp;"|"&amp;COUNTIF(C$3:C1008,C1008))</f>
        <v/>
      </c>
      <c r="O1008" s="1" t="str">
        <f aca="false">IF(OR(C1008="",M1008=""),"",C1008&amp;"|"&amp;COUNTIFS(C$3:C1008,C1008,M$3:M1008,"&lt;&gt;"))</f>
        <v/>
      </c>
    </row>
    <row r="1009" customFormat="false" ht="15" hidden="false" customHeight="false" outlineLevel="0" collapsed="false">
      <c r="B1009" s="7"/>
      <c r="C1009" s="5"/>
      <c r="D1009" s="9" t="str">
        <f aca="false">IF(C1009="","",IFERROR(VLOOKUP(C1009,EQUIPOS!$B$3:$C$18,2,0),"NO EXISTE"))</f>
        <v/>
      </c>
      <c r="E1009" s="9" t="str">
        <f aca="false">IF(C1009="","",IFERROR(VLOOKUP(C1009,EQUIPOS!$B$3:$F$18,5,0),""))</f>
        <v/>
      </c>
      <c r="F1009" s="5" t="str">
        <f aca="false">IF(C1009="","",IFERROR(VLOOKUP(C1009,EQUIPOS!$B$3:$G$18,6,0),""))</f>
        <v/>
      </c>
      <c r="G1009" s="8"/>
      <c r="H1009" s="5"/>
      <c r="I1009" s="5"/>
      <c r="J1009" s="9"/>
      <c r="K1009" s="17" t="str">
        <f aca="false">IF(H1009="","",IFERROR(SUMIFS(BD_PLAN!$I$3:$I$312,BD_PLAN!$B$3:$B$312,E1009,BD_PLAN!$C$3:$C$312,INDEX(BD_CICLO!$F$3:$F$54,MATCH(E1009&amp;"|"&amp;H1009,BD_CICLO!$G$3:$G$54,0))),""))</f>
        <v/>
      </c>
      <c r="L1009" s="9"/>
      <c r="M1009" s="9"/>
      <c r="N1009" s="1" t="str">
        <f aca="false">IF(C1009="","",C1009&amp;"|"&amp;COUNTIF(C$3:C1009,C1009))</f>
        <v/>
      </c>
      <c r="O1009" s="1" t="str">
        <f aca="false">IF(OR(C1009="",M1009=""),"",C1009&amp;"|"&amp;COUNTIFS(C$3:C1009,C1009,M$3:M1009,"&lt;&gt;"))</f>
        <v/>
      </c>
    </row>
    <row r="1010" customFormat="false" ht="15" hidden="false" customHeight="false" outlineLevel="0" collapsed="false">
      <c r="B1010" s="7"/>
      <c r="C1010" s="5"/>
      <c r="D1010" s="9" t="str">
        <f aca="false">IF(C1010="","",IFERROR(VLOOKUP(C1010,EQUIPOS!$B$3:$C$18,2,0),"NO EXISTE"))</f>
        <v/>
      </c>
      <c r="E1010" s="9" t="str">
        <f aca="false">IF(C1010="","",IFERROR(VLOOKUP(C1010,EQUIPOS!$B$3:$F$18,5,0),""))</f>
        <v/>
      </c>
      <c r="F1010" s="5" t="str">
        <f aca="false">IF(C1010="","",IFERROR(VLOOKUP(C1010,EQUIPOS!$B$3:$G$18,6,0),""))</f>
        <v/>
      </c>
      <c r="G1010" s="8"/>
      <c r="H1010" s="5"/>
      <c r="I1010" s="5"/>
      <c r="J1010" s="9"/>
      <c r="K1010" s="17" t="str">
        <f aca="false">IF(H1010="","",IFERROR(SUMIFS(BD_PLAN!$I$3:$I$312,BD_PLAN!$B$3:$B$312,E1010,BD_PLAN!$C$3:$C$312,INDEX(BD_CICLO!$F$3:$F$54,MATCH(E1010&amp;"|"&amp;H1010,BD_CICLO!$G$3:$G$54,0))),""))</f>
        <v/>
      </c>
      <c r="L1010" s="9"/>
      <c r="M1010" s="9"/>
      <c r="N1010" s="1" t="str">
        <f aca="false">IF(C1010="","",C1010&amp;"|"&amp;COUNTIF(C$3:C1010,C1010))</f>
        <v/>
      </c>
      <c r="O1010" s="1" t="str">
        <f aca="false">IF(OR(C1010="",M1010=""),"",C1010&amp;"|"&amp;COUNTIFS(C$3:C1010,C1010,M$3:M1010,"&lt;&gt;"))</f>
        <v/>
      </c>
    </row>
    <row r="1011" customFormat="false" ht="15" hidden="false" customHeight="false" outlineLevel="0" collapsed="false">
      <c r="B1011" s="7"/>
      <c r="C1011" s="5"/>
      <c r="D1011" s="9" t="str">
        <f aca="false">IF(C1011="","",IFERROR(VLOOKUP(C1011,EQUIPOS!$B$3:$C$18,2,0),"NO EXISTE"))</f>
        <v/>
      </c>
      <c r="E1011" s="9" t="str">
        <f aca="false">IF(C1011="","",IFERROR(VLOOKUP(C1011,EQUIPOS!$B$3:$F$18,5,0),""))</f>
        <v/>
      </c>
      <c r="F1011" s="5" t="str">
        <f aca="false">IF(C1011="","",IFERROR(VLOOKUP(C1011,EQUIPOS!$B$3:$G$18,6,0),""))</f>
        <v/>
      </c>
      <c r="G1011" s="8"/>
      <c r="H1011" s="5"/>
      <c r="I1011" s="5"/>
      <c r="J1011" s="9"/>
      <c r="K1011" s="17" t="str">
        <f aca="false">IF(H1011="","",IFERROR(SUMIFS(BD_PLAN!$I$3:$I$312,BD_PLAN!$B$3:$B$312,E1011,BD_PLAN!$C$3:$C$312,INDEX(BD_CICLO!$F$3:$F$54,MATCH(E1011&amp;"|"&amp;H1011,BD_CICLO!$G$3:$G$54,0))),""))</f>
        <v/>
      </c>
      <c r="L1011" s="9"/>
      <c r="M1011" s="9"/>
      <c r="N1011" s="1" t="str">
        <f aca="false">IF(C1011="","",C1011&amp;"|"&amp;COUNTIF(C$3:C1011,C1011))</f>
        <v/>
      </c>
      <c r="O1011" s="1" t="str">
        <f aca="false">IF(OR(C1011="",M1011=""),"",C1011&amp;"|"&amp;COUNTIFS(C$3:C1011,C1011,M$3:M1011,"&lt;&gt;"))</f>
        <v/>
      </c>
    </row>
    <row r="1012" customFormat="false" ht="15" hidden="false" customHeight="false" outlineLevel="0" collapsed="false">
      <c r="B1012" s="7"/>
      <c r="C1012" s="5"/>
      <c r="D1012" s="9" t="str">
        <f aca="false">IF(C1012="","",IFERROR(VLOOKUP(C1012,EQUIPOS!$B$3:$C$18,2,0),"NO EXISTE"))</f>
        <v/>
      </c>
      <c r="E1012" s="9" t="str">
        <f aca="false">IF(C1012="","",IFERROR(VLOOKUP(C1012,EQUIPOS!$B$3:$F$18,5,0),""))</f>
        <v/>
      </c>
      <c r="F1012" s="5" t="str">
        <f aca="false">IF(C1012="","",IFERROR(VLOOKUP(C1012,EQUIPOS!$B$3:$G$18,6,0),""))</f>
        <v/>
      </c>
      <c r="G1012" s="8"/>
      <c r="H1012" s="5"/>
      <c r="I1012" s="5"/>
      <c r="J1012" s="9"/>
      <c r="K1012" s="17" t="str">
        <f aca="false">IF(H1012="","",IFERROR(SUMIFS(BD_PLAN!$I$3:$I$312,BD_PLAN!$B$3:$B$312,E1012,BD_PLAN!$C$3:$C$312,INDEX(BD_CICLO!$F$3:$F$54,MATCH(E1012&amp;"|"&amp;H1012,BD_CICLO!$G$3:$G$54,0))),""))</f>
        <v/>
      </c>
      <c r="L1012" s="9"/>
      <c r="M1012" s="9"/>
      <c r="N1012" s="1" t="str">
        <f aca="false">IF(C1012="","",C1012&amp;"|"&amp;COUNTIF(C$3:C1012,C1012))</f>
        <v/>
      </c>
      <c r="O1012" s="1" t="str">
        <f aca="false">IF(OR(C1012="",M1012=""),"",C1012&amp;"|"&amp;COUNTIFS(C$3:C1012,C1012,M$3:M1012,"&lt;&gt;"))</f>
        <v/>
      </c>
    </row>
    <row r="1013" customFormat="false" ht="15" hidden="false" customHeight="false" outlineLevel="0" collapsed="false">
      <c r="B1013" s="7"/>
      <c r="C1013" s="5"/>
      <c r="D1013" s="9" t="str">
        <f aca="false">IF(C1013="","",IFERROR(VLOOKUP(C1013,EQUIPOS!$B$3:$C$18,2,0),"NO EXISTE"))</f>
        <v/>
      </c>
      <c r="E1013" s="9" t="str">
        <f aca="false">IF(C1013="","",IFERROR(VLOOKUP(C1013,EQUIPOS!$B$3:$F$18,5,0),""))</f>
        <v/>
      </c>
      <c r="F1013" s="5" t="str">
        <f aca="false">IF(C1013="","",IFERROR(VLOOKUP(C1013,EQUIPOS!$B$3:$G$18,6,0),""))</f>
        <v/>
      </c>
      <c r="G1013" s="8"/>
      <c r="H1013" s="5"/>
      <c r="I1013" s="5"/>
      <c r="J1013" s="9"/>
      <c r="K1013" s="17" t="str">
        <f aca="false">IF(H1013="","",IFERROR(SUMIFS(BD_PLAN!$I$3:$I$312,BD_PLAN!$B$3:$B$312,E1013,BD_PLAN!$C$3:$C$312,INDEX(BD_CICLO!$F$3:$F$54,MATCH(E1013&amp;"|"&amp;H1013,BD_CICLO!$G$3:$G$54,0))),""))</f>
        <v/>
      </c>
      <c r="L1013" s="9"/>
      <c r="M1013" s="9"/>
      <c r="N1013" s="1" t="str">
        <f aca="false">IF(C1013="","",C1013&amp;"|"&amp;COUNTIF(C$3:C1013,C1013))</f>
        <v/>
      </c>
      <c r="O1013" s="1" t="str">
        <f aca="false">IF(OR(C1013="",M1013=""),"",C1013&amp;"|"&amp;COUNTIFS(C$3:C1013,C1013,M$3:M1013,"&lt;&gt;"))</f>
        <v/>
      </c>
    </row>
    <row r="1014" customFormat="false" ht="15" hidden="false" customHeight="false" outlineLevel="0" collapsed="false">
      <c r="B1014" s="7"/>
      <c r="C1014" s="5"/>
      <c r="D1014" s="9" t="str">
        <f aca="false">IF(C1014="","",IFERROR(VLOOKUP(C1014,EQUIPOS!$B$3:$C$18,2,0),"NO EXISTE"))</f>
        <v/>
      </c>
      <c r="E1014" s="9" t="str">
        <f aca="false">IF(C1014="","",IFERROR(VLOOKUP(C1014,EQUIPOS!$B$3:$F$18,5,0),""))</f>
        <v/>
      </c>
      <c r="F1014" s="5" t="str">
        <f aca="false">IF(C1014="","",IFERROR(VLOOKUP(C1014,EQUIPOS!$B$3:$G$18,6,0),""))</f>
        <v/>
      </c>
      <c r="G1014" s="8"/>
      <c r="H1014" s="5"/>
      <c r="I1014" s="5"/>
      <c r="J1014" s="9"/>
      <c r="K1014" s="17" t="str">
        <f aca="false">IF(H1014="","",IFERROR(SUMIFS(BD_PLAN!$I$3:$I$312,BD_PLAN!$B$3:$B$312,E1014,BD_PLAN!$C$3:$C$312,INDEX(BD_CICLO!$F$3:$F$54,MATCH(E1014&amp;"|"&amp;H1014,BD_CICLO!$G$3:$G$54,0))),""))</f>
        <v/>
      </c>
      <c r="L1014" s="9"/>
      <c r="M1014" s="9"/>
      <c r="N1014" s="1" t="str">
        <f aca="false">IF(C1014="","",C1014&amp;"|"&amp;COUNTIF(C$3:C1014,C1014))</f>
        <v/>
      </c>
      <c r="O1014" s="1" t="str">
        <f aca="false">IF(OR(C1014="",M1014=""),"",C1014&amp;"|"&amp;COUNTIFS(C$3:C1014,C1014,M$3:M1014,"&lt;&gt;"))</f>
        <v/>
      </c>
    </row>
    <row r="1015" customFormat="false" ht="15" hidden="false" customHeight="false" outlineLevel="0" collapsed="false">
      <c r="B1015" s="7"/>
      <c r="C1015" s="5"/>
      <c r="D1015" s="9" t="str">
        <f aca="false">IF(C1015="","",IFERROR(VLOOKUP(C1015,EQUIPOS!$B$3:$C$18,2,0),"NO EXISTE"))</f>
        <v/>
      </c>
      <c r="E1015" s="9" t="str">
        <f aca="false">IF(C1015="","",IFERROR(VLOOKUP(C1015,EQUIPOS!$B$3:$F$18,5,0),""))</f>
        <v/>
      </c>
      <c r="F1015" s="5" t="str">
        <f aca="false">IF(C1015="","",IFERROR(VLOOKUP(C1015,EQUIPOS!$B$3:$G$18,6,0),""))</f>
        <v/>
      </c>
      <c r="G1015" s="8"/>
      <c r="H1015" s="5"/>
      <c r="I1015" s="5"/>
      <c r="J1015" s="9"/>
      <c r="K1015" s="17" t="str">
        <f aca="false">IF(H1015="","",IFERROR(SUMIFS(BD_PLAN!$I$3:$I$312,BD_PLAN!$B$3:$B$312,E1015,BD_PLAN!$C$3:$C$312,INDEX(BD_CICLO!$F$3:$F$54,MATCH(E1015&amp;"|"&amp;H1015,BD_CICLO!$G$3:$G$54,0))),""))</f>
        <v/>
      </c>
      <c r="L1015" s="9"/>
      <c r="M1015" s="9"/>
      <c r="N1015" s="1" t="str">
        <f aca="false">IF(C1015="","",C1015&amp;"|"&amp;COUNTIF(C$3:C1015,C1015))</f>
        <v/>
      </c>
      <c r="O1015" s="1" t="str">
        <f aca="false">IF(OR(C1015="",M1015=""),"",C1015&amp;"|"&amp;COUNTIFS(C$3:C1015,C1015,M$3:M1015,"&lt;&gt;"))</f>
        <v/>
      </c>
    </row>
    <row r="1016" customFormat="false" ht="15" hidden="false" customHeight="false" outlineLevel="0" collapsed="false">
      <c r="B1016" s="7"/>
      <c r="C1016" s="5"/>
      <c r="D1016" s="9" t="str">
        <f aca="false">IF(C1016="","",IFERROR(VLOOKUP(C1016,EQUIPOS!$B$3:$C$18,2,0),"NO EXISTE"))</f>
        <v/>
      </c>
      <c r="E1016" s="9" t="str">
        <f aca="false">IF(C1016="","",IFERROR(VLOOKUP(C1016,EQUIPOS!$B$3:$F$18,5,0),""))</f>
        <v/>
      </c>
      <c r="F1016" s="5" t="str">
        <f aca="false">IF(C1016="","",IFERROR(VLOOKUP(C1016,EQUIPOS!$B$3:$G$18,6,0),""))</f>
        <v/>
      </c>
      <c r="G1016" s="8"/>
      <c r="H1016" s="5"/>
      <c r="I1016" s="5"/>
      <c r="J1016" s="9"/>
      <c r="K1016" s="17" t="str">
        <f aca="false">IF(H1016="","",IFERROR(SUMIFS(BD_PLAN!$I$3:$I$312,BD_PLAN!$B$3:$B$312,E1016,BD_PLAN!$C$3:$C$312,INDEX(BD_CICLO!$F$3:$F$54,MATCH(E1016&amp;"|"&amp;H1016,BD_CICLO!$G$3:$G$54,0))),""))</f>
        <v/>
      </c>
      <c r="L1016" s="9"/>
      <c r="M1016" s="9"/>
      <c r="N1016" s="1" t="str">
        <f aca="false">IF(C1016="","",C1016&amp;"|"&amp;COUNTIF(C$3:C1016,C1016))</f>
        <v/>
      </c>
      <c r="O1016" s="1" t="str">
        <f aca="false">IF(OR(C1016="",M1016=""),"",C1016&amp;"|"&amp;COUNTIFS(C$3:C1016,C1016,M$3:M1016,"&lt;&gt;"))</f>
        <v/>
      </c>
    </row>
    <row r="1017" customFormat="false" ht="15" hidden="false" customHeight="false" outlineLevel="0" collapsed="false">
      <c r="B1017" s="7"/>
      <c r="C1017" s="5"/>
      <c r="D1017" s="9" t="str">
        <f aca="false">IF(C1017="","",IFERROR(VLOOKUP(C1017,EQUIPOS!$B$3:$C$18,2,0),"NO EXISTE"))</f>
        <v/>
      </c>
      <c r="E1017" s="9" t="str">
        <f aca="false">IF(C1017="","",IFERROR(VLOOKUP(C1017,EQUIPOS!$B$3:$F$18,5,0),""))</f>
        <v/>
      </c>
      <c r="F1017" s="5" t="str">
        <f aca="false">IF(C1017="","",IFERROR(VLOOKUP(C1017,EQUIPOS!$B$3:$G$18,6,0),""))</f>
        <v/>
      </c>
      <c r="G1017" s="8"/>
      <c r="H1017" s="5"/>
      <c r="I1017" s="5"/>
      <c r="J1017" s="9"/>
      <c r="K1017" s="17" t="str">
        <f aca="false">IF(H1017="","",IFERROR(SUMIFS(BD_PLAN!$I$3:$I$312,BD_PLAN!$B$3:$B$312,E1017,BD_PLAN!$C$3:$C$312,INDEX(BD_CICLO!$F$3:$F$54,MATCH(E1017&amp;"|"&amp;H1017,BD_CICLO!$G$3:$G$54,0))),""))</f>
        <v/>
      </c>
      <c r="L1017" s="9"/>
      <c r="M1017" s="9"/>
      <c r="N1017" s="1" t="str">
        <f aca="false">IF(C1017="","",C1017&amp;"|"&amp;COUNTIF(C$3:C1017,C1017))</f>
        <v/>
      </c>
      <c r="O1017" s="1" t="str">
        <f aca="false">IF(OR(C1017="",M1017=""),"",C1017&amp;"|"&amp;COUNTIFS(C$3:C1017,C1017,M$3:M1017,"&lt;&gt;"))</f>
        <v/>
      </c>
    </row>
    <row r="1018" customFormat="false" ht="15" hidden="false" customHeight="false" outlineLevel="0" collapsed="false">
      <c r="B1018" s="7"/>
      <c r="C1018" s="5"/>
      <c r="D1018" s="9" t="str">
        <f aca="false">IF(C1018="","",IFERROR(VLOOKUP(C1018,EQUIPOS!$B$3:$C$18,2,0),"NO EXISTE"))</f>
        <v/>
      </c>
      <c r="E1018" s="9" t="str">
        <f aca="false">IF(C1018="","",IFERROR(VLOOKUP(C1018,EQUIPOS!$B$3:$F$18,5,0),""))</f>
        <v/>
      </c>
      <c r="F1018" s="5" t="str">
        <f aca="false">IF(C1018="","",IFERROR(VLOOKUP(C1018,EQUIPOS!$B$3:$G$18,6,0),""))</f>
        <v/>
      </c>
      <c r="G1018" s="8"/>
      <c r="H1018" s="5"/>
      <c r="I1018" s="5"/>
      <c r="J1018" s="9"/>
      <c r="K1018" s="17" t="str">
        <f aca="false">IF(H1018="","",IFERROR(SUMIFS(BD_PLAN!$I$3:$I$312,BD_PLAN!$B$3:$B$312,E1018,BD_PLAN!$C$3:$C$312,INDEX(BD_CICLO!$F$3:$F$54,MATCH(E1018&amp;"|"&amp;H1018,BD_CICLO!$G$3:$G$54,0))),""))</f>
        <v/>
      </c>
      <c r="L1018" s="9"/>
      <c r="M1018" s="9"/>
      <c r="N1018" s="1" t="str">
        <f aca="false">IF(C1018="","",C1018&amp;"|"&amp;COUNTIF(C$3:C1018,C1018))</f>
        <v/>
      </c>
      <c r="O1018" s="1" t="str">
        <f aca="false">IF(OR(C1018="",M1018=""),"",C1018&amp;"|"&amp;COUNTIFS(C$3:C1018,C1018,M$3:M1018,"&lt;&gt;"))</f>
        <v/>
      </c>
    </row>
    <row r="1019" customFormat="false" ht="15" hidden="false" customHeight="false" outlineLevel="0" collapsed="false">
      <c r="B1019" s="7"/>
      <c r="C1019" s="5"/>
      <c r="D1019" s="9" t="str">
        <f aca="false">IF(C1019="","",IFERROR(VLOOKUP(C1019,EQUIPOS!$B$3:$C$18,2,0),"NO EXISTE"))</f>
        <v/>
      </c>
      <c r="E1019" s="9" t="str">
        <f aca="false">IF(C1019="","",IFERROR(VLOOKUP(C1019,EQUIPOS!$B$3:$F$18,5,0),""))</f>
        <v/>
      </c>
      <c r="F1019" s="5" t="str">
        <f aca="false">IF(C1019="","",IFERROR(VLOOKUP(C1019,EQUIPOS!$B$3:$G$18,6,0),""))</f>
        <v/>
      </c>
      <c r="G1019" s="8"/>
      <c r="H1019" s="5"/>
      <c r="I1019" s="5"/>
      <c r="J1019" s="9"/>
      <c r="K1019" s="17" t="str">
        <f aca="false">IF(H1019="","",IFERROR(SUMIFS(BD_PLAN!$I$3:$I$312,BD_PLAN!$B$3:$B$312,E1019,BD_PLAN!$C$3:$C$312,INDEX(BD_CICLO!$F$3:$F$54,MATCH(E1019&amp;"|"&amp;H1019,BD_CICLO!$G$3:$G$54,0))),""))</f>
        <v/>
      </c>
      <c r="L1019" s="9"/>
      <c r="M1019" s="9"/>
      <c r="N1019" s="1" t="str">
        <f aca="false">IF(C1019="","",C1019&amp;"|"&amp;COUNTIF(C$3:C1019,C1019))</f>
        <v/>
      </c>
      <c r="O1019" s="1" t="str">
        <f aca="false">IF(OR(C1019="",M1019=""),"",C1019&amp;"|"&amp;COUNTIFS(C$3:C1019,C1019,M$3:M1019,"&lt;&gt;"))</f>
        <v/>
      </c>
    </row>
    <row r="1020" customFormat="false" ht="15" hidden="false" customHeight="false" outlineLevel="0" collapsed="false">
      <c r="B1020" s="7"/>
      <c r="C1020" s="5"/>
      <c r="D1020" s="9" t="str">
        <f aca="false">IF(C1020="","",IFERROR(VLOOKUP(C1020,EQUIPOS!$B$3:$C$18,2,0),"NO EXISTE"))</f>
        <v/>
      </c>
      <c r="E1020" s="9" t="str">
        <f aca="false">IF(C1020="","",IFERROR(VLOOKUP(C1020,EQUIPOS!$B$3:$F$18,5,0),""))</f>
        <v/>
      </c>
      <c r="F1020" s="5" t="str">
        <f aca="false">IF(C1020="","",IFERROR(VLOOKUP(C1020,EQUIPOS!$B$3:$G$18,6,0),""))</f>
        <v/>
      </c>
      <c r="G1020" s="8"/>
      <c r="H1020" s="5"/>
      <c r="I1020" s="5"/>
      <c r="J1020" s="9"/>
      <c r="K1020" s="17" t="str">
        <f aca="false">IF(H1020="","",IFERROR(SUMIFS(BD_PLAN!$I$3:$I$312,BD_PLAN!$B$3:$B$312,E1020,BD_PLAN!$C$3:$C$312,INDEX(BD_CICLO!$F$3:$F$54,MATCH(E1020&amp;"|"&amp;H1020,BD_CICLO!$G$3:$G$54,0))),""))</f>
        <v/>
      </c>
      <c r="L1020" s="9"/>
      <c r="M1020" s="9"/>
      <c r="N1020" s="1" t="str">
        <f aca="false">IF(C1020="","",C1020&amp;"|"&amp;COUNTIF(C$3:C1020,C1020))</f>
        <v/>
      </c>
      <c r="O1020" s="1" t="str">
        <f aca="false">IF(OR(C1020="",M1020=""),"",C1020&amp;"|"&amp;COUNTIFS(C$3:C1020,C1020,M$3:M1020,"&lt;&gt;"))</f>
        <v/>
      </c>
    </row>
    <row r="1021" customFormat="false" ht="15" hidden="false" customHeight="false" outlineLevel="0" collapsed="false">
      <c r="B1021" s="7"/>
      <c r="C1021" s="5"/>
      <c r="D1021" s="9" t="str">
        <f aca="false">IF(C1021="","",IFERROR(VLOOKUP(C1021,EQUIPOS!$B$3:$C$18,2,0),"NO EXISTE"))</f>
        <v/>
      </c>
      <c r="E1021" s="9" t="str">
        <f aca="false">IF(C1021="","",IFERROR(VLOOKUP(C1021,EQUIPOS!$B$3:$F$18,5,0),""))</f>
        <v/>
      </c>
      <c r="F1021" s="5" t="str">
        <f aca="false">IF(C1021="","",IFERROR(VLOOKUP(C1021,EQUIPOS!$B$3:$G$18,6,0),""))</f>
        <v/>
      </c>
      <c r="G1021" s="8"/>
      <c r="H1021" s="5"/>
      <c r="I1021" s="5"/>
      <c r="J1021" s="9"/>
      <c r="K1021" s="17" t="str">
        <f aca="false">IF(H1021="","",IFERROR(SUMIFS(BD_PLAN!$I$3:$I$312,BD_PLAN!$B$3:$B$312,E1021,BD_PLAN!$C$3:$C$312,INDEX(BD_CICLO!$F$3:$F$54,MATCH(E1021&amp;"|"&amp;H1021,BD_CICLO!$G$3:$G$54,0))),""))</f>
        <v/>
      </c>
      <c r="L1021" s="9"/>
      <c r="M1021" s="9"/>
      <c r="N1021" s="1" t="str">
        <f aca="false">IF(C1021="","",C1021&amp;"|"&amp;COUNTIF(C$3:C1021,C1021))</f>
        <v/>
      </c>
      <c r="O1021" s="1" t="str">
        <f aca="false">IF(OR(C1021="",M1021=""),"",C1021&amp;"|"&amp;COUNTIFS(C$3:C1021,C1021,M$3:M1021,"&lt;&gt;"))</f>
        <v/>
      </c>
    </row>
    <row r="1022" customFormat="false" ht="15" hidden="false" customHeight="false" outlineLevel="0" collapsed="false">
      <c r="B1022" s="7"/>
      <c r="C1022" s="5"/>
      <c r="D1022" s="9" t="str">
        <f aca="false">IF(C1022="","",IFERROR(VLOOKUP(C1022,EQUIPOS!$B$3:$C$18,2,0),"NO EXISTE"))</f>
        <v/>
      </c>
      <c r="E1022" s="9" t="str">
        <f aca="false">IF(C1022="","",IFERROR(VLOOKUP(C1022,EQUIPOS!$B$3:$F$18,5,0),""))</f>
        <v/>
      </c>
      <c r="F1022" s="5" t="str">
        <f aca="false">IF(C1022="","",IFERROR(VLOOKUP(C1022,EQUIPOS!$B$3:$G$18,6,0),""))</f>
        <v/>
      </c>
      <c r="G1022" s="8"/>
      <c r="H1022" s="5"/>
      <c r="I1022" s="5"/>
      <c r="J1022" s="9"/>
      <c r="K1022" s="17" t="str">
        <f aca="false">IF(H1022="","",IFERROR(SUMIFS(BD_PLAN!$I$3:$I$312,BD_PLAN!$B$3:$B$312,E1022,BD_PLAN!$C$3:$C$312,INDEX(BD_CICLO!$F$3:$F$54,MATCH(E1022&amp;"|"&amp;H1022,BD_CICLO!$G$3:$G$54,0))),""))</f>
        <v/>
      </c>
      <c r="L1022" s="9"/>
      <c r="M1022" s="9"/>
      <c r="N1022" s="1" t="str">
        <f aca="false">IF(C1022="","",C1022&amp;"|"&amp;COUNTIF(C$3:C1022,C1022))</f>
        <v/>
      </c>
      <c r="O1022" s="1" t="str">
        <f aca="false">IF(OR(C1022="",M1022=""),"",C1022&amp;"|"&amp;COUNTIFS(C$3:C1022,C1022,M$3:M1022,"&lt;&gt;"))</f>
        <v/>
      </c>
    </row>
    <row r="1023" customFormat="false" ht="15" hidden="false" customHeight="false" outlineLevel="0" collapsed="false">
      <c r="B1023" s="7"/>
      <c r="C1023" s="5"/>
      <c r="D1023" s="9" t="str">
        <f aca="false">IF(C1023="","",IFERROR(VLOOKUP(C1023,EQUIPOS!$B$3:$C$18,2,0),"NO EXISTE"))</f>
        <v/>
      </c>
      <c r="E1023" s="9" t="str">
        <f aca="false">IF(C1023="","",IFERROR(VLOOKUP(C1023,EQUIPOS!$B$3:$F$18,5,0),""))</f>
        <v/>
      </c>
      <c r="F1023" s="5" t="str">
        <f aca="false">IF(C1023="","",IFERROR(VLOOKUP(C1023,EQUIPOS!$B$3:$G$18,6,0),""))</f>
        <v/>
      </c>
      <c r="G1023" s="8"/>
      <c r="H1023" s="5"/>
      <c r="I1023" s="5"/>
      <c r="J1023" s="9"/>
      <c r="K1023" s="17" t="str">
        <f aca="false">IF(H1023="","",IFERROR(SUMIFS(BD_PLAN!$I$3:$I$312,BD_PLAN!$B$3:$B$312,E1023,BD_PLAN!$C$3:$C$312,INDEX(BD_CICLO!$F$3:$F$54,MATCH(E1023&amp;"|"&amp;H1023,BD_CICLO!$G$3:$G$54,0))),""))</f>
        <v/>
      </c>
      <c r="L1023" s="9"/>
      <c r="M1023" s="9"/>
      <c r="N1023" s="1" t="str">
        <f aca="false">IF(C1023="","",C1023&amp;"|"&amp;COUNTIF(C$3:C1023,C1023))</f>
        <v/>
      </c>
      <c r="O1023" s="1" t="str">
        <f aca="false">IF(OR(C1023="",M1023=""),"",C1023&amp;"|"&amp;COUNTIFS(C$3:C1023,C1023,M$3:M1023,"&lt;&gt;"))</f>
        <v/>
      </c>
    </row>
    <row r="1024" customFormat="false" ht="15" hidden="false" customHeight="false" outlineLevel="0" collapsed="false">
      <c r="B1024" s="7"/>
      <c r="C1024" s="5"/>
      <c r="D1024" s="9" t="str">
        <f aca="false">IF(C1024="","",IFERROR(VLOOKUP(C1024,EQUIPOS!$B$3:$C$18,2,0),"NO EXISTE"))</f>
        <v/>
      </c>
      <c r="E1024" s="9" t="str">
        <f aca="false">IF(C1024="","",IFERROR(VLOOKUP(C1024,EQUIPOS!$B$3:$F$18,5,0),""))</f>
        <v/>
      </c>
      <c r="F1024" s="5" t="str">
        <f aca="false">IF(C1024="","",IFERROR(VLOOKUP(C1024,EQUIPOS!$B$3:$G$18,6,0),""))</f>
        <v/>
      </c>
      <c r="G1024" s="8"/>
      <c r="H1024" s="5"/>
      <c r="I1024" s="5"/>
      <c r="J1024" s="9"/>
      <c r="K1024" s="17" t="str">
        <f aca="false">IF(H1024="","",IFERROR(SUMIFS(BD_PLAN!$I$3:$I$312,BD_PLAN!$B$3:$B$312,E1024,BD_PLAN!$C$3:$C$312,INDEX(BD_CICLO!$F$3:$F$54,MATCH(E1024&amp;"|"&amp;H1024,BD_CICLO!$G$3:$G$54,0))),""))</f>
        <v/>
      </c>
      <c r="L1024" s="9"/>
      <c r="M1024" s="9"/>
      <c r="N1024" s="1" t="str">
        <f aca="false">IF(C1024="","",C1024&amp;"|"&amp;COUNTIF(C$3:C1024,C1024))</f>
        <v/>
      </c>
      <c r="O1024" s="1" t="str">
        <f aca="false">IF(OR(C1024="",M1024=""),"",C1024&amp;"|"&amp;COUNTIFS(C$3:C1024,C1024,M$3:M1024,"&lt;&gt;"))</f>
        <v/>
      </c>
    </row>
    <row r="1025" customFormat="false" ht="15" hidden="false" customHeight="false" outlineLevel="0" collapsed="false">
      <c r="B1025" s="7"/>
      <c r="C1025" s="5"/>
      <c r="D1025" s="9" t="str">
        <f aca="false">IF(C1025="","",IFERROR(VLOOKUP(C1025,EQUIPOS!$B$3:$C$18,2,0),"NO EXISTE"))</f>
        <v/>
      </c>
      <c r="E1025" s="9" t="str">
        <f aca="false">IF(C1025="","",IFERROR(VLOOKUP(C1025,EQUIPOS!$B$3:$F$18,5,0),""))</f>
        <v/>
      </c>
      <c r="F1025" s="5" t="str">
        <f aca="false">IF(C1025="","",IFERROR(VLOOKUP(C1025,EQUIPOS!$B$3:$G$18,6,0),""))</f>
        <v/>
      </c>
      <c r="G1025" s="8"/>
      <c r="H1025" s="5"/>
      <c r="I1025" s="5"/>
      <c r="J1025" s="9"/>
      <c r="K1025" s="17" t="str">
        <f aca="false">IF(H1025="","",IFERROR(SUMIFS(BD_PLAN!$I$3:$I$312,BD_PLAN!$B$3:$B$312,E1025,BD_PLAN!$C$3:$C$312,INDEX(BD_CICLO!$F$3:$F$54,MATCH(E1025&amp;"|"&amp;H1025,BD_CICLO!$G$3:$G$54,0))),""))</f>
        <v/>
      </c>
      <c r="L1025" s="9"/>
      <c r="M1025" s="9"/>
      <c r="N1025" s="1" t="str">
        <f aca="false">IF(C1025="","",C1025&amp;"|"&amp;COUNTIF(C$3:C1025,C1025))</f>
        <v/>
      </c>
      <c r="O1025" s="1" t="str">
        <f aca="false">IF(OR(C1025="",M1025=""),"",C1025&amp;"|"&amp;COUNTIFS(C$3:C1025,C1025,M$3:M1025,"&lt;&gt;"))</f>
        <v/>
      </c>
    </row>
    <row r="1026" customFormat="false" ht="15" hidden="false" customHeight="false" outlineLevel="0" collapsed="false">
      <c r="B1026" s="7"/>
      <c r="C1026" s="5"/>
      <c r="D1026" s="9" t="str">
        <f aca="false">IF(C1026="","",IFERROR(VLOOKUP(C1026,EQUIPOS!$B$3:$C$18,2,0),"NO EXISTE"))</f>
        <v/>
      </c>
      <c r="E1026" s="9" t="str">
        <f aca="false">IF(C1026="","",IFERROR(VLOOKUP(C1026,EQUIPOS!$B$3:$F$18,5,0),""))</f>
        <v/>
      </c>
      <c r="F1026" s="5" t="str">
        <f aca="false">IF(C1026="","",IFERROR(VLOOKUP(C1026,EQUIPOS!$B$3:$G$18,6,0),""))</f>
        <v/>
      </c>
      <c r="G1026" s="8"/>
      <c r="H1026" s="5"/>
      <c r="I1026" s="5"/>
      <c r="J1026" s="9"/>
      <c r="K1026" s="17" t="str">
        <f aca="false">IF(H1026="","",IFERROR(SUMIFS(BD_PLAN!$I$3:$I$312,BD_PLAN!$B$3:$B$312,E1026,BD_PLAN!$C$3:$C$312,INDEX(BD_CICLO!$F$3:$F$54,MATCH(E1026&amp;"|"&amp;H1026,BD_CICLO!$G$3:$G$54,0))),""))</f>
        <v/>
      </c>
      <c r="L1026" s="9"/>
      <c r="M1026" s="9"/>
      <c r="N1026" s="1" t="str">
        <f aca="false">IF(C1026="","",C1026&amp;"|"&amp;COUNTIF(C$3:C1026,C1026))</f>
        <v/>
      </c>
      <c r="O1026" s="1" t="str">
        <f aca="false">IF(OR(C1026="",M1026=""),"",C1026&amp;"|"&amp;COUNTIFS(C$3:C1026,C1026,M$3:M1026,"&lt;&gt;"))</f>
        <v/>
      </c>
    </row>
    <row r="1027" customFormat="false" ht="15" hidden="false" customHeight="false" outlineLevel="0" collapsed="false">
      <c r="B1027" s="7"/>
      <c r="C1027" s="5"/>
      <c r="D1027" s="9" t="str">
        <f aca="false">IF(C1027="","",IFERROR(VLOOKUP(C1027,EQUIPOS!$B$3:$C$18,2,0),"NO EXISTE"))</f>
        <v/>
      </c>
      <c r="E1027" s="9" t="str">
        <f aca="false">IF(C1027="","",IFERROR(VLOOKUP(C1027,EQUIPOS!$B$3:$F$18,5,0),""))</f>
        <v/>
      </c>
      <c r="F1027" s="5" t="str">
        <f aca="false">IF(C1027="","",IFERROR(VLOOKUP(C1027,EQUIPOS!$B$3:$G$18,6,0),""))</f>
        <v/>
      </c>
      <c r="G1027" s="8"/>
      <c r="H1027" s="5"/>
      <c r="I1027" s="5"/>
      <c r="J1027" s="9"/>
      <c r="K1027" s="17" t="str">
        <f aca="false">IF(H1027="","",IFERROR(SUMIFS(BD_PLAN!$I$3:$I$312,BD_PLAN!$B$3:$B$312,E1027,BD_PLAN!$C$3:$C$312,INDEX(BD_CICLO!$F$3:$F$54,MATCH(E1027&amp;"|"&amp;H1027,BD_CICLO!$G$3:$G$54,0))),""))</f>
        <v/>
      </c>
      <c r="L1027" s="9"/>
      <c r="M1027" s="9"/>
      <c r="N1027" s="1" t="str">
        <f aca="false">IF(C1027="","",C1027&amp;"|"&amp;COUNTIF(C$3:C1027,C1027))</f>
        <v/>
      </c>
      <c r="O1027" s="1" t="str">
        <f aca="false">IF(OR(C1027="",M1027=""),"",C1027&amp;"|"&amp;COUNTIFS(C$3:C1027,C1027,M$3:M1027,"&lt;&gt;"))</f>
        <v/>
      </c>
    </row>
    <row r="1028" customFormat="false" ht="15" hidden="false" customHeight="false" outlineLevel="0" collapsed="false">
      <c r="B1028" s="7"/>
      <c r="C1028" s="5"/>
      <c r="D1028" s="9" t="str">
        <f aca="false">IF(C1028="","",IFERROR(VLOOKUP(C1028,EQUIPOS!$B$3:$C$18,2,0),"NO EXISTE"))</f>
        <v/>
      </c>
      <c r="E1028" s="9" t="str">
        <f aca="false">IF(C1028="","",IFERROR(VLOOKUP(C1028,EQUIPOS!$B$3:$F$18,5,0),""))</f>
        <v/>
      </c>
      <c r="F1028" s="5" t="str">
        <f aca="false">IF(C1028="","",IFERROR(VLOOKUP(C1028,EQUIPOS!$B$3:$G$18,6,0),""))</f>
        <v/>
      </c>
      <c r="G1028" s="8"/>
      <c r="H1028" s="5"/>
      <c r="I1028" s="5"/>
      <c r="J1028" s="9"/>
      <c r="K1028" s="17" t="str">
        <f aca="false">IF(H1028="","",IFERROR(SUMIFS(BD_PLAN!$I$3:$I$312,BD_PLAN!$B$3:$B$312,E1028,BD_PLAN!$C$3:$C$312,INDEX(BD_CICLO!$F$3:$F$54,MATCH(E1028&amp;"|"&amp;H1028,BD_CICLO!$G$3:$G$54,0))),""))</f>
        <v/>
      </c>
      <c r="L1028" s="9"/>
      <c r="M1028" s="9"/>
      <c r="N1028" s="1" t="str">
        <f aca="false">IF(C1028="","",C1028&amp;"|"&amp;COUNTIF(C$3:C1028,C1028))</f>
        <v/>
      </c>
      <c r="O1028" s="1" t="str">
        <f aca="false">IF(OR(C1028="",M1028=""),"",C1028&amp;"|"&amp;COUNTIFS(C$3:C1028,C1028,M$3:M1028,"&lt;&gt;"))</f>
        <v/>
      </c>
    </row>
    <row r="1029" customFormat="false" ht="15" hidden="false" customHeight="false" outlineLevel="0" collapsed="false">
      <c r="B1029" s="7"/>
      <c r="C1029" s="5"/>
      <c r="D1029" s="9" t="str">
        <f aca="false">IF(C1029="","",IFERROR(VLOOKUP(C1029,EQUIPOS!$B$3:$C$18,2,0),"NO EXISTE"))</f>
        <v/>
      </c>
      <c r="E1029" s="9" t="str">
        <f aca="false">IF(C1029="","",IFERROR(VLOOKUP(C1029,EQUIPOS!$B$3:$F$18,5,0),""))</f>
        <v/>
      </c>
      <c r="F1029" s="5" t="str">
        <f aca="false">IF(C1029="","",IFERROR(VLOOKUP(C1029,EQUIPOS!$B$3:$G$18,6,0),""))</f>
        <v/>
      </c>
      <c r="G1029" s="8"/>
      <c r="H1029" s="5"/>
      <c r="I1029" s="5"/>
      <c r="J1029" s="9"/>
      <c r="K1029" s="17" t="str">
        <f aca="false">IF(H1029="","",IFERROR(SUMIFS(BD_PLAN!$I$3:$I$312,BD_PLAN!$B$3:$B$312,E1029,BD_PLAN!$C$3:$C$312,INDEX(BD_CICLO!$F$3:$F$54,MATCH(E1029&amp;"|"&amp;H1029,BD_CICLO!$G$3:$G$54,0))),""))</f>
        <v/>
      </c>
      <c r="L1029" s="9"/>
      <c r="M1029" s="9"/>
      <c r="N1029" s="1" t="str">
        <f aca="false">IF(C1029="","",C1029&amp;"|"&amp;COUNTIF(C$3:C1029,C1029))</f>
        <v/>
      </c>
      <c r="O1029" s="1" t="str">
        <f aca="false">IF(OR(C1029="",M1029=""),"",C1029&amp;"|"&amp;COUNTIFS(C$3:C1029,C1029,M$3:M1029,"&lt;&gt;"))</f>
        <v/>
      </c>
    </row>
    <row r="1030" customFormat="false" ht="15" hidden="false" customHeight="false" outlineLevel="0" collapsed="false">
      <c r="B1030" s="7"/>
      <c r="C1030" s="5"/>
      <c r="D1030" s="9" t="str">
        <f aca="false">IF(C1030="","",IFERROR(VLOOKUP(C1030,EQUIPOS!$B$3:$C$18,2,0),"NO EXISTE"))</f>
        <v/>
      </c>
      <c r="E1030" s="9" t="str">
        <f aca="false">IF(C1030="","",IFERROR(VLOOKUP(C1030,EQUIPOS!$B$3:$F$18,5,0),""))</f>
        <v/>
      </c>
      <c r="F1030" s="5" t="str">
        <f aca="false">IF(C1030="","",IFERROR(VLOOKUP(C1030,EQUIPOS!$B$3:$G$18,6,0),""))</f>
        <v/>
      </c>
      <c r="G1030" s="8"/>
      <c r="H1030" s="5"/>
      <c r="I1030" s="5"/>
      <c r="J1030" s="9"/>
      <c r="K1030" s="17" t="str">
        <f aca="false">IF(H1030="","",IFERROR(SUMIFS(BD_PLAN!$I$3:$I$312,BD_PLAN!$B$3:$B$312,E1030,BD_PLAN!$C$3:$C$312,INDEX(BD_CICLO!$F$3:$F$54,MATCH(E1030&amp;"|"&amp;H1030,BD_CICLO!$G$3:$G$54,0))),""))</f>
        <v/>
      </c>
      <c r="L1030" s="9"/>
      <c r="M1030" s="9"/>
      <c r="N1030" s="1" t="str">
        <f aca="false">IF(C1030="","",C1030&amp;"|"&amp;COUNTIF(C$3:C1030,C1030))</f>
        <v/>
      </c>
      <c r="O1030" s="1" t="str">
        <f aca="false">IF(OR(C1030="",M1030=""),"",C1030&amp;"|"&amp;COUNTIFS(C$3:C1030,C1030,M$3:M1030,"&lt;&gt;"))</f>
        <v/>
      </c>
    </row>
    <row r="1031" customFormat="false" ht="15" hidden="false" customHeight="false" outlineLevel="0" collapsed="false">
      <c r="B1031" s="7"/>
      <c r="C1031" s="5"/>
      <c r="D1031" s="9" t="str">
        <f aca="false">IF(C1031="","",IFERROR(VLOOKUP(C1031,EQUIPOS!$B$3:$C$18,2,0),"NO EXISTE"))</f>
        <v/>
      </c>
      <c r="E1031" s="9" t="str">
        <f aca="false">IF(C1031="","",IFERROR(VLOOKUP(C1031,EQUIPOS!$B$3:$F$18,5,0),""))</f>
        <v/>
      </c>
      <c r="F1031" s="5" t="str">
        <f aca="false">IF(C1031="","",IFERROR(VLOOKUP(C1031,EQUIPOS!$B$3:$G$18,6,0),""))</f>
        <v/>
      </c>
      <c r="G1031" s="8"/>
      <c r="H1031" s="5"/>
      <c r="I1031" s="5"/>
      <c r="J1031" s="9"/>
      <c r="K1031" s="17" t="str">
        <f aca="false">IF(H1031="","",IFERROR(SUMIFS(BD_PLAN!$I$3:$I$312,BD_PLAN!$B$3:$B$312,E1031,BD_PLAN!$C$3:$C$312,INDEX(BD_CICLO!$F$3:$F$54,MATCH(E1031&amp;"|"&amp;H1031,BD_CICLO!$G$3:$G$54,0))),""))</f>
        <v/>
      </c>
      <c r="L1031" s="9"/>
      <c r="M1031" s="9"/>
      <c r="N1031" s="1" t="str">
        <f aca="false">IF(C1031="","",C1031&amp;"|"&amp;COUNTIF(C$3:C1031,C1031))</f>
        <v/>
      </c>
      <c r="O1031" s="1" t="str">
        <f aca="false">IF(OR(C1031="",M1031=""),"",C1031&amp;"|"&amp;COUNTIFS(C$3:C1031,C1031,M$3:M1031,"&lt;&gt;"))</f>
        <v/>
      </c>
    </row>
    <row r="1032" customFormat="false" ht="15" hidden="false" customHeight="false" outlineLevel="0" collapsed="false">
      <c r="B1032" s="7"/>
      <c r="C1032" s="5"/>
      <c r="D1032" s="9" t="str">
        <f aca="false">IF(C1032="","",IFERROR(VLOOKUP(C1032,EQUIPOS!$B$3:$C$18,2,0),"NO EXISTE"))</f>
        <v/>
      </c>
      <c r="E1032" s="9" t="str">
        <f aca="false">IF(C1032="","",IFERROR(VLOOKUP(C1032,EQUIPOS!$B$3:$F$18,5,0),""))</f>
        <v/>
      </c>
      <c r="F1032" s="5" t="str">
        <f aca="false">IF(C1032="","",IFERROR(VLOOKUP(C1032,EQUIPOS!$B$3:$G$18,6,0),""))</f>
        <v/>
      </c>
      <c r="G1032" s="8"/>
      <c r="H1032" s="5"/>
      <c r="I1032" s="5"/>
      <c r="J1032" s="9"/>
      <c r="K1032" s="17" t="str">
        <f aca="false">IF(H1032="","",IFERROR(SUMIFS(BD_PLAN!$I$3:$I$312,BD_PLAN!$B$3:$B$312,E1032,BD_PLAN!$C$3:$C$312,INDEX(BD_CICLO!$F$3:$F$54,MATCH(E1032&amp;"|"&amp;H1032,BD_CICLO!$G$3:$G$54,0))),""))</f>
        <v/>
      </c>
      <c r="L1032" s="9"/>
      <c r="M1032" s="9"/>
      <c r="N1032" s="1" t="str">
        <f aca="false">IF(C1032="","",C1032&amp;"|"&amp;COUNTIF(C$3:C1032,C1032))</f>
        <v/>
      </c>
      <c r="O1032" s="1" t="str">
        <f aca="false">IF(OR(C1032="",M1032=""),"",C1032&amp;"|"&amp;COUNTIFS(C$3:C1032,C1032,M$3:M1032,"&lt;&gt;"))</f>
        <v/>
      </c>
    </row>
    <row r="1033" customFormat="false" ht="15" hidden="false" customHeight="false" outlineLevel="0" collapsed="false">
      <c r="B1033" s="7"/>
      <c r="C1033" s="5"/>
      <c r="D1033" s="9" t="str">
        <f aca="false">IF(C1033="","",IFERROR(VLOOKUP(C1033,EQUIPOS!$B$3:$C$18,2,0),"NO EXISTE"))</f>
        <v/>
      </c>
      <c r="E1033" s="9" t="str">
        <f aca="false">IF(C1033="","",IFERROR(VLOOKUP(C1033,EQUIPOS!$B$3:$F$18,5,0),""))</f>
        <v/>
      </c>
      <c r="F1033" s="5" t="str">
        <f aca="false">IF(C1033="","",IFERROR(VLOOKUP(C1033,EQUIPOS!$B$3:$G$18,6,0),""))</f>
        <v/>
      </c>
      <c r="G1033" s="8"/>
      <c r="H1033" s="5"/>
      <c r="I1033" s="5"/>
      <c r="J1033" s="9"/>
      <c r="K1033" s="17" t="str">
        <f aca="false">IF(H1033="","",IFERROR(SUMIFS(BD_PLAN!$I$3:$I$312,BD_PLAN!$B$3:$B$312,E1033,BD_PLAN!$C$3:$C$312,INDEX(BD_CICLO!$F$3:$F$54,MATCH(E1033&amp;"|"&amp;H1033,BD_CICLO!$G$3:$G$54,0))),""))</f>
        <v/>
      </c>
      <c r="L1033" s="9"/>
      <c r="M1033" s="9"/>
      <c r="N1033" s="1" t="str">
        <f aca="false">IF(C1033="","",C1033&amp;"|"&amp;COUNTIF(C$3:C1033,C1033))</f>
        <v/>
      </c>
      <c r="O1033" s="1" t="str">
        <f aca="false">IF(OR(C1033="",M1033=""),"",C1033&amp;"|"&amp;COUNTIFS(C$3:C1033,C1033,M$3:M1033,"&lt;&gt;"))</f>
        <v/>
      </c>
    </row>
    <row r="1034" customFormat="false" ht="15" hidden="false" customHeight="false" outlineLevel="0" collapsed="false">
      <c r="B1034" s="7"/>
      <c r="C1034" s="5"/>
      <c r="D1034" s="9" t="str">
        <f aca="false">IF(C1034="","",IFERROR(VLOOKUP(C1034,EQUIPOS!$B$3:$C$18,2,0),"NO EXISTE"))</f>
        <v/>
      </c>
      <c r="E1034" s="9" t="str">
        <f aca="false">IF(C1034="","",IFERROR(VLOOKUP(C1034,EQUIPOS!$B$3:$F$18,5,0),""))</f>
        <v/>
      </c>
      <c r="F1034" s="5" t="str">
        <f aca="false">IF(C1034="","",IFERROR(VLOOKUP(C1034,EQUIPOS!$B$3:$G$18,6,0),""))</f>
        <v/>
      </c>
      <c r="G1034" s="8"/>
      <c r="H1034" s="5"/>
      <c r="I1034" s="5"/>
      <c r="J1034" s="9"/>
      <c r="K1034" s="17" t="str">
        <f aca="false">IF(H1034="","",IFERROR(SUMIFS(BD_PLAN!$I$3:$I$312,BD_PLAN!$B$3:$B$312,E1034,BD_PLAN!$C$3:$C$312,INDEX(BD_CICLO!$F$3:$F$54,MATCH(E1034&amp;"|"&amp;H1034,BD_CICLO!$G$3:$G$54,0))),""))</f>
        <v/>
      </c>
      <c r="L1034" s="9"/>
      <c r="M1034" s="9"/>
      <c r="N1034" s="1" t="str">
        <f aca="false">IF(C1034="","",C1034&amp;"|"&amp;COUNTIF(C$3:C1034,C1034))</f>
        <v/>
      </c>
      <c r="O1034" s="1" t="str">
        <f aca="false">IF(OR(C1034="",M1034=""),"",C1034&amp;"|"&amp;COUNTIFS(C$3:C1034,C1034,M$3:M1034,"&lt;&gt;"))</f>
        <v/>
      </c>
    </row>
    <row r="1035" customFormat="false" ht="15" hidden="false" customHeight="false" outlineLevel="0" collapsed="false">
      <c r="B1035" s="7"/>
      <c r="C1035" s="5"/>
      <c r="D1035" s="9" t="str">
        <f aca="false">IF(C1035="","",IFERROR(VLOOKUP(C1035,EQUIPOS!$B$3:$C$18,2,0),"NO EXISTE"))</f>
        <v/>
      </c>
      <c r="E1035" s="9" t="str">
        <f aca="false">IF(C1035="","",IFERROR(VLOOKUP(C1035,EQUIPOS!$B$3:$F$18,5,0),""))</f>
        <v/>
      </c>
      <c r="F1035" s="5" t="str">
        <f aca="false">IF(C1035="","",IFERROR(VLOOKUP(C1035,EQUIPOS!$B$3:$G$18,6,0),""))</f>
        <v/>
      </c>
      <c r="G1035" s="8"/>
      <c r="H1035" s="5"/>
      <c r="I1035" s="5"/>
      <c r="J1035" s="9"/>
      <c r="K1035" s="17" t="str">
        <f aca="false">IF(H1035="","",IFERROR(SUMIFS(BD_PLAN!$I$3:$I$312,BD_PLAN!$B$3:$B$312,E1035,BD_PLAN!$C$3:$C$312,INDEX(BD_CICLO!$F$3:$F$54,MATCH(E1035&amp;"|"&amp;H1035,BD_CICLO!$G$3:$G$54,0))),""))</f>
        <v/>
      </c>
      <c r="L1035" s="9"/>
      <c r="M1035" s="9"/>
      <c r="N1035" s="1" t="str">
        <f aca="false">IF(C1035="","",C1035&amp;"|"&amp;COUNTIF(C$3:C1035,C1035))</f>
        <v/>
      </c>
      <c r="O1035" s="1" t="str">
        <f aca="false">IF(OR(C1035="",M1035=""),"",C1035&amp;"|"&amp;COUNTIFS(C$3:C1035,C1035,M$3:M1035,"&lt;&gt;"))</f>
        <v/>
      </c>
    </row>
    <row r="1036" customFormat="false" ht="15" hidden="false" customHeight="false" outlineLevel="0" collapsed="false">
      <c r="B1036" s="7"/>
      <c r="C1036" s="5"/>
      <c r="D1036" s="9" t="str">
        <f aca="false">IF(C1036="","",IFERROR(VLOOKUP(C1036,EQUIPOS!$B$3:$C$18,2,0),"NO EXISTE"))</f>
        <v/>
      </c>
      <c r="E1036" s="9" t="str">
        <f aca="false">IF(C1036="","",IFERROR(VLOOKUP(C1036,EQUIPOS!$B$3:$F$18,5,0),""))</f>
        <v/>
      </c>
      <c r="F1036" s="5" t="str">
        <f aca="false">IF(C1036="","",IFERROR(VLOOKUP(C1036,EQUIPOS!$B$3:$G$18,6,0),""))</f>
        <v/>
      </c>
      <c r="G1036" s="8"/>
      <c r="H1036" s="5"/>
      <c r="I1036" s="5"/>
      <c r="J1036" s="9"/>
      <c r="K1036" s="17" t="str">
        <f aca="false">IF(H1036="","",IFERROR(SUMIFS(BD_PLAN!$I$3:$I$312,BD_PLAN!$B$3:$B$312,E1036,BD_PLAN!$C$3:$C$312,INDEX(BD_CICLO!$F$3:$F$54,MATCH(E1036&amp;"|"&amp;H1036,BD_CICLO!$G$3:$G$54,0))),""))</f>
        <v/>
      </c>
      <c r="L1036" s="9"/>
      <c r="M1036" s="9"/>
      <c r="N1036" s="1" t="str">
        <f aca="false">IF(C1036="","",C1036&amp;"|"&amp;COUNTIF(C$3:C1036,C1036))</f>
        <v/>
      </c>
      <c r="O1036" s="1" t="str">
        <f aca="false">IF(OR(C1036="",M1036=""),"",C1036&amp;"|"&amp;COUNTIFS(C$3:C1036,C1036,M$3:M1036,"&lt;&gt;"))</f>
        <v/>
      </c>
    </row>
    <row r="1037" customFormat="false" ht="15" hidden="false" customHeight="false" outlineLevel="0" collapsed="false">
      <c r="B1037" s="7"/>
      <c r="C1037" s="5"/>
      <c r="D1037" s="9" t="str">
        <f aca="false">IF(C1037="","",IFERROR(VLOOKUP(C1037,EQUIPOS!$B$3:$C$18,2,0),"NO EXISTE"))</f>
        <v/>
      </c>
      <c r="E1037" s="9" t="str">
        <f aca="false">IF(C1037="","",IFERROR(VLOOKUP(C1037,EQUIPOS!$B$3:$F$18,5,0),""))</f>
        <v/>
      </c>
      <c r="F1037" s="5" t="str">
        <f aca="false">IF(C1037="","",IFERROR(VLOOKUP(C1037,EQUIPOS!$B$3:$G$18,6,0),""))</f>
        <v/>
      </c>
      <c r="G1037" s="8"/>
      <c r="H1037" s="5"/>
      <c r="I1037" s="5"/>
      <c r="J1037" s="9"/>
      <c r="K1037" s="17" t="str">
        <f aca="false">IF(H1037="","",IFERROR(SUMIFS(BD_PLAN!$I$3:$I$312,BD_PLAN!$B$3:$B$312,E1037,BD_PLAN!$C$3:$C$312,INDEX(BD_CICLO!$F$3:$F$54,MATCH(E1037&amp;"|"&amp;H1037,BD_CICLO!$G$3:$G$54,0))),""))</f>
        <v/>
      </c>
      <c r="L1037" s="9"/>
      <c r="M1037" s="9"/>
      <c r="N1037" s="1" t="str">
        <f aca="false">IF(C1037="","",C1037&amp;"|"&amp;COUNTIF(C$3:C1037,C1037))</f>
        <v/>
      </c>
      <c r="O1037" s="1" t="str">
        <f aca="false">IF(OR(C1037="",M1037=""),"",C1037&amp;"|"&amp;COUNTIFS(C$3:C1037,C1037,M$3:M1037,"&lt;&gt;"))</f>
        <v/>
      </c>
    </row>
    <row r="1038" customFormat="false" ht="15" hidden="false" customHeight="false" outlineLevel="0" collapsed="false">
      <c r="B1038" s="7"/>
      <c r="C1038" s="5"/>
      <c r="D1038" s="9" t="str">
        <f aca="false">IF(C1038="","",IFERROR(VLOOKUP(C1038,EQUIPOS!$B$3:$C$18,2,0),"NO EXISTE"))</f>
        <v/>
      </c>
      <c r="E1038" s="9" t="str">
        <f aca="false">IF(C1038="","",IFERROR(VLOOKUP(C1038,EQUIPOS!$B$3:$F$18,5,0),""))</f>
        <v/>
      </c>
      <c r="F1038" s="5" t="str">
        <f aca="false">IF(C1038="","",IFERROR(VLOOKUP(C1038,EQUIPOS!$B$3:$G$18,6,0),""))</f>
        <v/>
      </c>
      <c r="G1038" s="8"/>
      <c r="H1038" s="5"/>
      <c r="I1038" s="5"/>
      <c r="J1038" s="9"/>
      <c r="K1038" s="17" t="str">
        <f aca="false">IF(H1038="","",IFERROR(SUMIFS(BD_PLAN!$I$3:$I$312,BD_PLAN!$B$3:$B$312,E1038,BD_PLAN!$C$3:$C$312,INDEX(BD_CICLO!$F$3:$F$54,MATCH(E1038&amp;"|"&amp;H1038,BD_CICLO!$G$3:$G$54,0))),""))</f>
        <v/>
      </c>
      <c r="L1038" s="9"/>
      <c r="M1038" s="9"/>
      <c r="N1038" s="1" t="str">
        <f aca="false">IF(C1038="","",C1038&amp;"|"&amp;COUNTIF(C$3:C1038,C1038))</f>
        <v/>
      </c>
      <c r="O1038" s="1" t="str">
        <f aca="false">IF(OR(C1038="",M1038=""),"",C1038&amp;"|"&amp;COUNTIFS(C$3:C1038,C1038,M$3:M1038,"&lt;&gt;"))</f>
        <v/>
      </c>
    </row>
    <row r="1039" customFormat="false" ht="15" hidden="false" customHeight="false" outlineLevel="0" collapsed="false">
      <c r="B1039" s="7"/>
      <c r="C1039" s="5"/>
      <c r="D1039" s="9" t="str">
        <f aca="false">IF(C1039="","",IFERROR(VLOOKUP(C1039,EQUIPOS!$B$3:$C$18,2,0),"NO EXISTE"))</f>
        <v/>
      </c>
      <c r="E1039" s="9" t="str">
        <f aca="false">IF(C1039="","",IFERROR(VLOOKUP(C1039,EQUIPOS!$B$3:$F$18,5,0),""))</f>
        <v/>
      </c>
      <c r="F1039" s="5" t="str">
        <f aca="false">IF(C1039="","",IFERROR(VLOOKUP(C1039,EQUIPOS!$B$3:$G$18,6,0),""))</f>
        <v/>
      </c>
      <c r="G1039" s="8"/>
      <c r="H1039" s="5"/>
      <c r="I1039" s="5"/>
      <c r="J1039" s="9"/>
      <c r="K1039" s="17" t="str">
        <f aca="false">IF(H1039="","",IFERROR(SUMIFS(BD_PLAN!$I$3:$I$312,BD_PLAN!$B$3:$B$312,E1039,BD_PLAN!$C$3:$C$312,INDEX(BD_CICLO!$F$3:$F$54,MATCH(E1039&amp;"|"&amp;H1039,BD_CICLO!$G$3:$G$54,0))),""))</f>
        <v/>
      </c>
      <c r="L1039" s="9"/>
      <c r="M1039" s="9"/>
      <c r="N1039" s="1" t="str">
        <f aca="false">IF(C1039="","",C1039&amp;"|"&amp;COUNTIF(C$3:C1039,C1039))</f>
        <v/>
      </c>
      <c r="O1039" s="1" t="str">
        <f aca="false">IF(OR(C1039="",M1039=""),"",C1039&amp;"|"&amp;COUNTIFS(C$3:C1039,C1039,M$3:M1039,"&lt;&gt;"))</f>
        <v/>
      </c>
    </row>
    <row r="1040" customFormat="false" ht="15" hidden="false" customHeight="false" outlineLevel="0" collapsed="false">
      <c r="B1040" s="7"/>
      <c r="C1040" s="5"/>
      <c r="D1040" s="9" t="str">
        <f aca="false">IF(C1040="","",IFERROR(VLOOKUP(C1040,EQUIPOS!$B$3:$C$18,2,0),"NO EXISTE"))</f>
        <v/>
      </c>
      <c r="E1040" s="9" t="str">
        <f aca="false">IF(C1040="","",IFERROR(VLOOKUP(C1040,EQUIPOS!$B$3:$F$18,5,0),""))</f>
        <v/>
      </c>
      <c r="F1040" s="5" t="str">
        <f aca="false">IF(C1040="","",IFERROR(VLOOKUP(C1040,EQUIPOS!$B$3:$G$18,6,0),""))</f>
        <v/>
      </c>
      <c r="G1040" s="8"/>
      <c r="H1040" s="5"/>
      <c r="I1040" s="5"/>
      <c r="J1040" s="9"/>
      <c r="K1040" s="17" t="str">
        <f aca="false">IF(H1040="","",IFERROR(SUMIFS(BD_PLAN!$I$3:$I$312,BD_PLAN!$B$3:$B$312,E1040,BD_PLAN!$C$3:$C$312,INDEX(BD_CICLO!$F$3:$F$54,MATCH(E1040&amp;"|"&amp;H1040,BD_CICLO!$G$3:$G$54,0))),""))</f>
        <v/>
      </c>
      <c r="L1040" s="9"/>
      <c r="M1040" s="9"/>
      <c r="N1040" s="1" t="str">
        <f aca="false">IF(C1040="","",C1040&amp;"|"&amp;COUNTIF(C$3:C1040,C1040))</f>
        <v/>
      </c>
      <c r="O1040" s="1" t="str">
        <f aca="false">IF(OR(C1040="",M1040=""),"",C1040&amp;"|"&amp;COUNTIFS(C$3:C1040,C1040,M$3:M1040,"&lt;&gt;"))</f>
        <v/>
      </c>
    </row>
    <row r="1041" customFormat="false" ht="15" hidden="false" customHeight="false" outlineLevel="0" collapsed="false">
      <c r="B1041" s="7"/>
      <c r="C1041" s="5"/>
      <c r="D1041" s="9" t="str">
        <f aca="false">IF(C1041="","",IFERROR(VLOOKUP(C1041,EQUIPOS!$B$3:$C$18,2,0),"NO EXISTE"))</f>
        <v/>
      </c>
      <c r="E1041" s="9" t="str">
        <f aca="false">IF(C1041="","",IFERROR(VLOOKUP(C1041,EQUIPOS!$B$3:$F$18,5,0),""))</f>
        <v/>
      </c>
      <c r="F1041" s="5" t="str">
        <f aca="false">IF(C1041="","",IFERROR(VLOOKUP(C1041,EQUIPOS!$B$3:$G$18,6,0),""))</f>
        <v/>
      </c>
      <c r="G1041" s="8"/>
      <c r="H1041" s="5"/>
      <c r="I1041" s="5"/>
      <c r="J1041" s="9"/>
      <c r="K1041" s="17" t="str">
        <f aca="false">IF(H1041="","",IFERROR(SUMIFS(BD_PLAN!$I$3:$I$312,BD_PLAN!$B$3:$B$312,E1041,BD_PLAN!$C$3:$C$312,INDEX(BD_CICLO!$F$3:$F$54,MATCH(E1041&amp;"|"&amp;H1041,BD_CICLO!$G$3:$G$54,0))),""))</f>
        <v/>
      </c>
      <c r="L1041" s="9"/>
      <c r="M1041" s="9"/>
      <c r="N1041" s="1" t="str">
        <f aca="false">IF(C1041="","",C1041&amp;"|"&amp;COUNTIF(C$3:C1041,C1041))</f>
        <v/>
      </c>
      <c r="O1041" s="1" t="str">
        <f aca="false">IF(OR(C1041="",M1041=""),"",C1041&amp;"|"&amp;COUNTIFS(C$3:C1041,C1041,M$3:M1041,"&lt;&gt;"))</f>
        <v/>
      </c>
    </row>
    <row r="1042" customFormat="false" ht="15" hidden="false" customHeight="false" outlineLevel="0" collapsed="false">
      <c r="B1042" s="7"/>
      <c r="C1042" s="5"/>
      <c r="D1042" s="9" t="str">
        <f aca="false">IF(C1042="","",IFERROR(VLOOKUP(C1042,EQUIPOS!$B$3:$C$18,2,0),"NO EXISTE"))</f>
        <v/>
      </c>
      <c r="E1042" s="9" t="str">
        <f aca="false">IF(C1042="","",IFERROR(VLOOKUP(C1042,EQUIPOS!$B$3:$F$18,5,0),""))</f>
        <v/>
      </c>
      <c r="F1042" s="5" t="str">
        <f aca="false">IF(C1042="","",IFERROR(VLOOKUP(C1042,EQUIPOS!$B$3:$G$18,6,0),""))</f>
        <v/>
      </c>
      <c r="G1042" s="8"/>
      <c r="H1042" s="5"/>
      <c r="I1042" s="5"/>
      <c r="J1042" s="9"/>
      <c r="K1042" s="17" t="str">
        <f aca="false">IF(H1042="","",IFERROR(SUMIFS(BD_PLAN!$I$3:$I$312,BD_PLAN!$B$3:$B$312,E1042,BD_PLAN!$C$3:$C$312,INDEX(BD_CICLO!$F$3:$F$54,MATCH(E1042&amp;"|"&amp;H1042,BD_CICLO!$G$3:$G$54,0))),""))</f>
        <v/>
      </c>
      <c r="L1042" s="9"/>
      <c r="M1042" s="9"/>
      <c r="N1042" s="1" t="str">
        <f aca="false">IF(C1042="","",C1042&amp;"|"&amp;COUNTIF(C$3:C1042,C1042))</f>
        <v/>
      </c>
      <c r="O1042" s="1" t="str">
        <f aca="false">IF(OR(C1042="",M1042=""),"",C1042&amp;"|"&amp;COUNTIFS(C$3:C1042,C1042,M$3:M1042,"&lt;&gt;"))</f>
        <v/>
      </c>
    </row>
    <row r="1043" customFormat="false" ht="15" hidden="false" customHeight="false" outlineLevel="0" collapsed="false">
      <c r="B1043" s="7"/>
      <c r="C1043" s="5"/>
      <c r="D1043" s="9" t="str">
        <f aca="false">IF(C1043="","",IFERROR(VLOOKUP(C1043,EQUIPOS!$B$3:$C$18,2,0),"NO EXISTE"))</f>
        <v/>
      </c>
      <c r="E1043" s="9" t="str">
        <f aca="false">IF(C1043="","",IFERROR(VLOOKUP(C1043,EQUIPOS!$B$3:$F$18,5,0),""))</f>
        <v/>
      </c>
      <c r="F1043" s="5" t="str">
        <f aca="false">IF(C1043="","",IFERROR(VLOOKUP(C1043,EQUIPOS!$B$3:$G$18,6,0),""))</f>
        <v/>
      </c>
      <c r="G1043" s="8"/>
      <c r="H1043" s="5"/>
      <c r="I1043" s="5"/>
      <c r="J1043" s="9"/>
      <c r="K1043" s="17" t="str">
        <f aca="false">IF(H1043="","",IFERROR(SUMIFS(BD_PLAN!$I$3:$I$312,BD_PLAN!$B$3:$B$312,E1043,BD_PLAN!$C$3:$C$312,INDEX(BD_CICLO!$F$3:$F$54,MATCH(E1043&amp;"|"&amp;H1043,BD_CICLO!$G$3:$G$54,0))),""))</f>
        <v/>
      </c>
      <c r="L1043" s="9"/>
      <c r="M1043" s="9"/>
      <c r="N1043" s="1" t="str">
        <f aca="false">IF(C1043="","",C1043&amp;"|"&amp;COUNTIF(C$3:C1043,C1043))</f>
        <v/>
      </c>
      <c r="O1043" s="1" t="str">
        <f aca="false">IF(OR(C1043="",M1043=""),"",C1043&amp;"|"&amp;COUNTIFS(C$3:C1043,C1043,M$3:M1043,"&lt;&gt;"))</f>
        <v/>
      </c>
    </row>
    <row r="1044" customFormat="false" ht="15" hidden="false" customHeight="false" outlineLevel="0" collapsed="false">
      <c r="B1044" s="7"/>
      <c r="C1044" s="5"/>
      <c r="D1044" s="9" t="str">
        <f aca="false">IF(C1044="","",IFERROR(VLOOKUP(C1044,EQUIPOS!$B$3:$C$18,2,0),"NO EXISTE"))</f>
        <v/>
      </c>
      <c r="E1044" s="9" t="str">
        <f aca="false">IF(C1044="","",IFERROR(VLOOKUP(C1044,EQUIPOS!$B$3:$F$18,5,0),""))</f>
        <v/>
      </c>
      <c r="F1044" s="5" t="str">
        <f aca="false">IF(C1044="","",IFERROR(VLOOKUP(C1044,EQUIPOS!$B$3:$G$18,6,0),""))</f>
        <v/>
      </c>
      <c r="G1044" s="8"/>
      <c r="H1044" s="5"/>
      <c r="I1044" s="5"/>
      <c r="J1044" s="9"/>
      <c r="K1044" s="17" t="str">
        <f aca="false">IF(H1044="","",IFERROR(SUMIFS(BD_PLAN!$I$3:$I$312,BD_PLAN!$B$3:$B$312,E1044,BD_PLAN!$C$3:$C$312,INDEX(BD_CICLO!$F$3:$F$54,MATCH(E1044&amp;"|"&amp;H1044,BD_CICLO!$G$3:$G$54,0))),""))</f>
        <v/>
      </c>
      <c r="L1044" s="9"/>
      <c r="M1044" s="9"/>
      <c r="N1044" s="1" t="str">
        <f aca="false">IF(C1044="","",C1044&amp;"|"&amp;COUNTIF(C$3:C1044,C1044))</f>
        <v/>
      </c>
      <c r="O1044" s="1" t="str">
        <f aca="false">IF(OR(C1044="",M1044=""),"",C1044&amp;"|"&amp;COUNTIFS(C$3:C1044,C1044,M$3:M1044,"&lt;&gt;"))</f>
        <v/>
      </c>
    </row>
    <row r="1045" customFormat="false" ht="15" hidden="false" customHeight="false" outlineLevel="0" collapsed="false">
      <c r="B1045" s="7"/>
      <c r="C1045" s="5"/>
      <c r="D1045" s="9" t="str">
        <f aca="false">IF(C1045="","",IFERROR(VLOOKUP(C1045,EQUIPOS!$B$3:$C$18,2,0),"NO EXISTE"))</f>
        <v/>
      </c>
      <c r="E1045" s="9" t="str">
        <f aca="false">IF(C1045="","",IFERROR(VLOOKUP(C1045,EQUIPOS!$B$3:$F$18,5,0),""))</f>
        <v/>
      </c>
      <c r="F1045" s="5" t="str">
        <f aca="false">IF(C1045="","",IFERROR(VLOOKUP(C1045,EQUIPOS!$B$3:$G$18,6,0),""))</f>
        <v/>
      </c>
      <c r="G1045" s="8"/>
      <c r="H1045" s="5"/>
      <c r="I1045" s="5"/>
      <c r="J1045" s="9"/>
      <c r="K1045" s="17" t="str">
        <f aca="false">IF(H1045="","",IFERROR(SUMIFS(BD_PLAN!$I$3:$I$312,BD_PLAN!$B$3:$B$312,E1045,BD_PLAN!$C$3:$C$312,INDEX(BD_CICLO!$F$3:$F$54,MATCH(E1045&amp;"|"&amp;H1045,BD_CICLO!$G$3:$G$54,0))),""))</f>
        <v/>
      </c>
      <c r="L1045" s="9"/>
      <c r="M1045" s="9"/>
      <c r="N1045" s="1" t="str">
        <f aca="false">IF(C1045="","",C1045&amp;"|"&amp;COUNTIF(C$3:C1045,C1045))</f>
        <v/>
      </c>
      <c r="O1045" s="1" t="str">
        <f aca="false">IF(OR(C1045="",M1045=""),"",C1045&amp;"|"&amp;COUNTIFS(C$3:C1045,C1045,M$3:M1045,"&lt;&gt;"))</f>
        <v/>
      </c>
    </row>
    <row r="1046" customFormat="false" ht="15" hidden="false" customHeight="false" outlineLevel="0" collapsed="false">
      <c r="B1046" s="7"/>
      <c r="C1046" s="5"/>
      <c r="D1046" s="9" t="str">
        <f aca="false">IF(C1046="","",IFERROR(VLOOKUP(C1046,EQUIPOS!$B$3:$C$18,2,0),"NO EXISTE"))</f>
        <v/>
      </c>
      <c r="E1046" s="9" t="str">
        <f aca="false">IF(C1046="","",IFERROR(VLOOKUP(C1046,EQUIPOS!$B$3:$F$18,5,0),""))</f>
        <v/>
      </c>
      <c r="F1046" s="5" t="str">
        <f aca="false">IF(C1046="","",IFERROR(VLOOKUP(C1046,EQUIPOS!$B$3:$G$18,6,0),""))</f>
        <v/>
      </c>
      <c r="G1046" s="8"/>
      <c r="H1046" s="5"/>
      <c r="I1046" s="5"/>
      <c r="J1046" s="9"/>
      <c r="K1046" s="17" t="str">
        <f aca="false">IF(H1046="","",IFERROR(SUMIFS(BD_PLAN!$I$3:$I$312,BD_PLAN!$B$3:$B$312,E1046,BD_PLAN!$C$3:$C$312,INDEX(BD_CICLO!$F$3:$F$54,MATCH(E1046&amp;"|"&amp;H1046,BD_CICLO!$G$3:$G$54,0))),""))</f>
        <v/>
      </c>
      <c r="L1046" s="9"/>
      <c r="M1046" s="9"/>
      <c r="N1046" s="1" t="str">
        <f aca="false">IF(C1046="","",C1046&amp;"|"&amp;COUNTIF(C$3:C1046,C1046))</f>
        <v/>
      </c>
      <c r="O1046" s="1" t="str">
        <f aca="false">IF(OR(C1046="",M1046=""),"",C1046&amp;"|"&amp;COUNTIFS(C$3:C1046,C1046,M$3:M1046,"&lt;&gt;"))</f>
        <v/>
      </c>
    </row>
    <row r="1047" customFormat="false" ht="15" hidden="false" customHeight="false" outlineLevel="0" collapsed="false">
      <c r="B1047" s="7"/>
      <c r="C1047" s="5"/>
      <c r="D1047" s="9" t="str">
        <f aca="false">IF(C1047="","",IFERROR(VLOOKUP(C1047,EQUIPOS!$B$3:$C$18,2,0),"NO EXISTE"))</f>
        <v/>
      </c>
      <c r="E1047" s="9" t="str">
        <f aca="false">IF(C1047="","",IFERROR(VLOOKUP(C1047,EQUIPOS!$B$3:$F$18,5,0),""))</f>
        <v/>
      </c>
      <c r="F1047" s="5" t="str">
        <f aca="false">IF(C1047="","",IFERROR(VLOOKUP(C1047,EQUIPOS!$B$3:$G$18,6,0),""))</f>
        <v/>
      </c>
      <c r="G1047" s="8"/>
      <c r="H1047" s="5"/>
      <c r="I1047" s="5"/>
      <c r="J1047" s="9"/>
      <c r="K1047" s="17" t="str">
        <f aca="false">IF(H1047="","",IFERROR(SUMIFS(BD_PLAN!$I$3:$I$312,BD_PLAN!$B$3:$B$312,E1047,BD_PLAN!$C$3:$C$312,INDEX(BD_CICLO!$F$3:$F$54,MATCH(E1047&amp;"|"&amp;H1047,BD_CICLO!$G$3:$G$54,0))),""))</f>
        <v/>
      </c>
      <c r="L1047" s="9"/>
      <c r="M1047" s="9"/>
      <c r="N1047" s="1" t="str">
        <f aca="false">IF(C1047="","",C1047&amp;"|"&amp;COUNTIF(C$3:C1047,C1047))</f>
        <v/>
      </c>
      <c r="O1047" s="1" t="str">
        <f aca="false">IF(OR(C1047="",M1047=""),"",C1047&amp;"|"&amp;COUNTIFS(C$3:C1047,C1047,M$3:M1047,"&lt;&gt;"))</f>
        <v/>
      </c>
    </row>
    <row r="1048" customFormat="false" ht="15" hidden="false" customHeight="false" outlineLevel="0" collapsed="false">
      <c r="B1048" s="7"/>
      <c r="C1048" s="5"/>
      <c r="D1048" s="9" t="str">
        <f aca="false">IF(C1048="","",IFERROR(VLOOKUP(C1048,EQUIPOS!$B$3:$C$18,2,0),"NO EXISTE"))</f>
        <v/>
      </c>
      <c r="E1048" s="9" t="str">
        <f aca="false">IF(C1048="","",IFERROR(VLOOKUP(C1048,EQUIPOS!$B$3:$F$18,5,0),""))</f>
        <v/>
      </c>
      <c r="F1048" s="5" t="str">
        <f aca="false">IF(C1048="","",IFERROR(VLOOKUP(C1048,EQUIPOS!$B$3:$G$18,6,0),""))</f>
        <v/>
      </c>
      <c r="G1048" s="8"/>
      <c r="H1048" s="5"/>
      <c r="I1048" s="5"/>
      <c r="J1048" s="9"/>
      <c r="K1048" s="17" t="str">
        <f aca="false">IF(H1048="","",IFERROR(SUMIFS(BD_PLAN!$I$3:$I$312,BD_PLAN!$B$3:$B$312,E1048,BD_PLAN!$C$3:$C$312,INDEX(BD_CICLO!$F$3:$F$54,MATCH(E1048&amp;"|"&amp;H1048,BD_CICLO!$G$3:$G$54,0))),""))</f>
        <v/>
      </c>
      <c r="L1048" s="9"/>
      <c r="M1048" s="9"/>
      <c r="N1048" s="1" t="str">
        <f aca="false">IF(C1048="","",C1048&amp;"|"&amp;COUNTIF(C$3:C1048,C1048))</f>
        <v/>
      </c>
      <c r="O1048" s="1" t="str">
        <f aca="false">IF(OR(C1048="",M1048=""),"",C1048&amp;"|"&amp;COUNTIFS(C$3:C1048,C1048,M$3:M1048,"&lt;&gt;"))</f>
        <v/>
      </c>
    </row>
    <row r="1049" customFormat="false" ht="15" hidden="false" customHeight="false" outlineLevel="0" collapsed="false">
      <c r="B1049" s="7"/>
      <c r="C1049" s="5"/>
      <c r="D1049" s="9" t="str">
        <f aca="false">IF(C1049="","",IFERROR(VLOOKUP(C1049,EQUIPOS!$B$3:$C$18,2,0),"NO EXISTE"))</f>
        <v/>
      </c>
      <c r="E1049" s="9" t="str">
        <f aca="false">IF(C1049="","",IFERROR(VLOOKUP(C1049,EQUIPOS!$B$3:$F$18,5,0),""))</f>
        <v/>
      </c>
      <c r="F1049" s="5" t="str">
        <f aca="false">IF(C1049="","",IFERROR(VLOOKUP(C1049,EQUIPOS!$B$3:$G$18,6,0),""))</f>
        <v/>
      </c>
      <c r="G1049" s="8"/>
      <c r="H1049" s="5"/>
      <c r="I1049" s="5"/>
      <c r="J1049" s="9"/>
      <c r="K1049" s="17" t="str">
        <f aca="false">IF(H1049="","",IFERROR(SUMIFS(BD_PLAN!$I$3:$I$312,BD_PLAN!$B$3:$B$312,E1049,BD_PLAN!$C$3:$C$312,INDEX(BD_CICLO!$F$3:$F$54,MATCH(E1049&amp;"|"&amp;H1049,BD_CICLO!$G$3:$G$54,0))),""))</f>
        <v/>
      </c>
      <c r="L1049" s="9"/>
      <c r="M1049" s="9"/>
      <c r="N1049" s="1" t="str">
        <f aca="false">IF(C1049="","",C1049&amp;"|"&amp;COUNTIF(C$3:C1049,C1049))</f>
        <v/>
      </c>
      <c r="O1049" s="1" t="str">
        <f aca="false">IF(OR(C1049="",M1049=""),"",C1049&amp;"|"&amp;COUNTIFS(C$3:C1049,C1049,M$3:M1049,"&lt;&gt;"))</f>
        <v/>
      </c>
    </row>
    <row r="1050" customFormat="false" ht="15" hidden="false" customHeight="false" outlineLevel="0" collapsed="false">
      <c r="B1050" s="7"/>
      <c r="C1050" s="5"/>
      <c r="D1050" s="9" t="str">
        <f aca="false">IF(C1050="","",IFERROR(VLOOKUP(C1050,EQUIPOS!$B$3:$C$18,2,0),"NO EXISTE"))</f>
        <v/>
      </c>
      <c r="E1050" s="9" t="str">
        <f aca="false">IF(C1050="","",IFERROR(VLOOKUP(C1050,EQUIPOS!$B$3:$F$18,5,0),""))</f>
        <v/>
      </c>
      <c r="F1050" s="5" t="str">
        <f aca="false">IF(C1050="","",IFERROR(VLOOKUP(C1050,EQUIPOS!$B$3:$G$18,6,0),""))</f>
        <v/>
      </c>
      <c r="G1050" s="8"/>
      <c r="H1050" s="5"/>
      <c r="I1050" s="5"/>
      <c r="J1050" s="9"/>
      <c r="K1050" s="17" t="str">
        <f aca="false">IF(H1050="","",IFERROR(SUMIFS(BD_PLAN!$I$3:$I$312,BD_PLAN!$B$3:$B$312,E1050,BD_PLAN!$C$3:$C$312,INDEX(BD_CICLO!$F$3:$F$54,MATCH(E1050&amp;"|"&amp;H1050,BD_CICLO!$G$3:$G$54,0))),""))</f>
        <v/>
      </c>
      <c r="L1050" s="9"/>
      <c r="M1050" s="9"/>
      <c r="N1050" s="1" t="str">
        <f aca="false">IF(C1050="","",C1050&amp;"|"&amp;COUNTIF(C$3:C1050,C1050))</f>
        <v/>
      </c>
      <c r="O1050" s="1" t="str">
        <f aca="false">IF(OR(C1050="",M1050=""),"",C1050&amp;"|"&amp;COUNTIFS(C$3:C1050,C1050,M$3:M1050,"&lt;&gt;"))</f>
        <v/>
      </c>
    </row>
    <row r="1051" customFormat="false" ht="15" hidden="false" customHeight="false" outlineLevel="0" collapsed="false">
      <c r="B1051" s="7"/>
      <c r="C1051" s="5"/>
      <c r="D1051" s="9" t="str">
        <f aca="false">IF(C1051="","",IFERROR(VLOOKUP(C1051,EQUIPOS!$B$3:$C$18,2,0),"NO EXISTE"))</f>
        <v/>
      </c>
      <c r="E1051" s="9" t="str">
        <f aca="false">IF(C1051="","",IFERROR(VLOOKUP(C1051,EQUIPOS!$B$3:$F$18,5,0),""))</f>
        <v/>
      </c>
      <c r="F1051" s="5" t="str">
        <f aca="false">IF(C1051="","",IFERROR(VLOOKUP(C1051,EQUIPOS!$B$3:$G$18,6,0),""))</f>
        <v/>
      </c>
      <c r="G1051" s="8"/>
      <c r="H1051" s="5"/>
      <c r="I1051" s="5"/>
      <c r="J1051" s="9"/>
      <c r="K1051" s="17" t="str">
        <f aca="false">IF(H1051="","",IFERROR(SUMIFS(BD_PLAN!$I$3:$I$312,BD_PLAN!$B$3:$B$312,E1051,BD_PLAN!$C$3:$C$312,INDEX(BD_CICLO!$F$3:$F$54,MATCH(E1051&amp;"|"&amp;H1051,BD_CICLO!$G$3:$G$54,0))),""))</f>
        <v/>
      </c>
      <c r="L1051" s="9"/>
      <c r="M1051" s="9"/>
      <c r="N1051" s="1" t="str">
        <f aca="false">IF(C1051="","",C1051&amp;"|"&amp;COUNTIF(C$3:C1051,C1051))</f>
        <v/>
      </c>
      <c r="O1051" s="1" t="str">
        <f aca="false">IF(OR(C1051="",M1051=""),"",C1051&amp;"|"&amp;COUNTIFS(C$3:C1051,C1051,M$3:M1051,"&lt;&gt;"))</f>
        <v/>
      </c>
    </row>
    <row r="1052" customFormat="false" ht="15" hidden="false" customHeight="false" outlineLevel="0" collapsed="false">
      <c r="B1052" s="7"/>
      <c r="C1052" s="5"/>
      <c r="D1052" s="9" t="str">
        <f aca="false">IF(C1052="","",IFERROR(VLOOKUP(C1052,EQUIPOS!$B$3:$C$18,2,0),"NO EXISTE"))</f>
        <v/>
      </c>
      <c r="E1052" s="9" t="str">
        <f aca="false">IF(C1052="","",IFERROR(VLOOKUP(C1052,EQUIPOS!$B$3:$F$18,5,0),""))</f>
        <v/>
      </c>
      <c r="F1052" s="5" t="str">
        <f aca="false">IF(C1052="","",IFERROR(VLOOKUP(C1052,EQUIPOS!$B$3:$G$18,6,0),""))</f>
        <v/>
      </c>
      <c r="G1052" s="8"/>
      <c r="H1052" s="5"/>
      <c r="I1052" s="5"/>
      <c r="J1052" s="9"/>
      <c r="K1052" s="17" t="str">
        <f aca="false">IF(H1052="","",IFERROR(SUMIFS(BD_PLAN!$I$3:$I$312,BD_PLAN!$B$3:$B$312,E1052,BD_PLAN!$C$3:$C$312,INDEX(BD_CICLO!$F$3:$F$54,MATCH(E1052&amp;"|"&amp;H1052,BD_CICLO!$G$3:$G$54,0))),""))</f>
        <v/>
      </c>
      <c r="L1052" s="9"/>
      <c r="M1052" s="9"/>
      <c r="N1052" s="1" t="str">
        <f aca="false">IF(C1052="","",C1052&amp;"|"&amp;COUNTIF(C$3:C1052,C1052))</f>
        <v/>
      </c>
      <c r="O1052" s="1" t="str">
        <f aca="false">IF(OR(C1052="",M1052=""),"",C1052&amp;"|"&amp;COUNTIFS(C$3:C1052,C1052,M$3:M1052,"&lt;&gt;"))</f>
        <v/>
      </c>
    </row>
    <row r="1053" customFormat="false" ht="15" hidden="false" customHeight="false" outlineLevel="0" collapsed="false">
      <c r="B1053" s="7"/>
      <c r="C1053" s="5"/>
      <c r="D1053" s="9" t="str">
        <f aca="false">IF(C1053="","",IFERROR(VLOOKUP(C1053,EQUIPOS!$B$3:$C$18,2,0),"NO EXISTE"))</f>
        <v/>
      </c>
      <c r="E1053" s="9" t="str">
        <f aca="false">IF(C1053="","",IFERROR(VLOOKUP(C1053,EQUIPOS!$B$3:$F$18,5,0),""))</f>
        <v/>
      </c>
      <c r="F1053" s="5" t="str">
        <f aca="false">IF(C1053="","",IFERROR(VLOOKUP(C1053,EQUIPOS!$B$3:$G$18,6,0),""))</f>
        <v/>
      </c>
      <c r="G1053" s="8"/>
      <c r="H1053" s="5"/>
      <c r="I1053" s="5"/>
      <c r="J1053" s="9"/>
      <c r="K1053" s="17" t="str">
        <f aca="false">IF(H1053="","",IFERROR(SUMIFS(BD_PLAN!$I$3:$I$312,BD_PLAN!$B$3:$B$312,E1053,BD_PLAN!$C$3:$C$312,INDEX(BD_CICLO!$F$3:$F$54,MATCH(E1053&amp;"|"&amp;H1053,BD_CICLO!$G$3:$G$54,0))),""))</f>
        <v/>
      </c>
      <c r="L1053" s="9"/>
      <c r="M1053" s="9"/>
      <c r="N1053" s="1" t="str">
        <f aca="false">IF(C1053="","",C1053&amp;"|"&amp;COUNTIF(C$3:C1053,C1053))</f>
        <v/>
      </c>
      <c r="O1053" s="1" t="str">
        <f aca="false">IF(OR(C1053="",M1053=""),"",C1053&amp;"|"&amp;COUNTIFS(C$3:C1053,C1053,M$3:M1053,"&lt;&gt;"))</f>
        <v/>
      </c>
    </row>
    <row r="1054" customFormat="false" ht="15" hidden="false" customHeight="false" outlineLevel="0" collapsed="false">
      <c r="B1054" s="7"/>
      <c r="C1054" s="5"/>
      <c r="D1054" s="9" t="str">
        <f aca="false">IF(C1054="","",IFERROR(VLOOKUP(C1054,EQUIPOS!$B$3:$C$18,2,0),"NO EXISTE"))</f>
        <v/>
      </c>
      <c r="E1054" s="9" t="str">
        <f aca="false">IF(C1054="","",IFERROR(VLOOKUP(C1054,EQUIPOS!$B$3:$F$18,5,0),""))</f>
        <v/>
      </c>
      <c r="F1054" s="5" t="str">
        <f aca="false">IF(C1054="","",IFERROR(VLOOKUP(C1054,EQUIPOS!$B$3:$G$18,6,0),""))</f>
        <v/>
      </c>
      <c r="G1054" s="8"/>
      <c r="H1054" s="5"/>
      <c r="I1054" s="5"/>
      <c r="J1054" s="9"/>
      <c r="K1054" s="17" t="str">
        <f aca="false">IF(H1054="","",IFERROR(SUMIFS(BD_PLAN!$I$3:$I$312,BD_PLAN!$B$3:$B$312,E1054,BD_PLAN!$C$3:$C$312,INDEX(BD_CICLO!$F$3:$F$54,MATCH(E1054&amp;"|"&amp;H1054,BD_CICLO!$G$3:$G$54,0))),""))</f>
        <v/>
      </c>
      <c r="L1054" s="9"/>
      <c r="M1054" s="9"/>
      <c r="N1054" s="1" t="str">
        <f aca="false">IF(C1054="","",C1054&amp;"|"&amp;COUNTIF(C$3:C1054,C1054))</f>
        <v/>
      </c>
      <c r="O1054" s="1" t="str">
        <f aca="false">IF(OR(C1054="",M1054=""),"",C1054&amp;"|"&amp;COUNTIFS(C$3:C1054,C1054,M$3:M1054,"&lt;&gt;"))</f>
        <v/>
      </c>
    </row>
    <row r="1055" customFormat="false" ht="15" hidden="false" customHeight="false" outlineLevel="0" collapsed="false">
      <c r="B1055" s="7"/>
      <c r="C1055" s="5"/>
      <c r="D1055" s="9" t="str">
        <f aca="false">IF(C1055="","",IFERROR(VLOOKUP(C1055,EQUIPOS!$B$3:$C$18,2,0),"NO EXISTE"))</f>
        <v/>
      </c>
      <c r="E1055" s="9" t="str">
        <f aca="false">IF(C1055="","",IFERROR(VLOOKUP(C1055,EQUIPOS!$B$3:$F$18,5,0),""))</f>
        <v/>
      </c>
      <c r="F1055" s="5" t="str">
        <f aca="false">IF(C1055="","",IFERROR(VLOOKUP(C1055,EQUIPOS!$B$3:$G$18,6,0),""))</f>
        <v/>
      </c>
      <c r="G1055" s="8"/>
      <c r="H1055" s="5"/>
      <c r="I1055" s="5"/>
      <c r="J1055" s="9"/>
      <c r="K1055" s="17" t="str">
        <f aca="false">IF(H1055="","",IFERROR(SUMIFS(BD_PLAN!$I$3:$I$312,BD_PLAN!$B$3:$B$312,E1055,BD_PLAN!$C$3:$C$312,INDEX(BD_CICLO!$F$3:$F$54,MATCH(E1055&amp;"|"&amp;H1055,BD_CICLO!$G$3:$G$54,0))),""))</f>
        <v/>
      </c>
      <c r="L1055" s="9"/>
      <c r="M1055" s="9"/>
      <c r="N1055" s="1" t="str">
        <f aca="false">IF(C1055="","",C1055&amp;"|"&amp;COUNTIF(C$3:C1055,C1055))</f>
        <v/>
      </c>
      <c r="O1055" s="1" t="str">
        <f aca="false">IF(OR(C1055="",M1055=""),"",C1055&amp;"|"&amp;COUNTIFS(C$3:C1055,C1055,M$3:M1055,"&lt;&gt;"))</f>
        <v/>
      </c>
    </row>
    <row r="1056" customFormat="false" ht="15" hidden="false" customHeight="false" outlineLevel="0" collapsed="false">
      <c r="B1056" s="7"/>
      <c r="C1056" s="5"/>
      <c r="D1056" s="9" t="str">
        <f aca="false">IF(C1056="","",IFERROR(VLOOKUP(C1056,EQUIPOS!$B$3:$C$18,2,0),"NO EXISTE"))</f>
        <v/>
      </c>
      <c r="E1056" s="9" t="str">
        <f aca="false">IF(C1056="","",IFERROR(VLOOKUP(C1056,EQUIPOS!$B$3:$F$18,5,0),""))</f>
        <v/>
      </c>
      <c r="F1056" s="5" t="str">
        <f aca="false">IF(C1056="","",IFERROR(VLOOKUP(C1056,EQUIPOS!$B$3:$G$18,6,0),""))</f>
        <v/>
      </c>
      <c r="G1056" s="8"/>
      <c r="H1056" s="5"/>
      <c r="I1056" s="5"/>
      <c r="J1056" s="9"/>
      <c r="K1056" s="17" t="str">
        <f aca="false">IF(H1056="","",IFERROR(SUMIFS(BD_PLAN!$I$3:$I$312,BD_PLAN!$B$3:$B$312,E1056,BD_PLAN!$C$3:$C$312,INDEX(BD_CICLO!$F$3:$F$54,MATCH(E1056&amp;"|"&amp;H1056,BD_CICLO!$G$3:$G$54,0))),""))</f>
        <v/>
      </c>
      <c r="L1056" s="9"/>
      <c r="M1056" s="9"/>
      <c r="N1056" s="1" t="str">
        <f aca="false">IF(C1056="","",C1056&amp;"|"&amp;COUNTIF(C$3:C1056,C1056))</f>
        <v/>
      </c>
      <c r="O1056" s="1" t="str">
        <f aca="false">IF(OR(C1056="",M1056=""),"",C1056&amp;"|"&amp;COUNTIFS(C$3:C1056,C1056,M$3:M1056,"&lt;&gt;"))</f>
        <v/>
      </c>
    </row>
    <row r="1057" customFormat="false" ht="15" hidden="false" customHeight="false" outlineLevel="0" collapsed="false">
      <c r="B1057" s="7"/>
      <c r="C1057" s="5"/>
      <c r="D1057" s="9" t="str">
        <f aca="false">IF(C1057="","",IFERROR(VLOOKUP(C1057,EQUIPOS!$B$3:$C$18,2,0),"NO EXISTE"))</f>
        <v/>
      </c>
      <c r="E1057" s="9" t="str">
        <f aca="false">IF(C1057="","",IFERROR(VLOOKUP(C1057,EQUIPOS!$B$3:$F$18,5,0),""))</f>
        <v/>
      </c>
      <c r="F1057" s="5" t="str">
        <f aca="false">IF(C1057="","",IFERROR(VLOOKUP(C1057,EQUIPOS!$B$3:$G$18,6,0),""))</f>
        <v/>
      </c>
      <c r="G1057" s="8"/>
      <c r="H1057" s="5"/>
      <c r="I1057" s="5"/>
      <c r="J1057" s="9"/>
      <c r="K1057" s="17" t="str">
        <f aca="false">IF(H1057="","",IFERROR(SUMIFS(BD_PLAN!$I$3:$I$312,BD_PLAN!$B$3:$B$312,E1057,BD_PLAN!$C$3:$C$312,INDEX(BD_CICLO!$F$3:$F$54,MATCH(E1057&amp;"|"&amp;H1057,BD_CICLO!$G$3:$G$54,0))),""))</f>
        <v/>
      </c>
      <c r="L1057" s="9"/>
      <c r="M1057" s="9"/>
      <c r="N1057" s="1" t="str">
        <f aca="false">IF(C1057="","",C1057&amp;"|"&amp;COUNTIF(C$3:C1057,C1057))</f>
        <v/>
      </c>
      <c r="O1057" s="1" t="str">
        <f aca="false">IF(OR(C1057="",M1057=""),"",C1057&amp;"|"&amp;COUNTIFS(C$3:C1057,C1057,M$3:M1057,"&lt;&gt;"))</f>
        <v/>
      </c>
    </row>
    <row r="1058" customFormat="false" ht="15" hidden="false" customHeight="false" outlineLevel="0" collapsed="false">
      <c r="B1058" s="7"/>
      <c r="C1058" s="5"/>
      <c r="D1058" s="9" t="str">
        <f aca="false">IF(C1058="","",IFERROR(VLOOKUP(C1058,EQUIPOS!$B$3:$C$18,2,0),"NO EXISTE"))</f>
        <v/>
      </c>
      <c r="E1058" s="9" t="str">
        <f aca="false">IF(C1058="","",IFERROR(VLOOKUP(C1058,EQUIPOS!$B$3:$F$18,5,0),""))</f>
        <v/>
      </c>
      <c r="F1058" s="5" t="str">
        <f aca="false">IF(C1058="","",IFERROR(VLOOKUP(C1058,EQUIPOS!$B$3:$G$18,6,0),""))</f>
        <v/>
      </c>
      <c r="G1058" s="8"/>
      <c r="H1058" s="5"/>
      <c r="I1058" s="5"/>
      <c r="J1058" s="9"/>
      <c r="K1058" s="17" t="str">
        <f aca="false">IF(H1058="","",IFERROR(SUMIFS(BD_PLAN!$I$3:$I$312,BD_PLAN!$B$3:$B$312,E1058,BD_PLAN!$C$3:$C$312,INDEX(BD_CICLO!$F$3:$F$54,MATCH(E1058&amp;"|"&amp;H1058,BD_CICLO!$G$3:$G$54,0))),""))</f>
        <v/>
      </c>
      <c r="L1058" s="9"/>
      <c r="M1058" s="9"/>
      <c r="N1058" s="1" t="str">
        <f aca="false">IF(C1058="","",C1058&amp;"|"&amp;COUNTIF(C$3:C1058,C1058))</f>
        <v/>
      </c>
      <c r="O1058" s="1" t="str">
        <f aca="false">IF(OR(C1058="",M1058=""),"",C1058&amp;"|"&amp;COUNTIFS(C$3:C1058,C1058,M$3:M1058,"&lt;&gt;"))</f>
        <v/>
      </c>
    </row>
    <row r="1059" customFormat="false" ht="15" hidden="false" customHeight="false" outlineLevel="0" collapsed="false">
      <c r="B1059" s="7"/>
      <c r="C1059" s="5"/>
      <c r="D1059" s="9" t="str">
        <f aca="false">IF(C1059="","",IFERROR(VLOOKUP(C1059,EQUIPOS!$B$3:$C$18,2,0),"NO EXISTE"))</f>
        <v/>
      </c>
      <c r="E1059" s="9" t="str">
        <f aca="false">IF(C1059="","",IFERROR(VLOOKUP(C1059,EQUIPOS!$B$3:$F$18,5,0),""))</f>
        <v/>
      </c>
      <c r="F1059" s="5" t="str">
        <f aca="false">IF(C1059="","",IFERROR(VLOOKUP(C1059,EQUIPOS!$B$3:$G$18,6,0),""))</f>
        <v/>
      </c>
      <c r="G1059" s="8"/>
      <c r="H1059" s="5"/>
      <c r="I1059" s="5"/>
      <c r="J1059" s="9"/>
      <c r="K1059" s="17" t="str">
        <f aca="false">IF(H1059="","",IFERROR(SUMIFS(BD_PLAN!$I$3:$I$312,BD_PLAN!$B$3:$B$312,E1059,BD_PLAN!$C$3:$C$312,INDEX(BD_CICLO!$F$3:$F$54,MATCH(E1059&amp;"|"&amp;H1059,BD_CICLO!$G$3:$G$54,0))),""))</f>
        <v/>
      </c>
      <c r="L1059" s="9"/>
      <c r="M1059" s="9"/>
      <c r="N1059" s="1" t="str">
        <f aca="false">IF(C1059="","",C1059&amp;"|"&amp;COUNTIF(C$3:C1059,C1059))</f>
        <v/>
      </c>
      <c r="O1059" s="1" t="str">
        <f aca="false">IF(OR(C1059="",M1059=""),"",C1059&amp;"|"&amp;COUNTIFS(C$3:C1059,C1059,M$3:M1059,"&lt;&gt;"))</f>
        <v/>
      </c>
    </row>
    <row r="1060" customFormat="false" ht="15" hidden="false" customHeight="false" outlineLevel="0" collapsed="false">
      <c r="B1060" s="7"/>
      <c r="C1060" s="5"/>
      <c r="D1060" s="9" t="str">
        <f aca="false">IF(C1060="","",IFERROR(VLOOKUP(C1060,EQUIPOS!$B$3:$C$18,2,0),"NO EXISTE"))</f>
        <v/>
      </c>
      <c r="E1060" s="9" t="str">
        <f aca="false">IF(C1060="","",IFERROR(VLOOKUP(C1060,EQUIPOS!$B$3:$F$18,5,0),""))</f>
        <v/>
      </c>
      <c r="F1060" s="5" t="str">
        <f aca="false">IF(C1060="","",IFERROR(VLOOKUP(C1060,EQUIPOS!$B$3:$G$18,6,0),""))</f>
        <v/>
      </c>
      <c r="G1060" s="8"/>
      <c r="H1060" s="5"/>
      <c r="I1060" s="5"/>
      <c r="J1060" s="9"/>
      <c r="K1060" s="17" t="str">
        <f aca="false">IF(H1060="","",IFERROR(SUMIFS(BD_PLAN!$I$3:$I$312,BD_PLAN!$B$3:$B$312,E1060,BD_PLAN!$C$3:$C$312,INDEX(BD_CICLO!$F$3:$F$54,MATCH(E1060&amp;"|"&amp;H1060,BD_CICLO!$G$3:$G$54,0))),""))</f>
        <v/>
      </c>
      <c r="L1060" s="9"/>
      <c r="M1060" s="9"/>
      <c r="N1060" s="1" t="str">
        <f aca="false">IF(C1060="","",C1060&amp;"|"&amp;COUNTIF(C$3:C1060,C1060))</f>
        <v/>
      </c>
      <c r="O1060" s="1" t="str">
        <f aca="false">IF(OR(C1060="",M1060=""),"",C1060&amp;"|"&amp;COUNTIFS(C$3:C1060,C1060,M$3:M1060,"&lt;&gt;"))</f>
        <v/>
      </c>
    </row>
    <row r="1061" customFormat="false" ht="15" hidden="false" customHeight="false" outlineLevel="0" collapsed="false">
      <c r="B1061" s="7"/>
      <c r="C1061" s="5"/>
      <c r="D1061" s="9" t="str">
        <f aca="false">IF(C1061="","",IFERROR(VLOOKUP(C1061,EQUIPOS!$B$3:$C$18,2,0),"NO EXISTE"))</f>
        <v/>
      </c>
      <c r="E1061" s="9" t="str">
        <f aca="false">IF(C1061="","",IFERROR(VLOOKUP(C1061,EQUIPOS!$B$3:$F$18,5,0),""))</f>
        <v/>
      </c>
      <c r="F1061" s="5" t="str">
        <f aca="false">IF(C1061="","",IFERROR(VLOOKUP(C1061,EQUIPOS!$B$3:$G$18,6,0),""))</f>
        <v/>
      </c>
      <c r="G1061" s="8"/>
      <c r="H1061" s="5"/>
      <c r="I1061" s="5"/>
      <c r="J1061" s="9"/>
      <c r="K1061" s="17" t="str">
        <f aca="false">IF(H1061="","",IFERROR(SUMIFS(BD_PLAN!$I$3:$I$312,BD_PLAN!$B$3:$B$312,E1061,BD_PLAN!$C$3:$C$312,INDEX(BD_CICLO!$F$3:$F$54,MATCH(E1061&amp;"|"&amp;H1061,BD_CICLO!$G$3:$G$54,0))),""))</f>
        <v/>
      </c>
      <c r="L1061" s="9"/>
      <c r="M1061" s="9"/>
      <c r="N1061" s="1" t="str">
        <f aca="false">IF(C1061="","",C1061&amp;"|"&amp;COUNTIF(C$3:C1061,C1061))</f>
        <v/>
      </c>
      <c r="O1061" s="1" t="str">
        <f aca="false">IF(OR(C1061="",M1061=""),"",C1061&amp;"|"&amp;COUNTIFS(C$3:C1061,C1061,M$3:M1061,"&lt;&gt;"))</f>
        <v/>
      </c>
    </row>
    <row r="1062" customFormat="false" ht="15" hidden="false" customHeight="false" outlineLevel="0" collapsed="false">
      <c r="B1062" s="7"/>
      <c r="C1062" s="5"/>
      <c r="D1062" s="9" t="str">
        <f aca="false">IF(C1062="","",IFERROR(VLOOKUP(C1062,EQUIPOS!$B$3:$C$18,2,0),"NO EXISTE"))</f>
        <v/>
      </c>
      <c r="E1062" s="9" t="str">
        <f aca="false">IF(C1062="","",IFERROR(VLOOKUP(C1062,EQUIPOS!$B$3:$F$18,5,0),""))</f>
        <v/>
      </c>
      <c r="F1062" s="5" t="str">
        <f aca="false">IF(C1062="","",IFERROR(VLOOKUP(C1062,EQUIPOS!$B$3:$G$18,6,0),""))</f>
        <v/>
      </c>
      <c r="G1062" s="8"/>
      <c r="H1062" s="5"/>
      <c r="I1062" s="5"/>
      <c r="J1062" s="9"/>
      <c r="K1062" s="17" t="str">
        <f aca="false">IF(H1062="","",IFERROR(SUMIFS(BD_PLAN!$I$3:$I$312,BD_PLAN!$B$3:$B$312,E1062,BD_PLAN!$C$3:$C$312,INDEX(BD_CICLO!$F$3:$F$54,MATCH(E1062&amp;"|"&amp;H1062,BD_CICLO!$G$3:$G$54,0))),""))</f>
        <v/>
      </c>
      <c r="L1062" s="9"/>
      <c r="M1062" s="9"/>
      <c r="N1062" s="1" t="str">
        <f aca="false">IF(C1062="","",C1062&amp;"|"&amp;COUNTIF(C$3:C1062,C1062))</f>
        <v/>
      </c>
      <c r="O1062" s="1" t="str">
        <f aca="false">IF(OR(C1062="",M1062=""),"",C1062&amp;"|"&amp;COUNTIFS(C$3:C1062,C1062,M$3:M1062,"&lt;&gt;"))</f>
        <v/>
      </c>
    </row>
    <row r="1063" customFormat="false" ht="15" hidden="false" customHeight="false" outlineLevel="0" collapsed="false">
      <c r="B1063" s="7"/>
      <c r="C1063" s="5"/>
      <c r="D1063" s="9" t="str">
        <f aca="false">IF(C1063="","",IFERROR(VLOOKUP(C1063,EQUIPOS!$B$3:$C$18,2,0),"NO EXISTE"))</f>
        <v/>
      </c>
      <c r="E1063" s="9" t="str">
        <f aca="false">IF(C1063="","",IFERROR(VLOOKUP(C1063,EQUIPOS!$B$3:$F$18,5,0),""))</f>
        <v/>
      </c>
      <c r="F1063" s="5" t="str">
        <f aca="false">IF(C1063="","",IFERROR(VLOOKUP(C1063,EQUIPOS!$B$3:$G$18,6,0),""))</f>
        <v/>
      </c>
      <c r="G1063" s="8"/>
      <c r="H1063" s="5"/>
      <c r="I1063" s="5"/>
      <c r="J1063" s="9"/>
      <c r="K1063" s="17" t="str">
        <f aca="false">IF(H1063="","",IFERROR(SUMIFS(BD_PLAN!$I$3:$I$312,BD_PLAN!$B$3:$B$312,E1063,BD_PLAN!$C$3:$C$312,INDEX(BD_CICLO!$F$3:$F$54,MATCH(E1063&amp;"|"&amp;H1063,BD_CICLO!$G$3:$G$54,0))),""))</f>
        <v/>
      </c>
      <c r="L1063" s="9"/>
      <c r="M1063" s="9"/>
      <c r="N1063" s="1" t="str">
        <f aca="false">IF(C1063="","",C1063&amp;"|"&amp;COUNTIF(C$3:C1063,C1063))</f>
        <v/>
      </c>
      <c r="O1063" s="1" t="str">
        <f aca="false">IF(OR(C1063="",M1063=""),"",C1063&amp;"|"&amp;COUNTIFS(C$3:C1063,C1063,M$3:M1063,"&lt;&gt;"))</f>
        <v/>
      </c>
    </row>
    <row r="1064" customFormat="false" ht="15" hidden="false" customHeight="false" outlineLevel="0" collapsed="false">
      <c r="B1064" s="7"/>
      <c r="C1064" s="5"/>
      <c r="D1064" s="9" t="str">
        <f aca="false">IF(C1064="","",IFERROR(VLOOKUP(C1064,EQUIPOS!$B$3:$C$18,2,0),"NO EXISTE"))</f>
        <v/>
      </c>
      <c r="E1064" s="9" t="str">
        <f aca="false">IF(C1064="","",IFERROR(VLOOKUP(C1064,EQUIPOS!$B$3:$F$18,5,0),""))</f>
        <v/>
      </c>
      <c r="F1064" s="5" t="str">
        <f aca="false">IF(C1064="","",IFERROR(VLOOKUP(C1064,EQUIPOS!$B$3:$G$18,6,0),""))</f>
        <v/>
      </c>
      <c r="G1064" s="8"/>
      <c r="H1064" s="5"/>
      <c r="I1064" s="5"/>
      <c r="J1064" s="9"/>
      <c r="K1064" s="17" t="str">
        <f aca="false">IF(H1064="","",IFERROR(SUMIFS(BD_PLAN!$I$3:$I$312,BD_PLAN!$B$3:$B$312,E1064,BD_PLAN!$C$3:$C$312,INDEX(BD_CICLO!$F$3:$F$54,MATCH(E1064&amp;"|"&amp;H1064,BD_CICLO!$G$3:$G$54,0))),""))</f>
        <v/>
      </c>
      <c r="L1064" s="9"/>
      <c r="M1064" s="9"/>
      <c r="N1064" s="1" t="str">
        <f aca="false">IF(C1064="","",C1064&amp;"|"&amp;COUNTIF(C$3:C1064,C1064))</f>
        <v/>
      </c>
      <c r="O1064" s="1" t="str">
        <f aca="false">IF(OR(C1064="",M1064=""),"",C1064&amp;"|"&amp;COUNTIFS(C$3:C1064,C1064,M$3:M1064,"&lt;&gt;"))</f>
        <v/>
      </c>
    </row>
    <row r="1065" customFormat="false" ht="15" hidden="false" customHeight="false" outlineLevel="0" collapsed="false">
      <c r="B1065" s="7"/>
      <c r="C1065" s="5"/>
      <c r="D1065" s="9" t="str">
        <f aca="false">IF(C1065="","",IFERROR(VLOOKUP(C1065,EQUIPOS!$B$3:$C$18,2,0),"NO EXISTE"))</f>
        <v/>
      </c>
      <c r="E1065" s="9" t="str">
        <f aca="false">IF(C1065="","",IFERROR(VLOOKUP(C1065,EQUIPOS!$B$3:$F$18,5,0),""))</f>
        <v/>
      </c>
      <c r="F1065" s="5" t="str">
        <f aca="false">IF(C1065="","",IFERROR(VLOOKUP(C1065,EQUIPOS!$B$3:$G$18,6,0),""))</f>
        <v/>
      </c>
      <c r="G1065" s="8"/>
      <c r="H1065" s="5"/>
      <c r="I1065" s="5"/>
      <c r="J1065" s="9"/>
      <c r="K1065" s="17" t="str">
        <f aca="false">IF(H1065="","",IFERROR(SUMIFS(BD_PLAN!$I$3:$I$312,BD_PLAN!$B$3:$B$312,E1065,BD_PLAN!$C$3:$C$312,INDEX(BD_CICLO!$F$3:$F$54,MATCH(E1065&amp;"|"&amp;H1065,BD_CICLO!$G$3:$G$54,0))),""))</f>
        <v/>
      </c>
      <c r="L1065" s="9"/>
      <c r="M1065" s="9"/>
      <c r="N1065" s="1" t="str">
        <f aca="false">IF(C1065="","",C1065&amp;"|"&amp;COUNTIF(C$3:C1065,C1065))</f>
        <v/>
      </c>
      <c r="O1065" s="1" t="str">
        <f aca="false">IF(OR(C1065="",M1065=""),"",C1065&amp;"|"&amp;COUNTIFS(C$3:C1065,C1065,M$3:M1065,"&lt;&gt;"))</f>
        <v/>
      </c>
    </row>
    <row r="1066" customFormat="false" ht="15" hidden="false" customHeight="false" outlineLevel="0" collapsed="false">
      <c r="B1066" s="7"/>
      <c r="C1066" s="5"/>
      <c r="D1066" s="9" t="str">
        <f aca="false">IF(C1066="","",IFERROR(VLOOKUP(C1066,EQUIPOS!$B$3:$C$18,2,0),"NO EXISTE"))</f>
        <v/>
      </c>
      <c r="E1066" s="9" t="str">
        <f aca="false">IF(C1066="","",IFERROR(VLOOKUP(C1066,EQUIPOS!$B$3:$F$18,5,0),""))</f>
        <v/>
      </c>
      <c r="F1066" s="5" t="str">
        <f aca="false">IF(C1066="","",IFERROR(VLOOKUP(C1066,EQUIPOS!$B$3:$G$18,6,0),""))</f>
        <v/>
      </c>
      <c r="G1066" s="8"/>
      <c r="H1066" s="5"/>
      <c r="I1066" s="5"/>
      <c r="J1066" s="9"/>
      <c r="K1066" s="17" t="str">
        <f aca="false">IF(H1066="","",IFERROR(SUMIFS(BD_PLAN!$I$3:$I$312,BD_PLAN!$B$3:$B$312,E1066,BD_PLAN!$C$3:$C$312,INDEX(BD_CICLO!$F$3:$F$54,MATCH(E1066&amp;"|"&amp;H1066,BD_CICLO!$G$3:$G$54,0))),""))</f>
        <v/>
      </c>
      <c r="L1066" s="9"/>
      <c r="M1066" s="9"/>
      <c r="N1066" s="1" t="str">
        <f aca="false">IF(C1066="","",C1066&amp;"|"&amp;COUNTIF(C$3:C1066,C1066))</f>
        <v/>
      </c>
      <c r="O1066" s="1" t="str">
        <f aca="false">IF(OR(C1066="",M1066=""),"",C1066&amp;"|"&amp;COUNTIFS(C$3:C1066,C1066,M$3:M1066,"&lt;&gt;"))</f>
        <v/>
      </c>
    </row>
    <row r="1067" customFormat="false" ht="15" hidden="false" customHeight="false" outlineLevel="0" collapsed="false">
      <c r="B1067" s="7"/>
      <c r="C1067" s="5"/>
      <c r="D1067" s="9" t="str">
        <f aca="false">IF(C1067="","",IFERROR(VLOOKUP(C1067,EQUIPOS!$B$3:$C$18,2,0),"NO EXISTE"))</f>
        <v/>
      </c>
      <c r="E1067" s="9" t="str">
        <f aca="false">IF(C1067="","",IFERROR(VLOOKUP(C1067,EQUIPOS!$B$3:$F$18,5,0),""))</f>
        <v/>
      </c>
      <c r="F1067" s="5" t="str">
        <f aca="false">IF(C1067="","",IFERROR(VLOOKUP(C1067,EQUIPOS!$B$3:$G$18,6,0),""))</f>
        <v/>
      </c>
      <c r="G1067" s="8"/>
      <c r="H1067" s="5"/>
      <c r="I1067" s="5"/>
      <c r="J1067" s="9"/>
      <c r="K1067" s="17" t="str">
        <f aca="false">IF(H1067="","",IFERROR(SUMIFS(BD_PLAN!$I$3:$I$312,BD_PLAN!$B$3:$B$312,E1067,BD_PLAN!$C$3:$C$312,INDEX(BD_CICLO!$F$3:$F$54,MATCH(E1067&amp;"|"&amp;H1067,BD_CICLO!$G$3:$G$54,0))),""))</f>
        <v/>
      </c>
      <c r="L1067" s="9"/>
      <c r="M1067" s="9"/>
      <c r="N1067" s="1" t="str">
        <f aca="false">IF(C1067="","",C1067&amp;"|"&amp;COUNTIF(C$3:C1067,C1067))</f>
        <v/>
      </c>
      <c r="O1067" s="1" t="str">
        <f aca="false">IF(OR(C1067="",M1067=""),"",C1067&amp;"|"&amp;COUNTIFS(C$3:C1067,C1067,M$3:M1067,"&lt;&gt;"))</f>
        <v/>
      </c>
    </row>
    <row r="1068" customFormat="false" ht="15" hidden="false" customHeight="false" outlineLevel="0" collapsed="false">
      <c r="B1068" s="7"/>
      <c r="C1068" s="5"/>
      <c r="D1068" s="9" t="str">
        <f aca="false">IF(C1068="","",IFERROR(VLOOKUP(C1068,EQUIPOS!$B$3:$C$18,2,0),"NO EXISTE"))</f>
        <v/>
      </c>
      <c r="E1068" s="9" t="str">
        <f aca="false">IF(C1068="","",IFERROR(VLOOKUP(C1068,EQUIPOS!$B$3:$F$18,5,0),""))</f>
        <v/>
      </c>
      <c r="F1068" s="5" t="str">
        <f aca="false">IF(C1068="","",IFERROR(VLOOKUP(C1068,EQUIPOS!$B$3:$G$18,6,0),""))</f>
        <v/>
      </c>
      <c r="G1068" s="8"/>
      <c r="H1068" s="5"/>
      <c r="I1068" s="5"/>
      <c r="J1068" s="9"/>
      <c r="K1068" s="17" t="str">
        <f aca="false">IF(H1068="","",IFERROR(SUMIFS(BD_PLAN!$I$3:$I$312,BD_PLAN!$B$3:$B$312,E1068,BD_PLAN!$C$3:$C$312,INDEX(BD_CICLO!$F$3:$F$54,MATCH(E1068&amp;"|"&amp;H1068,BD_CICLO!$G$3:$G$54,0))),""))</f>
        <v/>
      </c>
      <c r="L1068" s="9"/>
      <c r="M1068" s="9"/>
      <c r="N1068" s="1" t="str">
        <f aca="false">IF(C1068="","",C1068&amp;"|"&amp;COUNTIF(C$3:C1068,C1068))</f>
        <v/>
      </c>
      <c r="O1068" s="1" t="str">
        <f aca="false">IF(OR(C1068="",M1068=""),"",C1068&amp;"|"&amp;COUNTIFS(C$3:C1068,C1068,M$3:M1068,"&lt;&gt;"))</f>
        <v/>
      </c>
    </row>
    <row r="1069" customFormat="false" ht="15" hidden="false" customHeight="false" outlineLevel="0" collapsed="false">
      <c r="B1069" s="7"/>
      <c r="C1069" s="5"/>
      <c r="D1069" s="9" t="str">
        <f aca="false">IF(C1069="","",IFERROR(VLOOKUP(C1069,EQUIPOS!$B$3:$C$18,2,0),"NO EXISTE"))</f>
        <v/>
      </c>
      <c r="E1069" s="9" t="str">
        <f aca="false">IF(C1069="","",IFERROR(VLOOKUP(C1069,EQUIPOS!$B$3:$F$18,5,0),""))</f>
        <v/>
      </c>
      <c r="F1069" s="5" t="str">
        <f aca="false">IF(C1069="","",IFERROR(VLOOKUP(C1069,EQUIPOS!$B$3:$G$18,6,0),""))</f>
        <v/>
      </c>
      <c r="G1069" s="8"/>
      <c r="H1069" s="5"/>
      <c r="I1069" s="5"/>
      <c r="J1069" s="9"/>
      <c r="K1069" s="17" t="str">
        <f aca="false">IF(H1069="","",IFERROR(SUMIFS(BD_PLAN!$I$3:$I$312,BD_PLAN!$B$3:$B$312,E1069,BD_PLAN!$C$3:$C$312,INDEX(BD_CICLO!$F$3:$F$54,MATCH(E1069&amp;"|"&amp;H1069,BD_CICLO!$G$3:$G$54,0))),""))</f>
        <v/>
      </c>
      <c r="L1069" s="9"/>
      <c r="M1069" s="9"/>
      <c r="N1069" s="1" t="str">
        <f aca="false">IF(C1069="","",C1069&amp;"|"&amp;COUNTIF(C$3:C1069,C1069))</f>
        <v/>
      </c>
      <c r="O1069" s="1" t="str">
        <f aca="false">IF(OR(C1069="",M1069=""),"",C1069&amp;"|"&amp;COUNTIFS(C$3:C1069,C1069,M$3:M1069,"&lt;&gt;"))</f>
        <v/>
      </c>
    </row>
    <row r="1070" customFormat="false" ht="15" hidden="false" customHeight="false" outlineLevel="0" collapsed="false">
      <c r="B1070" s="7"/>
      <c r="C1070" s="5"/>
      <c r="D1070" s="9" t="str">
        <f aca="false">IF(C1070="","",IFERROR(VLOOKUP(C1070,EQUIPOS!$B$3:$C$18,2,0),"NO EXISTE"))</f>
        <v/>
      </c>
      <c r="E1070" s="9" t="str">
        <f aca="false">IF(C1070="","",IFERROR(VLOOKUP(C1070,EQUIPOS!$B$3:$F$18,5,0),""))</f>
        <v/>
      </c>
      <c r="F1070" s="5" t="str">
        <f aca="false">IF(C1070="","",IFERROR(VLOOKUP(C1070,EQUIPOS!$B$3:$G$18,6,0),""))</f>
        <v/>
      </c>
      <c r="G1070" s="8"/>
      <c r="H1070" s="5"/>
      <c r="I1070" s="5"/>
      <c r="J1070" s="9"/>
      <c r="K1070" s="17" t="str">
        <f aca="false">IF(H1070="","",IFERROR(SUMIFS(BD_PLAN!$I$3:$I$312,BD_PLAN!$B$3:$B$312,E1070,BD_PLAN!$C$3:$C$312,INDEX(BD_CICLO!$F$3:$F$54,MATCH(E1070&amp;"|"&amp;H1070,BD_CICLO!$G$3:$G$54,0))),""))</f>
        <v/>
      </c>
      <c r="L1070" s="9"/>
      <c r="M1070" s="9"/>
      <c r="N1070" s="1" t="str">
        <f aca="false">IF(C1070="","",C1070&amp;"|"&amp;COUNTIF(C$3:C1070,C1070))</f>
        <v/>
      </c>
      <c r="O1070" s="1" t="str">
        <f aca="false">IF(OR(C1070="",M1070=""),"",C1070&amp;"|"&amp;COUNTIFS(C$3:C1070,C1070,M$3:M1070,"&lt;&gt;"))</f>
        <v/>
      </c>
    </row>
    <row r="1071" customFormat="false" ht="15" hidden="false" customHeight="false" outlineLevel="0" collapsed="false">
      <c r="B1071" s="7"/>
      <c r="C1071" s="5"/>
      <c r="D1071" s="9" t="str">
        <f aca="false">IF(C1071="","",IFERROR(VLOOKUP(C1071,EQUIPOS!$B$3:$C$18,2,0),"NO EXISTE"))</f>
        <v/>
      </c>
      <c r="E1071" s="9" t="str">
        <f aca="false">IF(C1071="","",IFERROR(VLOOKUP(C1071,EQUIPOS!$B$3:$F$18,5,0),""))</f>
        <v/>
      </c>
      <c r="F1071" s="5" t="str">
        <f aca="false">IF(C1071="","",IFERROR(VLOOKUP(C1071,EQUIPOS!$B$3:$G$18,6,0),""))</f>
        <v/>
      </c>
      <c r="G1071" s="8"/>
      <c r="H1071" s="5"/>
      <c r="I1071" s="5"/>
      <c r="J1071" s="9"/>
      <c r="K1071" s="17" t="str">
        <f aca="false">IF(H1071="","",IFERROR(SUMIFS(BD_PLAN!$I$3:$I$312,BD_PLAN!$B$3:$B$312,E1071,BD_PLAN!$C$3:$C$312,INDEX(BD_CICLO!$F$3:$F$54,MATCH(E1071&amp;"|"&amp;H1071,BD_CICLO!$G$3:$G$54,0))),""))</f>
        <v/>
      </c>
      <c r="L1071" s="9"/>
      <c r="M1071" s="9"/>
      <c r="N1071" s="1" t="str">
        <f aca="false">IF(C1071="","",C1071&amp;"|"&amp;COUNTIF(C$3:C1071,C1071))</f>
        <v/>
      </c>
      <c r="O1071" s="1" t="str">
        <f aca="false">IF(OR(C1071="",M1071=""),"",C1071&amp;"|"&amp;COUNTIFS(C$3:C1071,C1071,M$3:M1071,"&lt;&gt;"))</f>
        <v/>
      </c>
    </row>
    <row r="1072" customFormat="false" ht="15" hidden="false" customHeight="false" outlineLevel="0" collapsed="false">
      <c r="B1072" s="7"/>
      <c r="C1072" s="5"/>
      <c r="D1072" s="9" t="str">
        <f aca="false">IF(C1072="","",IFERROR(VLOOKUP(C1072,EQUIPOS!$B$3:$C$18,2,0),"NO EXISTE"))</f>
        <v/>
      </c>
      <c r="E1072" s="9" t="str">
        <f aca="false">IF(C1072="","",IFERROR(VLOOKUP(C1072,EQUIPOS!$B$3:$F$18,5,0),""))</f>
        <v/>
      </c>
      <c r="F1072" s="5" t="str">
        <f aca="false">IF(C1072="","",IFERROR(VLOOKUP(C1072,EQUIPOS!$B$3:$G$18,6,0),""))</f>
        <v/>
      </c>
      <c r="G1072" s="8"/>
      <c r="H1072" s="5"/>
      <c r="I1072" s="5"/>
      <c r="J1072" s="9"/>
      <c r="K1072" s="17" t="str">
        <f aca="false">IF(H1072="","",IFERROR(SUMIFS(BD_PLAN!$I$3:$I$312,BD_PLAN!$B$3:$B$312,E1072,BD_PLAN!$C$3:$C$312,INDEX(BD_CICLO!$F$3:$F$54,MATCH(E1072&amp;"|"&amp;H1072,BD_CICLO!$G$3:$G$54,0))),""))</f>
        <v/>
      </c>
      <c r="L1072" s="9"/>
      <c r="M1072" s="9"/>
      <c r="N1072" s="1" t="str">
        <f aca="false">IF(C1072="","",C1072&amp;"|"&amp;COUNTIF(C$3:C1072,C1072))</f>
        <v/>
      </c>
      <c r="O1072" s="1" t="str">
        <f aca="false">IF(OR(C1072="",M1072=""),"",C1072&amp;"|"&amp;COUNTIFS(C$3:C1072,C1072,M$3:M1072,"&lt;&gt;"))</f>
        <v/>
      </c>
    </row>
    <row r="1073" customFormat="false" ht="15" hidden="false" customHeight="false" outlineLevel="0" collapsed="false">
      <c r="B1073" s="7"/>
      <c r="C1073" s="5"/>
      <c r="D1073" s="9" t="str">
        <f aca="false">IF(C1073="","",IFERROR(VLOOKUP(C1073,EQUIPOS!$B$3:$C$18,2,0),"NO EXISTE"))</f>
        <v/>
      </c>
      <c r="E1073" s="9" t="str">
        <f aca="false">IF(C1073="","",IFERROR(VLOOKUP(C1073,EQUIPOS!$B$3:$F$18,5,0),""))</f>
        <v/>
      </c>
      <c r="F1073" s="5" t="str">
        <f aca="false">IF(C1073="","",IFERROR(VLOOKUP(C1073,EQUIPOS!$B$3:$G$18,6,0),""))</f>
        <v/>
      </c>
      <c r="G1073" s="8"/>
      <c r="H1073" s="5"/>
      <c r="I1073" s="5"/>
      <c r="J1073" s="9"/>
      <c r="K1073" s="17" t="str">
        <f aca="false">IF(H1073="","",IFERROR(SUMIFS(BD_PLAN!$I$3:$I$312,BD_PLAN!$B$3:$B$312,E1073,BD_PLAN!$C$3:$C$312,INDEX(BD_CICLO!$F$3:$F$54,MATCH(E1073&amp;"|"&amp;H1073,BD_CICLO!$G$3:$G$54,0))),""))</f>
        <v/>
      </c>
      <c r="L1073" s="9"/>
      <c r="M1073" s="9"/>
      <c r="N1073" s="1" t="str">
        <f aca="false">IF(C1073="","",C1073&amp;"|"&amp;COUNTIF(C$3:C1073,C1073))</f>
        <v/>
      </c>
      <c r="O1073" s="1" t="str">
        <f aca="false">IF(OR(C1073="",M1073=""),"",C1073&amp;"|"&amp;COUNTIFS(C$3:C1073,C1073,M$3:M1073,"&lt;&gt;"))</f>
        <v/>
      </c>
    </row>
    <row r="1074" customFormat="false" ht="15" hidden="false" customHeight="false" outlineLevel="0" collapsed="false">
      <c r="B1074" s="7"/>
      <c r="C1074" s="5"/>
      <c r="D1074" s="9" t="str">
        <f aca="false">IF(C1074="","",IFERROR(VLOOKUP(C1074,EQUIPOS!$B$3:$C$18,2,0),"NO EXISTE"))</f>
        <v/>
      </c>
      <c r="E1074" s="9" t="str">
        <f aca="false">IF(C1074="","",IFERROR(VLOOKUP(C1074,EQUIPOS!$B$3:$F$18,5,0),""))</f>
        <v/>
      </c>
      <c r="F1074" s="5" t="str">
        <f aca="false">IF(C1074="","",IFERROR(VLOOKUP(C1074,EQUIPOS!$B$3:$G$18,6,0),""))</f>
        <v/>
      </c>
      <c r="G1074" s="8"/>
      <c r="H1074" s="5"/>
      <c r="I1074" s="5"/>
      <c r="J1074" s="9"/>
      <c r="K1074" s="17" t="str">
        <f aca="false">IF(H1074="","",IFERROR(SUMIFS(BD_PLAN!$I$3:$I$312,BD_PLAN!$B$3:$B$312,E1074,BD_PLAN!$C$3:$C$312,INDEX(BD_CICLO!$F$3:$F$54,MATCH(E1074&amp;"|"&amp;H1074,BD_CICLO!$G$3:$G$54,0))),""))</f>
        <v/>
      </c>
      <c r="L1074" s="9"/>
      <c r="M1074" s="9"/>
      <c r="N1074" s="1" t="str">
        <f aca="false">IF(C1074="","",C1074&amp;"|"&amp;COUNTIF(C$3:C1074,C1074))</f>
        <v/>
      </c>
      <c r="O1074" s="1" t="str">
        <f aca="false">IF(OR(C1074="",M1074=""),"",C1074&amp;"|"&amp;COUNTIFS(C$3:C1074,C1074,M$3:M1074,"&lt;&gt;"))</f>
        <v/>
      </c>
    </row>
    <row r="1075" customFormat="false" ht="15" hidden="false" customHeight="false" outlineLevel="0" collapsed="false">
      <c r="B1075" s="7"/>
      <c r="C1075" s="5"/>
      <c r="D1075" s="9" t="str">
        <f aca="false">IF(C1075="","",IFERROR(VLOOKUP(C1075,EQUIPOS!$B$3:$C$18,2,0),"NO EXISTE"))</f>
        <v/>
      </c>
      <c r="E1075" s="9" t="str">
        <f aca="false">IF(C1075="","",IFERROR(VLOOKUP(C1075,EQUIPOS!$B$3:$F$18,5,0),""))</f>
        <v/>
      </c>
      <c r="F1075" s="5" t="str">
        <f aca="false">IF(C1075="","",IFERROR(VLOOKUP(C1075,EQUIPOS!$B$3:$G$18,6,0),""))</f>
        <v/>
      </c>
      <c r="G1075" s="8"/>
      <c r="H1075" s="5"/>
      <c r="I1075" s="5"/>
      <c r="J1075" s="9"/>
      <c r="K1075" s="17" t="str">
        <f aca="false">IF(H1075="","",IFERROR(SUMIFS(BD_PLAN!$I$3:$I$312,BD_PLAN!$B$3:$B$312,E1075,BD_PLAN!$C$3:$C$312,INDEX(BD_CICLO!$F$3:$F$54,MATCH(E1075&amp;"|"&amp;H1075,BD_CICLO!$G$3:$G$54,0))),""))</f>
        <v/>
      </c>
      <c r="L1075" s="9"/>
      <c r="M1075" s="9"/>
      <c r="N1075" s="1" t="str">
        <f aca="false">IF(C1075="","",C1075&amp;"|"&amp;COUNTIF(C$3:C1075,C1075))</f>
        <v/>
      </c>
      <c r="O1075" s="1" t="str">
        <f aca="false">IF(OR(C1075="",M1075=""),"",C1075&amp;"|"&amp;COUNTIFS(C$3:C1075,C1075,M$3:M1075,"&lt;&gt;"))</f>
        <v/>
      </c>
    </row>
    <row r="1076" customFormat="false" ht="15" hidden="false" customHeight="false" outlineLevel="0" collapsed="false">
      <c r="B1076" s="7"/>
      <c r="C1076" s="5"/>
      <c r="D1076" s="9" t="str">
        <f aca="false">IF(C1076="","",IFERROR(VLOOKUP(C1076,EQUIPOS!$B$3:$C$18,2,0),"NO EXISTE"))</f>
        <v/>
      </c>
      <c r="E1076" s="9" t="str">
        <f aca="false">IF(C1076="","",IFERROR(VLOOKUP(C1076,EQUIPOS!$B$3:$F$18,5,0),""))</f>
        <v/>
      </c>
      <c r="F1076" s="5" t="str">
        <f aca="false">IF(C1076="","",IFERROR(VLOOKUP(C1076,EQUIPOS!$B$3:$G$18,6,0),""))</f>
        <v/>
      </c>
      <c r="G1076" s="8"/>
      <c r="H1076" s="5"/>
      <c r="I1076" s="5"/>
      <c r="J1076" s="9"/>
      <c r="K1076" s="17" t="str">
        <f aca="false">IF(H1076="","",IFERROR(SUMIFS(BD_PLAN!$I$3:$I$312,BD_PLAN!$B$3:$B$312,E1076,BD_PLAN!$C$3:$C$312,INDEX(BD_CICLO!$F$3:$F$54,MATCH(E1076&amp;"|"&amp;H1076,BD_CICLO!$G$3:$G$54,0))),""))</f>
        <v/>
      </c>
      <c r="L1076" s="9"/>
      <c r="M1076" s="9"/>
      <c r="N1076" s="1" t="str">
        <f aca="false">IF(C1076="","",C1076&amp;"|"&amp;COUNTIF(C$3:C1076,C1076))</f>
        <v/>
      </c>
      <c r="O1076" s="1" t="str">
        <f aca="false">IF(OR(C1076="",M1076=""),"",C1076&amp;"|"&amp;COUNTIFS(C$3:C1076,C1076,M$3:M1076,"&lt;&gt;"))</f>
        <v/>
      </c>
    </row>
    <row r="1077" customFormat="false" ht="15" hidden="false" customHeight="false" outlineLevel="0" collapsed="false">
      <c r="B1077" s="7"/>
      <c r="C1077" s="5"/>
      <c r="D1077" s="9" t="str">
        <f aca="false">IF(C1077="","",IFERROR(VLOOKUP(C1077,EQUIPOS!$B$3:$C$18,2,0),"NO EXISTE"))</f>
        <v/>
      </c>
      <c r="E1077" s="9" t="str">
        <f aca="false">IF(C1077="","",IFERROR(VLOOKUP(C1077,EQUIPOS!$B$3:$F$18,5,0),""))</f>
        <v/>
      </c>
      <c r="F1077" s="5" t="str">
        <f aca="false">IF(C1077="","",IFERROR(VLOOKUP(C1077,EQUIPOS!$B$3:$G$18,6,0),""))</f>
        <v/>
      </c>
      <c r="G1077" s="8"/>
      <c r="H1077" s="5"/>
      <c r="I1077" s="5"/>
      <c r="J1077" s="9"/>
      <c r="K1077" s="17" t="str">
        <f aca="false">IF(H1077="","",IFERROR(SUMIFS(BD_PLAN!$I$3:$I$312,BD_PLAN!$B$3:$B$312,E1077,BD_PLAN!$C$3:$C$312,INDEX(BD_CICLO!$F$3:$F$54,MATCH(E1077&amp;"|"&amp;H1077,BD_CICLO!$G$3:$G$54,0))),""))</f>
        <v/>
      </c>
      <c r="L1077" s="9"/>
      <c r="M1077" s="9"/>
      <c r="N1077" s="1" t="str">
        <f aca="false">IF(C1077="","",C1077&amp;"|"&amp;COUNTIF(C$3:C1077,C1077))</f>
        <v/>
      </c>
      <c r="O1077" s="1" t="str">
        <f aca="false">IF(OR(C1077="",M1077=""),"",C1077&amp;"|"&amp;COUNTIFS(C$3:C1077,C1077,M$3:M1077,"&lt;&gt;"))</f>
        <v/>
      </c>
    </row>
    <row r="1078" customFormat="false" ht="15" hidden="false" customHeight="false" outlineLevel="0" collapsed="false">
      <c r="B1078" s="7"/>
      <c r="C1078" s="5"/>
      <c r="D1078" s="9" t="str">
        <f aca="false">IF(C1078="","",IFERROR(VLOOKUP(C1078,EQUIPOS!$B$3:$C$18,2,0),"NO EXISTE"))</f>
        <v/>
      </c>
      <c r="E1078" s="9" t="str">
        <f aca="false">IF(C1078="","",IFERROR(VLOOKUP(C1078,EQUIPOS!$B$3:$F$18,5,0),""))</f>
        <v/>
      </c>
      <c r="F1078" s="5" t="str">
        <f aca="false">IF(C1078="","",IFERROR(VLOOKUP(C1078,EQUIPOS!$B$3:$G$18,6,0),""))</f>
        <v/>
      </c>
      <c r="G1078" s="8"/>
      <c r="H1078" s="5"/>
      <c r="I1078" s="5"/>
      <c r="J1078" s="9"/>
      <c r="K1078" s="17" t="str">
        <f aca="false">IF(H1078="","",IFERROR(SUMIFS(BD_PLAN!$I$3:$I$312,BD_PLAN!$B$3:$B$312,E1078,BD_PLAN!$C$3:$C$312,INDEX(BD_CICLO!$F$3:$F$54,MATCH(E1078&amp;"|"&amp;H1078,BD_CICLO!$G$3:$G$54,0))),""))</f>
        <v/>
      </c>
      <c r="L1078" s="9"/>
      <c r="M1078" s="9"/>
      <c r="N1078" s="1" t="str">
        <f aca="false">IF(C1078="","",C1078&amp;"|"&amp;COUNTIF(C$3:C1078,C1078))</f>
        <v/>
      </c>
      <c r="O1078" s="1" t="str">
        <f aca="false">IF(OR(C1078="",M1078=""),"",C1078&amp;"|"&amp;COUNTIFS(C$3:C1078,C1078,M$3:M1078,"&lt;&gt;"))</f>
        <v/>
      </c>
    </row>
    <row r="1079" customFormat="false" ht="15" hidden="false" customHeight="false" outlineLevel="0" collapsed="false">
      <c r="B1079" s="7"/>
      <c r="C1079" s="5"/>
      <c r="D1079" s="9" t="str">
        <f aca="false">IF(C1079="","",IFERROR(VLOOKUP(C1079,EQUIPOS!$B$3:$C$18,2,0),"NO EXISTE"))</f>
        <v/>
      </c>
      <c r="E1079" s="9" t="str">
        <f aca="false">IF(C1079="","",IFERROR(VLOOKUP(C1079,EQUIPOS!$B$3:$F$18,5,0),""))</f>
        <v/>
      </c>
      <c r="F1079" s="5" t="str">
        <f aca="false">IF(C1079="","",IFERROR(VLOOKUP(C1079,EQUIPOS!$B$3:$G$18,6,0),""))</f>
        <v/>
      </c>
      <c r="G1079" s="8"/>
      <c r="H1079" s="5"/>
      <c r="I1079" s="5"/>
      <c r="J1079" s="9"/>
      <c r="K1079" s="17" t="str">
        <f aca="false">IF(H1079="","",IFERROR(SUMIFS(BD_PLAN!$I$3:$I$312,BD_PLAN!$B$3:$B$312,E1079,BD_PLAN!$C$3:$C$312,INDEX(BD_CICLO!$F$3:$F$54,MATCH(E1079&amp;"|"&amp;H1079,BD_CICLO!$G$3:$G$54,0))),""))</f>
        <v/>
      </c>
      <c r="L1079" s="9"/>
      <c r="M1079" s="9"/>
      <c r="N1079" s="1" t="str">
        <f aca="false">IF(C1079="","",C1079&amp;"|"&amp;COUNTIF(C$3:C1079,C1079))</f>
        <v/>
      </c>
      <c r="O1079" s="1" t="str">
        <f aca="false">IF(OR(C1079="",M1079=""),"",C1079&amp;"|"&amp;COUNTIFS(C$3:C1079,C1079,M$3:M1079,"&lt;&gt;"))</f>
        <v/>
      </c>
    </row>
    <row r="1080" customFormat="false" ht="15" hidden="false" customHeight="false" outlineLevel="0" collapsed="false">
      <c r="B1080" s="7"/>
      <c r="C1080" s="5"/>
      <c r="D1080" s="9" t="str">
        <f aca="false">IF(C1080="","",IFERROR(VLOOKUP(C1080,EQUIPOS!$B$3:$C$18,2,0),"NO EXISTE"))</f>
        <v/>
      </c>
      <c r="E1080" s="9" t="str">
        <f aca="false">IF(C1080="","",IFERROR(VLOOKUP(C1080,EQUIPOS!$B$3:$F$18,5,0),""))</f>
        <v/>
      </c>
      <c r="F1080" s="5" t="str">
        <f aca="false">IF(C1080="","",IFERROR(VLOOKUP(C1080,EQUIPOS!$B$3:$G$18,6,0),""))</f>
        <v/>
      </c>
      <c r="G1080" s="8"/>
      <c r="H1080" s="5"/>
      <c r="I1080" s="5"/>
      <c r="J1080" s="9"/>
      <c r="K1080" s="17" t="str">
        <f aca="false">IF(H1080="","",IFERROR(SUMIFS(BD_PLAN!$I$3:$I$312,BD_PLAN!$B$3:$B$312,E1080,BD_PLAN!$C$3:$C$312,INDEX(BD_CICLO!$F$3:$F$54,MATCH(E1080&amp;"|"&amp;H1080,BD_CICLO!$G$3:$G$54,0))),""))</f>
        <v/>
      </c>
      <c r="L1080" s="9"/>
      <c r="M1080" s="9"/>
      <c r="N1080" s="1" t="str">
        <f aca="false">IF(C1080="","",C1080&amp;"|"&amp;COUNTIF(C$3:C1080,C1080))</f>
        <v/>
      </c>
      <c r="O1080" s="1" t="str">
        <f aca="false">IF(OR(C1080="",M1080=""),"",C1080&amp;"|"&amp;COUNTIFS(C$3:C1080,C1080,M$3:M1080,"&lt;&gt;"))</f>
        <v/>
      </c>
    </row>
    <row r="1081" customFormat="false" ht="15" hidden="false" customHeight="false" outlineLevel="0" collapsed="false">
      <c r="B1081" s="7"/>
      <c r="C1081" s="5"/>
      <c r="D1081" s="9" t="str">
        <f aca="false">IF(C1081="","",IFERROR(VLOOKUP(C1081,EQUIPOS!$B$3:$C$18,2,0),"NO EXISTE"))</f>
        <v/>
      </c>
      <c r="E1081" s="9" t="str">
        <f aca="false">IF(C1081="","",IFERROR(VLOOKUP(C1081,EQUIPOS!$B$3:$F$18,5,0),""))</f>
        <v/>
      </c>
      <c r="F1081" s="5" t="str">
        <f aca="false">IF(C1081="","",IFERROR(VLOOKUP(C1081,EQUIPOS!$B$3:$G$18,6,0),""))</f>
        <v/>
      </c>
      <c r="G1081" s="8"/>
      <c r="H1081" s="5"/>
      <c r="I1081" s="5"/>
      <c r="J1081" s="9"/>
      <c r="K1081" s="17" t="str">
        <f aca="false">IF(H1081="","",IFERROR(SUMIFS(BD_PLAN!$I$3:$I$312,BD_PLAN!$B$3:$B$312,E1081,BD_PLAN!$C$3:$C$312,INDEX(BD_CICLO!$F$3:$F$54,MATCH(E1081&amp;"|"&amp;H1081,BD_CICLO!$G$3:$G$54,0))),""))</f>
        <v/>
      </c>
      <c r="L1081" s="9"/>
      <c r="M1081" s="9"/>
      <c r="N1081" s="1" t="str">
        <f aca="false">IF(C1081="","",C1081&amp;"|"&amp;COUNTIF(C$3:C1081,C1081))</f>
        <v/>
      </c>
      <c r="O1081" s="1" t="str">
        <f aca="false">IF(OR(C1081="",M1081=""),"",C1081&amp;"|"&amp;COUNTIFS(C$3:C1081,C1081,M$3:M1081,"&lt;&gt;"))</f>
        <v/>
      </c>
    </row>
    <row r="1082" customFormat="false" ht="15" hidden="false" customHeight="false" outlineLevel="0" collapsed="false">
      <c r="B1082" s="7"/>
      <c r="C1082" s="5"/>
      <c r="D1082" s="9" t="str">
        <f aca="false">IF(C1082="","",IFERROR(VLOOKUP(C1082,EQUIPOS!$B$3:$C$18,2,0),"NO EXISTE"))</f>
        <v/>
      </c>
      <c r="E1082" s="9" t="str">
        <f aca="false">IF(C1082="","",IFERROR(VLOOKUP(C1082,EQUIPOS!$B$3:$F$18,5,0),""))</f>
        <v/>
      </c>
      <c r="F1082" s="5" t="str">
        <f aca="false">IF(C1082="","",IFERROR(VLOOKUP(C1082,EQUIPOS!$B$3:$G$18,6,0),""))</f>
        <v/>
      </c>
      <c r="G1082" s="8"/>
      <c r="H1082" s="5"/>
      <c r="I1082" s="5"/>
      <c r="J1082" s="9"/>
      <c r="K1082" s="17" t="str">
        <f aca="false">IF(H1082="","",IFERROR(SUMIFS(BD_PLAN!$I$3:$I$312,BD_PLAN!$B$3:$B$312,E1082,BD_PLAN!$C$3:$C$312,INDEX(BD_CICLO!$F$3:$F$54,MATCH(E1082&amp;"|"&amp;H1082,BD_CICLO!$G$3:$G$54,0))),""))</f>
        <v/>
      </c>
      <c r="L1082" s="9"/>
      <c r="M1082" s="9"/>
      <c r="N1082" s="1" t="str">
        <f aca="false">IF(C1082="","",C1082&amp;"|"&amp;COUNTIF(C$3:C1082,C1082))</f>
        <v/>
      </c>
      <c r="O1082" s="1" t="str">
        <f aca="false">IF(OR(C1082="",M1082=""),"",C1082&amp;"|"&amp;COUNTIFS(C$3:C1082,C1082,M$3:M1082,"&lt;&gt;"))</f>
        <v/>
      </c>
    </row>
    <row r="1083" customFormat="false" ht="15" hidden="false" customHeight="false" outlineLevel="0" collapsed="false">
      <c r="B1083" s="7"/>
      <c r="C1083" s="5"/>
      <c r="D1083" s="9" t="str">
        <f aca="false">IF(C1083="","",IFERROR(VLOOKUP(C1083,EQUIPOS!$B$3:$C$18,2,0),"NO EXISTE"))</f>
        <v/>
      </c>
      <c r="E1083" s="9" t="str">
        <f aca="false">IF(C1083="","",IFERROR(VLOOKUP(C1083,EQUIPOS!$B$3:$F$18,5,0),""))</f>
        <v/>
      </c>
      <c r="F1083" s="5" t="str">
        <f aca="false">IF(C1083="","",IFERROR(VLOOKUP(C1083,EQUIPOS!$B$3:$G$18,6,0),""))</f>
        <v/>
      </c>
      <c r="G1083" s="8"/>
      <c r="H1083" s="5"/>
      <c r="I1083" s="5"/>
      <c r="J1083" s="9"/>
      <c r="K1083" s="17" t="str">
        <f aca="false">IF(H1083="","",IFERROR(SUMIFS(BD_PLAN!$I$3:$I$312,BD_PLAN!$B$3:$B$312,E1083,BD_PLAN!$C$3:$C$312,INDEX(BD_CICLO!$F$3:$F$54,MATCH(E1083&amp;"|"&amp;H1083,BD_CICLO!$G$3:$G$54,0))),""))</f>
        <v/>
      </c>
      <c r="L1083" s="9"/>
      <c r="M1083" s="9"/>
      <c r="N1083" s="1" t="str">
        <f aca="false">IF(C1083="","",C1083&amp;"|"&amp;COUNTIF(C$3:C1083,C1083))</f>
        <v/>
      </c>
      <c r="O1083" s="1" t="str">
        <f aca="false">IF(OR(C1083="",M1083=""),"",C1083&amp;"|"&amp;COUNTIFS(C$3:C1083,C1083,M$3:M1083,"&lt;&gt;"))</f>
        <v/>
      </c>
    </row>
    <row r="1084" customFormat="false" ht="15" hidden="false" customHeight="false" outlineLevel="0" collapsed="false">
      <c r="B1084" s="7"/>
      <c r="C1084" s="5"/>
      <c r="D1084" s="9" t="str">
        <f aca="false">IF(C1084="","",IFERROR(VLOOKUP(C1084,EQUIPOS!$B$3:$C$18,2,0),"NO EXISTE"))</f>
        <v/>
      </c>
      <c r="E1084" s="9" t="str">
        <f aca="false">IF(C1084="","",IFERROR(VLOOKUP(C1084,EQUIPOS!$B$3:$F$18,5,0),""))</f>
        <v/>
      </c>
      <c r="F1084" s="5" t="str">
        <f aca="false">IF(C1084="","",IFERROR(VLOOKUP(C1084,EQUIPOS!$B$3:$G$18,6,0),""))</f>
        <v/>
      </c>
      <c r="G1084" s="8"/>
      <c r="H1084" s="5"/>
      <c r="I1084" s="5"/>
      <c r="J1084" s="9"/>
      <c r="K1084" s="17" t="str">
        <f aca="false">IF(H1084="","",IFERROR(SUMIFS(BD_PLAN!$I$3:$I$312,BD_PLAN!$B$3:$B$312,E1084,BD_PLAN!$C$3:$C$312,INDEX(BD_CICLO!$F$3:$F$54,MATCH(E1084&amp;"|"&amp;H1084,BD_CICLO!$G$3:$G$54,0))),""))</f>
        <v/>
      </c>
      <c r="L1084" s="9"/>
      <c r="M1084" s="9"/>
      <c r="N1084" s="1" t="str">
        <f aca="false">IF(C1084="","",C1084&amp;"|"&amp;COUNTIF(C$3:C1084,C1084))</f>
        <v/>
      </c>
      <c r="O1084" s="1" t="str">
        <f aca="false">IF(OR(C1084="",M1084=""),"",C1084&amp;"|"&amp;COUNTIFS(C$3:C1084,C1084,M$3:M1084,"&lt;&gt;"))</f>
        <v/>
      </c>
    </row>
    <row r="1085" customFormat="false" ht="15" hidden="false" customHeight="false" outlineLevel="0" collapsed="false">
      <c r="B1085" s="7"/>
      <c r="C1085" s="5"/>
      <c r="D1085" s="9" t="str">
        <f aca="false">IF(C1085="","",IFERROR(VLOOKUP(C1085,EQUIPOS!$B$3:$C$18,2,0),"NO EXISTE"))</f>
        <v/>
      </c>
      <c r="E1085" s="9" t="str">
        <f aca="false">IF(C1085="","",IFERROR(VLOOKUP(C1085,EQUIPOS!$B$3:$F$18,5,0),""))</f>
        <v/>
      </c>
      <c r="F1085" s="5" t="str">
        <f aca="false">IF(C1085="","",IFERROR(VLOOKUP(C1085,EQUIPOS!$B$3:$G$18,6,0),""))</f>
        <v/>
      </c>
      <c r="G1085" s="8"/>
      <c r="H1085" s="5"/>
      <c r="I1085" s="5"/>
      <c r="J1085" s="9"/>
      <c r="K1085" s="17" t="str">
        <f aca="false">IF(H1085="","",IFERROR(SUMIFS(BD_PLAN!$I$3:$I$312,BD_PLAN!$B$3:$B$312,E1085,BD_PLAN!$C$3:$C$312,INDEX(BD_CICLO!$F$3:$F$54,MATCH(E1085&amp;"|"&amp;H1085,BD_CICLO!$G$3:$G$54,0))),""))</f>
        <v/>
      </c>
      <c r="L1085" s="9"/>
      <c r="M1085" s="9"/>
      <c r="N1085" s="1" t="str">
        <f aca="false">IF(C1085="","",C1085&amp;"|"&amp;COUNTIF(C$3:C1085,C1085))</f>
        <v/>
      </c>
      <c r="O1085" s="1" t="str">
        <f aca="false">IF(OR(C1085="",M1085=""),"",C1085&amp;"|"&amp;COUNTIFS(C$3:C1085,C1085,M$3:M1085,"&lt;&gt;"))</f>
        <v/>
      </c>
    </row>
    <row r="1086" customFormat="false" ht="15" hidden="false" customHeight="false" outlineLevel="0" collapsed="false">
      <c r="B1086" s="7"/>
      <c r="C1086" s="5"/>
      <c r="D1086" s="9" t="str">
        <f aca="false">IF(C1086="","",IFERROR(VLOOKUP(C1086,EQUIPOS!$B$3:$C$18,2,0),"NO EXISTE"))</f>
        <v/>
      </c>
      <c r="E1086" s="9" t="str">
        <f aca="false">IF(C1086="","",IFERROR(VLOOKUP(C1086,EQUIPOS!$B$3:$F$18,5,0),""))</f>
        <v/>
      </c>
      <c r="F1086" s="5" t="str">
        <f aca="false">IF(C1086="","",IFERROR(VLOOKUP(C1086,EQUIPOS!$B$3:$G$18,6,0),""))</f>
        <v/>
      </c>
      <c r="G1086" s="8"/>
      <c r="H1086" s="5"/>
      <c r="I1086" s="5"/>
      <c r="J1086" s="9"/>
      <c r="K1086" s="17" t="str">
        <f aca="false">IF(H1086="","",IFERROR(SUMIFS(BD_PLAN!$I$3:$I$312,BD_PLAN!$B$3:$B$312,E1086,BD_PLAN!$C$3:$C$312,INDEX(BD_CICLO!$F$3:$F$54,MATCH(E1086&amp;"|"&amp;H1086,BD_CICLO!$G$3:$G$54,0))),""))</f>
        <v/>
      </c>
      <c r="L1086" s="9"/>
      <c r="M1086" s="9"/>
      <c r="N1086" s="1" t="str">
        <f aca="false">IF(C1086="","",C1086&amp;"|"&amp;COUNTIF(C$3:C1086,C1086))</f>
        <v/>
      </c>
      <c r="O1086" s="1" t="str">
        <f aca="false">IF(OR(C1086="",M1086=""),"",C1086&amp;"|"&amp;COUNTIFS(C$3:C1086,C1086,M$3:M1086,"&lt;&gt;"))</f>
        <v/>
      </c>
    </row>
    <row r="1087" customFormat="false" ht="15" hidden="false" customHeight="false" outlineLevel="0" collapsed="false">
      <c r="B1087" s="7"/>
      <c r="C1087" s="5"/>
      <c r="D1087" s="9" t="str">
        <f aca="false">IF(C1087="","",IFERROR(VLOOKUP(C1087,EQUIPOS!$B$3:$C$18,2,0),"NO EXISTE"))</f>
        <v/>
      </c>
      <c r="E1087" s="9" t="str">
        <f aca="false">IF(C1087="","",IFERROR(VLOOKUP(C1087,EQUIPOS!$B$3:$F$18,5,0),""))</f>
        <v/>
      </c>
      <c r="F1087" s="5" t="str">
        <f aca="false">IF(C1087="","",IFERROR(VLOOKUP(C1087,EQUIPOS!$B$3:$G$18,6,0),""))</f>
        <v/>
      </c>
      <c r="G1087" s="8"/>
      <c r="H1087" s="5"/>
      <c r="I1087" s="5"/>
      <c r="J1087" s="9"/>
      <c r="K1087" s="17" t="str">
        <f aca="false">IF(H1087="","",IFERROR(SUMIFS(BD_PLAN!$I$3:$I$312,BD_PLAN!$B$3:$B$312,E1087,BD_PLAN!$C$3:$C$312,INDEX(BD_CICLO!$F$3:$F$54,MATCH(E1087&amp;"|"&amp;H1087,BD_CICLO!$G$3:$G$54,0))),""))</f>
        <v/>
      </c>
      <c r="L1087" s="9"/>
      <c r="M1087" s="9"/>
      <c r="N1087" s="1" t="str">
        <f aca="false">IF(C1087="","",C1087&amp;"|"&amp;COUNTIF(C$3:C1087,C1087))</f>
        <v/>
      </c>
      <c r="O1087" s="1" t="str">
        <f aca="false">IF(OR(C1087="",M1087=""),"",C1087&amp;"|"&amp;COUNTIFS(C$3:C1087,C1087,M$3:M1087,"&lt;&gt;"))</f>
        <v/>
      </c>
    </row>
    <row r="1088" customFormat="false" ht="15" hidden="false" customHeight="false" outlineLevel="0" collapsed="false">
      <c r="B1088" s="7"/>
      <c r="C1088" s="5"/>
      <c r="D1088" s="9" t="str">
        <f aca="false">IF(C1088="","",IFERROR(VLOOKUP(C1088,EQUIPOS!$B$3:$C$18,2,0),"NO EXISTE"))</f>
        <v/>
      </c>
      <c r="E1088" s="9" t="str">
        <f aca="false">IF(C1088="","",IFERROR(VLOOKUP(C1088,EQUIPOS!$B$3:$F$18,5,0),""))</f>
        <v/>
      </c>
      <c r="F1088" s="5" t="str">
        <f aca="false">IF(C1088="","",IFERROR(VLOOKUP(C1088,EQUIPOS!$B$3:$G$18,6,0),""))</f>
        <v/>
      </c>
      <c r="G1088" s="8"/>
      <c r="H1088" s="5"/>
      <c r="I1088" s="5"/>
      <c r="J1088" s="9"/>
      <c r="K1088" s="17" t="str">
        <f aca="false">IF(H1088="","",IFERROR(SUMIFS(BD_PLAN!$I$3:$I$312,BD_PLAN!$B$3:$B$312,E1088,BD_PLAN!$C$3:$C$312,INDEX(BD_CICLO!$F$3:$F$54,MATCH(E1088&amp;"|"&amp;H1088,BD_CICLO!$G$3:$G$54,0))),""))</f>
        <v/>
      </c>
      <c r="L1088" s="9"/>
      <c r="M1088" s="9"/>
      <c r="N1088" s="1" t="str">
        <f aca="false">IF(C1088="","",C1088&amp;"|"&amp;COUNTIF(C$3:C1088,C1088))</f>
        <v/>
      </c>
      <c r="O1088" s="1" t="str">
        <f aca="false">IF(OR(C1088="",M1088=""),"",C1088&amp;"|"&amp;COUNTIFS(C$3:C1088,C1088,M$3:M1088,"&lt;&gt;"))</f>
        <v/>
      </c>
    </row>
    <row r="1089" customFormat="false" ht="15" hidden="false" customHeight="false" outlineLevel="0" collapsed="false">
      <c r="B1089" s="7"/>
      <c r="C1089" s="5"/>
      <c r="D1089" s="9" t="str">
        <f aca="false">IF(C1089="","",IFERROR(VLOOKUP(C1089,EQUIPOS!$B$3:$C$18,2,0),"NO EXISTE"))</f>
        <v/>
      </c>
      <c r="E1089" s="9" t="str">
        <f aca="false">IF(C1089="","",IFERROR(VLOOKUP(C1089,EQUIPOS!$B$3:$F$18,5,0),""))</f>
        <v/>
      </c>
      <c r="F1089" s="5" t="str">
        <f aca="false">IF(C1089="","",IFERROR(VLOOKUP(C1089,EQUIPOS!$B$3:$G$18,6,0),""))</f>
        <v/>
      </c>
      <c r="G1089" s="8"/>
      <c r="H1089" s="5"/>
      <c r="I1089" s="5"/>
      <c r="J1089" s="9"/>
      <c r="K1089" s="17" t="str">
        <f aca="false">IF(H1089="","",IFERROR(SUMIFS(BD_PLAN!$I$3:$I$312,BD_PLAN!$B$3:$B$312,E1089,BD_PLAN!$C$3:$C$312,INDEX(BD_CICLO!$F$3:$F$54,MATCH(E1089&amp;"|"&amp;H1089,BD_CICLO!$G$3:$G$54,0))),""))</f>
        <v/>
      </c>
      <c r="L1089" s="9"/>
      <c r="M1089" s="9"/>
      <c r="N1089" s="1" t="str">
        <f aca="false">IF(C1089="","",C1089&amp;"|"&amp;COUNTIF(C$3:C1089,C1089))</f>
        <v/>
      </c>
      <c r="O1089" s="1" t="str">
        <f aca="false">IF(OR(C1089="",M1089=""),"",C1089&amp;"|"&amp;COUNTIFS(C$3:C1089,C1089,M$3:M1089,"&lt;&gt;"))</f>
        <v/>
      </c>
    </row>
    <row r="1090" customFormat="false" ht="15" hidden="false" customHeight="false" outlineLevel="0" collapsed="false">
      <c r="B1090" s="7"/>
      <c r="C1090" s="5"/>
      <c r="D1090" s="9" t="str">
        <f aca="false">IF(C1090="","",IFERROR(VLOOKUP(C1090,EQUIPOS!$B$3:$C$18,2,0),"NO EXISTE"))</f>
        <v/>
      </c>
      <c r="E1090" s="9" t="str">
        <f aca="false">IF(C1090="","",IFERROR(VLOOKUP(C1090,EQUIPOS!$B$3:$F$18,5,0),""))</f>
        <v/>
      </c>
      <c r="F1090" s="5" t="str">
        <f aca="false">IF(C1090="","",IFERROR(VLOOKUP(C1090,EQUIPOS!$B$3:$G$18,6,0),""))</f>
        <v/>
      </c>
      <c r="G1090" s="8"/>
      <c r="H1090" s="5"/>
      <c r="I1090" s="5"/>
      <c r="J1090" s="9"/>
      <c r="K1090" s="17" t="str">
        <f aca="false">IF(H1090="","",IFERROR(SUMIFS(BD_PLAN!$I$3:$I$312,BD_PLAN!$B$3:$B$312,E1090,BD_PLAN!$C$3:$C$312,INDEX(BD_CICLO!$F$3:$F$54,MATCH(E1090&amp;"|"&amp;H1090,BD_CICLO!$G$3:$G$54,0))),""))</f>
        <v/>
      </c>
      <c r="L1090" s="9"/>
      <c r="M1090" s="9"/>
      <c r="N1090" s="1" t="str">
        <f aca="false">IF(C1090="","",C1090&amp;"|"&amp;COUNTIF(C$3:C1090,C1090))</f>
        <v/>
      </c>
      <c r="O1090" s="1" t="str">
        <f aca="false">IF(OR(C1090="",M1090=""),"",C1090&amp;"|"&amp;COUNTIFS(C$3:C1090,C1090,M$3:M1090,"&lt;&gt;"))</f>
        <v/>
      </c>
    </row>
    <row r="1091" customFormat="false" ht="15" hidden="false" customHeight="false" outlineLevel="0" collapsed="false">
      <c r="B1091" s="7"/>
      <c r="C1091" s="5"/>
      <c r="D1091" s="9" t="str">
        <f aca="false">IF(C1091="","",IFERROR(VLOOKUP(C1091,EQUIPOS!$B$3:$C$18,2,0),"NO EXISTE"))</f>
        <v/>
      </c>
      <c r="E1091" s="9" t="str">
        <f aca="false">IF(C1091="","",IFERROR(VLOOKUP(C1091,EQUIPOS!$B$3:$F$18,5,0),""))</f>
        <v/>
      </c>
      <c r="F1091" s="5" t="str">
        <f aca="false">IF(C1091="","",IFERROR(VLOOKUP(C1091,EQUIPOS!$B$3:$G$18,6,0),""))</f>
        <v/>
      </c>
      <c r="G1091" s="8"/>
      <c r="H1091" s="5"/>
      <c r="I1091" s="5"/>
      <c r="J1091" s="9"/>
      <c r="K1091" s="17" t="str">
        <f aca="false">IF(H1091="","",IFERROR(SUMIFS(BD_PLAN!$I$3:$I$312,BD_PLAN!$B$3:$B$312,E1091,BD_PLAN!$C$3:$C$312,INDEX(BD_CICLO!$F$3:$F$54,MATCH(E1091&amp;"|"&amp;H1091,BD_CICLO!$G$3:$G$54,0))),""))</f>
        <v/>
      </c>
      <c r="L1091" s="9"/>
      <c r="M1091" s="9"/>
      <c r="N1091" s="1" t="str">
        <f aca="false">IF(C1091="","",C1091&amp;"|"&amp;COUNTIF(C$3:C1091,C1091))</f>
        <v/>
      </c>
      <c r="O1091" s="1" t="str">
        <f aca="false">IF(OR(C1091="",M1091=""),"",C1091&amp;"|"&amp;COUNTIFS(C$3:C1091,C1091,M$3:M1091,"&lt;&gt;"))</f>
        <v/>
      </c>
    </row>
    <row r="1092" customFormat="false" ht="15" hidden="false" customHeight="false" outlineLevel="0" collapsed="false">
      <c r="B1092" s="7"/>
      <c r="C1092" s="5"/>
      <c r="D1092" s="9" t="str">
        <f aca="false">IF(C1092="","",IFERROR(VLOOKUP(C1092,EQUIPOS!$B$3:$C$18,2,0),"NO EXISTE"))</f>
        <v/>
      </c>
      <c r="E1092" s="9" t="str">
        <f aca="false">IF(C1092="","",IFERROR(VLOOKUP(C1092,EQUIPOS!$B$3:$F$18,5,0),""))</f>
        <v/>
      </c>
      <c r="F1092" s="5" t="str">
        <f aca="false">IF(C1092="","",IFERROR(VLOOKUP(C1092,EQUIPOS!$B$3:$G$18,6,0),""))</f>
        <v/>
      </c>
      <c r="G1092" s="8"/>
      <c r="H1092" s="5"/>
      <c r="I1092" s="5"/>
      <c r="J1092" s="9"/>
      <c r="K1092" s="17" t="str">
        <f aca="false">IF(H1092="","",IFERROR(SUMIFS(BD_PLAN!$I$3:$I$312,BD_PLAN!$B$3:$B$312,E1092,BD_PLAN!$C$3:$C$312,INDEX(BD_CICLO!$F$3:$F$54,MATCH(E1092&amp;"|"&amp;H1092,BD_CICLO!$G$3:$G$54,0))),""))</f>
        <v/>
      </c>
      <c r="L1092" s="9"/>
      <c r="M1092" s="9"/>
      <c r="N1092" s="1" t="str">
        <f aca="false">IF(C1092="","",C1092&amp;"|"&amp;COUNTIF(C$3:C1092,C1092))</f>
        <v/>
      </c>
      <c r="O1092" s="1" t="str">
        <f aca="false">IF(OR(C1092="",M1092=""),"",C1092&amp;"|"&amp;COUNTIFS(C$3:C1092,C1092,M$3:M1092,"&lt;&gt;"))</f>
        <v/>
      </c>
    </row>
    <row r="1093" customFormat="false" ht="15" hidden="false" customHeight="false" outlineLevel="0" collapsed="false">
      <c r="B1093" s="7"/>
      <c r="C1093" s="5"/>
      <c r="D1093" s="9" t="str">
        <f aca="false">IF(C1093="","",IFERROR(VLOOKUP(C1093,EQUIPOS!$B$3:$C$18,2,0),"NO EXISTE"))</f>
        <v/>
      </c>
      <c r="E1093" s="9" t="str">
        <f aca="false">IF(C1093="","",IFERROR(VLOOKUP(C1093,EQUIPOS!$B$3:$F$18,5,0),""))</f>
        <v/>
      </c>
      <c r="F1093" s="5" t="str">
        <f aca="false">IF(C1093="","",IFERROR(VLOOKUP(C1093,EQUIPOS!$B$3:$G$18,6,0),""))</f>
        <v/>
      </c>
      <c r="G1093" s="8"/>
      <c r="H1093" s="5"/>
      <c r="I1093" s="5"/>
      <c r="J1093" s="9"/>
      <c r="K1093" s="17" t="str">
        <f aca="false">IF(H1093="","",IFERROR(SUMIFS(BD_PLAN!$I$3:$I$312,BD_PLAN!$B$3:$B$312,E1093,BD_PLAN!$C$3:$C$312,INDEX(BD_CICLO!$F$3:$F$54,MATCH(E1093&amp;"|"&amp;H1093,BD_CICLO!$G$3:$G$54,0))),""))</f>
        <v/>
      </c>
      <c r="L1093" s="9"/>
      <c r="M1093" s="9"/>
      <c r="N1093" s="1" t="str">
        <f aca="false">IF(C1093="","",C1093&amp;"|"&amp;COUNTIF(C$3:C1093,C1093))</f>
        <v/>
      </c>
      <c r="O1093" s="1" t="str">
        <f aca="false">IF(OR(C1093="",M1093=""),"",C1093&amp;"|"&amp;COUNTIFS(C$3:C1093,C1093,M$3:M1093,"&lt;&gt;"))</f>
        <v/>
      </c>
    </row>
    <row r="1094" customFormat="false" ht="15" hidden="false" customHeight="false" outlineLevel="0" collapsed="false">
      <c r="B1094" s="7"/>
      <c r="C1094" s="5"/>
      <c r="D1094" s="9" t="str">
        <f aca="false">IF(C1094="","",IFERROR(VLOOKUP(C1094,EQUIPOS!$B$3:$C$18,2,0),"NO EXISTE"))</f>
        <v/>
      </c>
      <c r="E1094" s="9" t="str">
        <f aca="false">IF(C1094="","",IFERROR(VLOOKUP(C1094,EQUIPOS!$B$3:$F$18,5,0),""))</f>
        <v/>
      </c>
      <c r="F1094" s="5" t="str">
        <f aca="false">IF(C1094="","",IFERROR(VLOOKUP(C1094,EQUIPOS!$B$3:$G$18,6,0),""))</f>
        <v/>
      </c>
      <c r="G1094" s="8"/>
      <c r="H1094" s="5"/>
      <c r="I1094" s="5"/>
      <c r="J1094" s="9"/>
      <c r="K1094" s="17" t="str">
        <f aca="false">IF(H1094="","",IFERROR(SUMIFS(BD_PLAN!$I$3:$I$312,BD_PLAN!$B$3:$B$312,E1094,BD_PLAN!$C$3:$C$312,INDEX(BD_CICLO!$F$3:$F$54,MATCH(E1094&amp;"|"&amp;H1094,BD_CICLO!$G$3:$G$54,0))),""))</f>
        <v/>
      </c>
      <c r="L1094" s="9"/>
      <c r="M1094" s="9"/>
      <c r="N1094" s="1" t="str">
        <f aca="false">IF(C1094="","",C1094&amp;"|"&amp;COUNTIF(C$3:C1094,C1094))</f>
        <v/>
      </c>
      <c r="O1094" s="1" t="str">
        <f aca="false">IF(OR(C1094="",M1094=""),"",C1094&amp;"|"&amp;COUNTIFS(C$3:C1094,C1094,M$3:M1094,"&lt;&gt;"))</f>
        <v/>
      </c>
    </row>
    <row r="1095" customFormat="false" ht="15" hidden="false" customHeight="false" outlineLevel="0" collapsed="false">
      <c r="B1095" s="7"/>
      <c r="C1095" s="5"/>
      <c r="D1095" s="9" t="str">
        <f aca="false">IF(C1095="","",IFERROR(VLOOKUP(C1095,EQUIPOS!$B$3:$C$18,2,0),"NO EXISTE"))</f>
        <v/>
      </c>
      <c r="E1095" s="9" t="str">
        <f aca="false">IF(C1095="","",IFERROR(VLOOKUP(C1095,EQUIPOS!$B$3:$F$18,5,0),""))</f>
        <v/>
      </c>
      <c r="F1095" s="5" t="str">
        <f aca="false">IF(C1095="","",IFERROR(VLOOKUP(C1095,EQUIPOS!$B$3:$G$18,6,0),""))</f>
        <v/>
      </c>
      <c r="G1095" s="8"/>
      <c r="H1095" s="5"/>
      <c r="I1095" s="5"/>
      <c r="J1095" s="9"/>
      <c r="K1095" s="17" t="str">
        <f aca="false">IF(H1095="","",IFERROR(SUMIFS(BD_PLAN!$I$3:$I$312,BD_PLAN!$B$3:$B$312,E1095,BD_PLAN!$C$3:$C$312,INDEX(BD_CICLO!$F$3:$F$54,MATCH(E1095&amp;"|"&amp;H1095,BD_CICLO!$G$3:$G$54,0))),""))</f>
        <v/>
      </c>
      <c r="L1095" s="9"/>
      <c r="M1095" s="9"/>
      <c r="N1095" s="1" t="str">
        <f aca="false">IF(C1095="","",C1095&amp;"|"&amp;COUNTIF(C$3:C1095,C1095))</f>
        <v/>
      </c>
      <c r="O1095" s="1" t="str">
        <f aca="false">IF(OR(C1095="",M1095=""),"",C1095&amp;"|"&amp;COUNTIFS(C$3:C1095,C1095,M$3:M1095,"&lt;&gt;"))</f>
        <v/>
      </c>
    </row>
    <row r="1096" customFormat="false" ht="15" hidden="false" customHeight="false" outlineLevel="0" collapsed="false">
      <c r="B1096" s="7"/>
      <c r="C1096" s="5"/>
      <c r="D1096" s="9" t="str">
        <f aca="false">IF(C1096="","",IFERROR(VLOOKUP(C1096,EQUIPOS!$B$3:$C$18,2,0),"NO EXISTE"))</f>
        <v/>
      </c>
      <c r="E1096" s="9" t="str">
        <f aca="false">IF(C1096="","",IFERROR(VLOOKUP(C1096,EQUIPOS!$B$3:$F$18,5,0),""))</f>
        <v/>
      </c>
      <c r="F1096" s="5" t="str">
        <f aca="false">IF(C1096="","",IFERROR(VLOOKUP(C1096,EQUIPOS!$B$3:$G$18,6,0),""))</f>
        <v/>
      </c>
      <c r="G1096" s="8"/>
      <c r="H1096" s="5"/>
      <c r="I1096" s="5"/>
      <c r="J1096" s="9"/>
      <c r="K1096" s="17" t="str">
        <f aca="false">IF(H1096="","",IFERROR(SUMIFS(BD_PLAN!$I$3:$I$312,BD_PLAN!$B$3:$B$312,E1096,BD_PLAN!$C$3:$C$312,INDEX(BD_CICLO!$F$3:$F$54,MATCH(E1096&amp;"|"&amp;H1096,BD_CICLO!$G$3:$G$54,0))),""))</f>
        <v/>
      </c>
      <c r="L1096" s="9"/>
      <c r="M1096" s="9"/>
      <c r="N1096" s="1" t="str">
        <f aca="false">IF(C1096="","",C1096&amp;"|"&amp;COUNTIF(C$3:C1096,C1096))</f>
        <v/>
      </c>
      <c r="O1096" s="1" t="str">
        <f aca="false">IF(OR(C1096="",M1096=""),"",C1096&amp;"|"&amp;COUNTIFS(C$3:C1096,C1096,M$3:M1096,"&lt;&gt;"))</f>
        <v/>
      </c>
    </row>
    <row r="1097" customFormat="false" ht="15" hidden="false" customHeight="false" outlineLevel="0" collapsed="false">
      <c r="B1097" s="7"/>
      <c r="C1097" s="5"/>
      <c r="D1097" s="9" t="str">
        <f aca="false">IF(C1097="","",IFERROR(VLOOKUP(C1097,EQUIPOS!$B$3:$C$18,2,0),"NO EXISTE"))</f>
        <v/>
      </c>
      <c r="E1097" s="9" t="str">
        <f aca="false">IF(C1097="","",IFERROR(VLOOKUP(C1097,EQUIPOS!$B$3:$F$18,5,0),""))</f>
        <v/>
      </c>
      <c r="F1097" s="5" t="str">
        <f aca="false">IF(C1097="","",IFERROR(VLOOKUP(C1097,EQUIPOS!$B$3:$G$18,6,0),""))</f>
        <v/>
      </c>
      <c r="G1097" s="8"/>
      <c r="H1097" s="5"/>
      <c r="I1097" s="5"/>
      <c r="J1097" s="9"/>
      <c r="K1097" s="17" t="str">
        <f aca="false">IF(H1097="","",IFERROR(SUMIFS(BD_PLAN!$I$3:$I$312,BD_PLAN!$B$3:$B$312,E1097,BD_PLAN!$C$3:$C$312,INDEX(BD_CICLO!$F$3:$F$54,MATCH(E1097&amp;"|"&amp;H1097,BD_CICLO!$G$3:$G$54,0))),""))</f>
        <v/>
      </c>
      <c r="L1097" s="9"/>
      <c r="M1097" s="9"/>
      <c r="N1097" s="1" t="str">
        <f aca="false">IF(C1097="","",C1097&amp;"|"&amp;COUNTIF(C$3:C1097,C1097))</f>
        <v/>
      </c>
      <c r="O1097" s="1" t="str">
        <f aca="false">IF(OR(C1097="",M1097=""),"",C1097&amp;"|"&amp;COUNTIFS(C$3:C1097,C1097,M$3:M1097,"&lt;&gt;"))</f>
        <v/>
      </c>
    </row>
    <row r="1098" customFormat="false" ht="15" hidden="false" customHeight="false" outlineLevel="0" collapsed="false">
      <c r="B1098" s="7"/>
      <c r="C1098" s="5"/>
      <c r="D1098" s="9" t="str">
        <f aca="false">IF(C1098="","",IFERROR(VLOOKUP(C1098,EQUIPOS!$B$3:$C$18,2,0),"NO EXISTE"))</f>
        <v/>
      </c>
      <c r="E1098" s="9" t="str">
        <f aca="false">IF(C1098="","",IFERROR(VLOOKUP(C1098,EQUIPOS!$B$3:$F$18,5,0),""))</f>
        <v/>
      </c>
      <c r="F1098" s="5" t="str">
        <f aca="false">IF(C1098="","",IFERROR(VLOOKUP(C1098,EQUIPOS!$B$3:$G$18,6,0),""))</f>
        <v/>
      </c>
      <c r="G1098" s="8"/>
      <c r="H1098" s="5"/>
      <c r="I1098" s="5"/>
      <c r="J1098" s="9"/>
      <c r="K1098" s="17" t="str">
        <f aca="false">IF(H1098="","",IFERROR(SUMIFS(BD_PLAN!$I$3:$I$312,BD_PLAN!$B$3:$B$312,E1098,BD_PLAN!$C$3:$C$312,INDEX(BD_CICLO!$F$3:$F$54,MATCH(E1098&amp;"|"&amp;H1098,BD_CICLO!$G$3:$G$54,0))),""))</f>
        <v/>
      </c>
      <c r="L1098" s="9"/>
      <c r="M1098" s="9"/>
      <c r="N1098" s="1" t="str">
        <f aca="false">IF(C1098="","",C1098&amp;"|"&amp;COUNTIF(C$3:C1098,C1098))</f>
        <v/>
      </c>
      <c r="O1098" s="1" t="str">
        <f aca="false">IF(OR(C1098="",M1098=""),"",C1098&amp;"|"&amp;COUNTIFS(C$3:C1098,C1098,M$3:M1098,"&lt;&gt;"))</f>
        <v/>
      </c>
    </row>
    <row r="1099" customFormat="false" ht="15" hidden="false" customHeight="false" outlineLevel="0" collapsed="false">
      <c r="B1099" s="7"/>
      <c r="C1099" s="5"/>
      <c r="D1099" s="9" t="str">
        <f aca="false">IF(C1099="","",IFERROR(VLOOKUP(C1099,EQUIPOS!$B$3:$C$18,2,0),"NO EXISTE"))</f>
        <v/>
      </c>
      <c r="E1099" s="9" t="str">
        <f aca="false">IF(C1099="","",IFERROR(VLOOKUP(C1099,EQUIPOS!$B$3:$F$18,5,0),""))</f>
        <v/>
      </c>
      <c r="F1099" s="5" t="str">
        <f aca="false">IF(C1099="","",IFERROR(VLOOKUP(C1099,EQUIPOS!$B$3:$G$18,6,0),""))</f>
        <v/>
      </c>
      <c r="G1099" s="8"/>
      <c r="H1099" s="5"/>
      <c r="I1099" s="5"/>
      <c r="J1099" s="9"/>
      <c r="K1099" s="17" t="str">
        <f aca="false">IF(H1099="","",IFERROR(SUMIFS(BD_PLAN!$I$3:$I$312,BD_PLAN!$B$3:$B$312,E1099,BD_PLAN!$C$3:$C$312,INDEX(BD_CICLO!$F$3:$F$54,MATCH(E1099&amp;"|"&amp;H1099,BD_CICLO!$G$3:$G$54,0))),""))</f>
        <v/>
      </c>
      <c r="L1099" s="9"/>
      <c r="M1099" s="9"/>
      <c r="N1099" s="1" t="str">
        <f aca="false">IF(C1099="","",C1099&amp;"|"&amp;COUNTIF(C$3:C1099,C1099))</f>
        <v/>
      </c>
      <c r="O1099" s="1" t="str">
        <f aca="false">IF(OR(C1099="",M1099=""),"",C1099&amp;"|"&amp;COUNTIFS(C$3:C1099,C1099,M$3:M1099,"&lt;&gt;"))</f>
        <v/>
      </c>
    </row>
    <row r="1100" customFormat="false" ht="15" hidden="false" customHeight="false" outlineLevel="0" collapsed="false">
      <c r="B1100" s="7"/>
      <c r="C1100" s="5"/>
      <c r="D1100" s="9" t="str">
        <f aca="false">IF(C1100="","",IFERROR(VLOOKUP(C1100,EQUIPOS!$B$3:$C$18,2,0),"NO EXISTE"))</f>
        <v/>
      </c>
      <c r="E1100" s="9" t="str">
        <f aca="false">IF(C1100="","",IFERROR(VLOOKUP(C1100,EQUIPOS!$B$3:$F$18,5,0),""))</f>
        <v/>
      </c>
      <c r="F1100" s="5" t="str">
        <f aca="false">IF(C1100="","",IFERROR(VLOOKUP(C1100,EQUIPOS!$B$3:$G$18,6,0),""))</f>
        <v/>
      </c>
      <c r="G1100" s="8"/>
      <c r="H1100" s="5"/>
      <c r="I1100" s="5"/>
      <c r="J1100" s="9"/>
      <c r="K1100" s="17" t="str">
        <f aca="false">IF(H1100="","",IFERROR(SUMIFS(BD_PLAN!$I$3:$I$312,BD_PLAN!$B$3:$B$312,E1100,BD_PLAN!$C$3:$C$312,INDEX(BD_CICLO!$F$3:$F$54,MATCH(E1100&amp;"|"&amp;H1100,BD_CICLO!$G$3:$G$54,0))),""))</f>
        <v/>
      </c>
      <c r="L1100" s="9"/>
      <c r="M1100" s="9"/>
      <c r="N1100" s="1" t="str">
        <f aca="false">IF(C1100="","",C1100&amp;"|"&amp;COUNTIF(C$3:C1100,C1100))</f>
        <v/>
      </c>
      <c r="O1100" s="1" t="str">
        <f aca="false">IF(OR(C1100="",M1100=""),"",C1100&amp;"|"&amp;COUNTIFS(C$3:C1100,C1100,M$3:M1100,"&lt;&gt;"))</f>
        <v/>
      </c>
    </row>
    <row r="1101" customFormat="false" ht="15" hidden="false" customHeight="false" outlineLevel="0" collapsed="false">
      <c r="B1101" s="7"/>
      <c r="C1101" s="5"/>
      <c r="D1101" s="9" t="str">
        <f aca="false">IF(C1101="","",IFERROR(VLOOKUP(C1101,EQUIPOS!$B$3:$C$18,2,0),"NO EXISTE"))</f>
        <v/>
      </c>
      <c r="E1101" s="9" t="str">
        <f aca="false">IF(C1101="","",IFERROR(VLOOKUP(C1101,EQUIPOS!$B$3:$F$18,5,0),""))</f>
        <v/>
      </c>
      <c r="F1101" s="5" t="str">
        <f aca="false">IF(C1101="","",IFERROR(VLOOKUP(C1101,EQUIPOS!$B$3:$G$18,6,0),""))</f>
        <v/>
      </c>
      <c r="G1101" s="8"/>
      <c r="H1101" s="5"/>
      <c r="I1101" s="5"/>
      <c r="J1101" s="9"/>
      <c r="K1101" s="17" t="str">
        <f aca="false">IF(H1101="","",IFERROR(SUMIFS(BD_PLAN!$I$3:$I$312,BD_PLAN!$B$3:$B$312,E1101,BD_PLAN!$C$3:$C$312,INDEX(BD_CICLO!$F$3:$F$54,MATCH(E1101&amp;"|"&amp;H1101,BD_CICLO!$G$3:$G$54,0))),""))</f>
        <v/>
      </c>
      <c r="L1101" s="9"/>
      <c r="M1101" s="9"/>
      <c r="N1101" s="1" t="str">
        <f aca="false">IF(C1101="","",C1101&amp;"|"&amp;COUNTIF(C$3:C1101,C1101))</f>
        <v/>
      </c>
      <c r="O1101" s="1" t="str">
        <f aca="false">IF(OR(C1101="",M1101=""),"",C1101&amp;"|"&amp;COUNTIFS(C$3:C1101,C1101,M$3:M1101,"&lt;&gt;"))</f>
        <v/>
      </c>
    </row>
    <row r="1102" customFormat="false" ht="15" hidden="false" customHeight="false" outlineLevel="0" collapsed="false">
      <c r="B1102" s="7"/>
      <c r="C1102" s="5"/>
      <c r="D1102" s="9" t="str">
        <f aca="false">IF(C1102="","",IFERROR(VLOOKUP(C1102,EQUIPOS!$B$3:$C$18,2,0),"NO EXISTE"))</f>
        <v/>
      </c>
      <c r="E1102" s="9" t="str">
        <f aca="false">IF(C1102="","",IFERROR(VLOOKUP(C1102,EQUIPOS!$B$3:$F$18,5,0),""))</f>
        <v/>
      </c>
      <c r="F1102" s="5" t="str">
        <f aca="false">IF(C1102="","",IFERROR(VLOOKUP(C1102,EQUIPOS!$B$3:$G$18,6,0),""))</f>
        <v/>
      </c>
      <c r="G1102" s="8"/>
      <c r="H1102" s="5"/>
      <c r="I1102" s="5"/>
      <c r="J1102" s="9"/>
      <c r="K1102" s="17" t="str">
        <f aca="false">IF(H1102="","",IFERROR(SUMIFS(BD_PLAN!$I$3:$I$312,BD_PLAN!$B$3:$B$312,E1102,BD_PLAN!$C$3:$C$312,INDEX(BD_CICLO!$F$3:$F$54,MATCH(E1102&amp;"|"&amp;H1102,BD_CICLO!$G$3:$G$54,0))),""))</f>
        <v/>
      </c>
      <c r="L1102" s="9"/>
      <c r="M1102" s="9"/>
      <c r="N1102" s="1" t="str">
        <f aca="false">IF(C1102="","",C1102&amp;"|"&amp;COUNTIF(C$3:C1102,C1102))</f>
        <v/>
      </c>
      <c r="O1102" s="1" t="str">
        <f aca="false">IF(OR(C1102="",M1102=""),"",C1102&amp;"|"&amp;COUNTIFS(C$3:C1102,C1102,M$3:M1102,"&lt;&gt;"))</f>
        <v/>
      </c>
    </row>
    <row r="1103" customFormat="false" ht="15" hidden="false" customHeight="false" outlineLevel="0" collapsed="false">
      <c r="B1103" s="7"/>
      <c r="C1103" s="5"/>
      <c r="D1103" s="9" t="str">
        <f aca="false">IF(C1103="","",IFERROR(VLOOKUP(C1103,EQUIPOS!$B$3:$C$18,2,0),"NO EXISTE"))</f>
        <v/>
      </c>
      <c r="E1103" s="9" t="str">
        <f aca="false">IF(C1103="","",IFERROR(VLOOKUP(C1103,EQUIPOS!$B$3:$F$18,5,0),""))</f>
        <v/>
      </c>
      <c r="F1103" s="5" t="str">
        <f aca="false">IF(C1103="","",IFERROR(VLOOKUP(C1103,EQUIPOS!$B$3:$G$18,6,0),""))</f>
        <v/>
      </c>
      <c r="G1103" s="8"/>
      <c r="H1103" s="5"/>
      <c r="I1103" s="5"/>
      <c r="J1103" s="9"/>
      <c r="K1103" s="17" t="str">
        <f aca="false">IF(H1103="","",IFERROR(SUMIFS(BD_PLAN!$I$3:$I$312,BD_PLAN!$B$3:$B$312,E1103,BD_PLAN!$C$3:$C$312,INDEX(BD_CICLO!$F$3:$F$54,MATCH(E1103&amp;"|"&amp;H1103,BD_CICLO!$G$3:$G$54,0))),""))</f>
        <v/>
      </c>
      <c r="L1103" s="9"/>
      <c r="M1103" s="9"/>
      <c r="N1103" s="1" t="str">
        <f aca="false">IF(C1103="","",C1103&amp;"|"&amp;COUNTIF(C$3:C1103,C1103))</f>
        <v/>
      </c>
      <c r="O1103" s="1" t="str">
        <f aca="false">IF(OR(C1103="",M1103=""),"",C1103&amp;"|"&amp;COUNTIFS(C$3:C1103,C1103,M$3:M1103,"&lt;&gt;"))</f>
        <v/>
      </c>
    </row>
    <row r="1104" customFormat="false" ht="15" hidden="false" customHeight="false" outlineLevel="0" collapsed="false">
      <c r="B1104" s="7"/>
      <c r="C1104" s="5"/>
      <c r="D1104" s="9" t="str">
        <f aca="false">IF(C1104="","",IFERROR(VLOOKUP(C1104,EQUIPOS!$B$3:$C$18,2,0),"NO EXISTE"))</f>
        <v/>
      </c>
      <c r="E1104" s="9" t="str">
        <f aca="false">IF(C1104="","",IFERROR(VLOOKUP(C1104,EQUIPOS!$B$3:$F$18,5,0),""))</f>
        <v/>
      </c>
      <c r="F1104" s="5" t="str">
        <f aca="false">IF(C1104="","",IFERROR(VLOOKUP(C1104,EQUIPOS!$B$3:$G$18,6,0),""))</f>
        <v/>
      </c>
      <c r="G1104" s="8"/>
      <c r="H1104" s="5"/>
      <c r="I1104" s="5"/>
      <c r="J1104" s="9"/>
      <c r="K1104" s="17" t="str">
        <f aca="false">IF(H1104="","",IFERROR(SUMIFS(BD_PLAN!$I$3:$I$312,BD_PLAN!$B$3:$B$312,E1104,BD_PLAN!$C$3:$C$312,INDEX(BD_CICLO!$F$3:$F$54,MATCH(E1104&amp;"|"&amp;H1104,BD_CICLO!$G$3:$G$54,0))),""))</f>
        <v/>
      </c>
      <c r="L1104" s="9"/>
      <c r="M1104" s="9"/>
      <c r="N1104" s="1" t="str">
        <f aca="false">IF(C1104="","",C1104&amp;"|"&amp;COUNTIF(C$3:C1104,C1104))</f>
        <v/>
      </c>
      <c r="O1104" s="1" t="str">
        <f aca="false">IF(OR(C1104="",M1104=""),"",C1104&amp;"|"&amp;COUNTIFS(C$3:C1104,C1104,M$3:M1104,"&lt;&gt;"))</f>
        <v/>
      </c>
    </row>
    <row r="1105" customFormat="false" ht="15" hidden="false" customHeight="false" outlineLevel="0" collapsed="false">
      <c r="B1105" s="7"/>
      <c r="C1105" s="5"/>
      <c r="D1105" s="9" t="str">
        <f aca="false">IF(C1105="","",IFERROR(VLOOKUP(C1105,EQUIPOS!$B$3:$C$18,2,0),"NO EXISTE"))</f>
        <v/>
      </c>
      <c r="E1105" s="9" t="str">
        <f aca="false">IF(C1105="","",IFERROR(VLOOKUP(C1105,EQUIPOS!$B$3:$F$18,5,0),""))</f>
        <v/>
      </c>
      <c r="F1105" s="5" t="str">
        <f aca="false">IF(C1105="","",IFERROR(VLOOKUP(C1105,EQUIPOS!$B$3:$G$18,6,0),""))</f>
        <v/>
      </c>
      <c r="G1105" s="8"/>
      <c r="H1105" s="5"/>
      <c r="I1105" s="5"/>
      <c r="J1105" s="9"/>
      <c r="K1105" s="17" t="str">
        <f aca="false">IF(H1105="","",IFERROR(SUMIFS(BD_PLAN!$I$3:$I$312,BD_PLAN!$B$3:$B$312,E1105,BD_PLAN!$C$3:$C$312,INDEX(BD_CICLO!$F$3:$F$54,MATCH(E1105&amp;"|"&amp;H1105,BD_CICLO!$G$3:$G$54,0))),""))</f>
        <v/>
      </c>
      <c r="L1105" s="9"/>
      <c r="M1105" s="9"/>
      <c r="N1105" s="1" t="str">
        <f aca="false">IF(C1105="","",C1105&amp;"|"&amp;COUNTIF(C$3:C1105,C1105))</f>
        <v/>
      </c>
      <c r="O1105" s="1" t="str">
        <f aca="false">IF(OR(C1105="",M1105=""),"",C1105&amp;"|"&amp;COUNTIFS(C$3:C1105,C1105,M$3:M1105,"&lt;&gt;"))</f>
        <v/>
      </c>
    </row>
    <row r="1106" customFormat="false" ht="15" hidden="false" customHeight="false" outlineLevel="0" collapsed="false">
      <c r="B1106" s="7"/>
      <c r="C1106" s="5"/>
      <c r="D1106" s="9" t="str">
        <f aca="false">IF(C1106="","",IFERROR(VLOOKUP(C1106,EQUIPOS!$B$3:$C$18,2,0),"NO EXISTE"))</f>
        <v/>
      </c>
      <c r="E1106" s="9" t="str">
        <f aca="false">IF(C1106="","",IFERROR(VLOOKUP(C1106,EQUIPOS!$B$3:$F$18,5,0),""))</f>
        <v/>
      </c>
      <c r="F1106" s="5" t="str">
        <f aca="false">IF(C1106="","",IFERROR(VLOOKUP(C1106,EQUIPOS!$B$3:$G$18,6,0),""))</f>
        <v/>
      </c>
      <c r="G1106" s="8"/>
      <c r="H1106" s="5"/>
      <c r="I1106" s="5"/>
      <c r="J1106" s="9"/>
      <c r="K1106" s="17" t="str">
        <f aca="false">IF(H1106="","",IFERROR(SUMIFS(BD_PLAN!$I$3:$I$312,BD_PLAN!$B$3:$B$312,E1106,BD_PLAN!$C$3:$C$312,INDEX(BD_CICLO!$F$3:$F$54,MATCH(E1106&amp;"|"&amp;H1106,BD_CICLO!$G$3:$G$54,0))),""))</f>
        <v/>
      </c>
      <c r="L1106" s="9"/>
      <c r="M1106" s="9"/>
      <c r="N1106" s="1" t="str">
        <f aca="false">IF(C1106="","",C1106&amp;"|"&amp;COUNTIF(C$3:C1106,C1106))</f>
        <v/>
      </c>
      <c r="O1106" s="1" t="str">
        <f aca="false">IF(OR(C1106="",M1106=""),"",C1106&amp;"|"&amp;COUNTIFS(C$3:C1106,C1106,M$3:M1106,"&lt;&gt;"))</f>
        <v/>
      </c>
    </row>
    <row r="1107" customFormat="false" ht="15" hidden="false" customHeight="false" outlineLevel="0" collapsed="false">
      <c r="B1107" s="7"/>
      <c r="C1107" s="5"/>
      <c r="D1107" s="9" t="str">
        <f aca="false">IF(C1107="","",IFERROR(VLOOKUP(C1107,EQUIPOS!$B$3:$C$18,2,0),"NO EXISTE"))</f>
        <v/>
      </c>
      <c r="E1107" s="9" t="str">
        <f aca="false">IF(C1107="","",IFERROR(VLOOKUP(C1107,EQUIPOS!$B$3:$F$18,5,0),""))</f>
        <v/>
      </c>
      <c r="F1107" s="5" t="str">
        <f aca="false">IF(C1107="","",IFERROR(VLOOKUP(C1107,EQUIPOS!$B$3:$G$18,6,0),""))</f>
        <v/>
      </c>
      <c r="G1107" s="8"/>
      <c r="H1107" s="5"/>
      <c r="I1107" s="5"/>
      <c r="J1107" s="9"/>
      <c r="K1107" s="17" t="str">
        <f aca="false">IF(H1107="","",IFERROR(SUMIFS(BD_PLAN!$I$3:$I$312,BD_PLAN!$B$3:$B$312,E1107,BD_PLAN!$C$3:$C$312,INDEX(BD_CICLO!$F$3:$F$54,MATCH(E1107&amp;"|"&amp;H1107,BD_CICLO!$G$3:$G$54,0))),""))</f>
        <v/>
      </c>
      <c r="L1107" s="9"/>
      <c r="M1107" s="9"/>
      <c r="N1107" s="1" t="str">
        <f aca="false">IF(C1107="","",C1107&amp;"|"&amp;COUNTIF(C$3:C1107,C1107))</f>
        <v/>
      </c>
      <c r="O1107" s="1" t="str">
        <f aca="false">IF(OR(C1107="",M1107=""),"",C1107&amp;"|"&amp;COUNTIFS(C$3:C1107,C1107,M$3:M1107,"&lt;&gt;"))</f>
        <v/>
      </c>
    </row>
    <row r="1108" customFormat="false" ht="15" hidden="false" customHeight="false" outlineLevel="0" collapsed="false">
      <c r="B1108" s="7"/>
      <c r="C1108" s="5"/>
      <c r="D1108" s="9" t="str">
        <f aca="false">IF(C1108="","",IFERROR(VLOOKUP(C1108,EQUIPOS!$B$3:$C$18,2,0),"NO EXISTE"))</f>
        <v/>
      </c>
      <c r="E1108" s="9" t="str">
        <f aca="false">IF(C1108="","",IFERROR(VLOOKUP(C1108,EQUIPOS!$B$3:$F$18,5,0),""))</f>
        <v/>
      </c>
      <c r="F1108" s="5" t="str">
        <f aca="false">IF(C1108="","",IFERROR(VLOOKUP(C1108,EQUIPOS!$B$3:$G$18,6,0),""))</f>
        <v/>
      </c>
      <c r="G1108" s="8"/>
      <c r="H1108" s="5"/>
      <c r="I1108" s="5"/>
      <c r="J1108" s="9"/>
      <c r="K1108" s="17" t="str">
        <f aca="false">IF(H1108="","",IFERROR(SUMIFS(BD_PLAN!$I$3:$I$312,BD_PLAN!$B$3:$B$312,E1108,BD_PLAN!$C$3:$C$312,INDEX(BD_CICLO!$F$3:$F$54,MATCH(E1108&amp;"|"&amp;H1108,BD_CICLO!$G$3:$G$54,0))),""))</f>
        <v/>
      </c>
      <c r="L1108" s="9"/>
      <c r="M1108" s="9"/>
      <c r="N1108" s="1" t="str">
        <f aca="false">IF(C1108="","",C1108&amp;"|"&amp;COUNTIF(C$3:C1108,C1108))</f>
        <v/>
      </c>
      <c r="O1108" s="1" t="str">
        <f aca="false">IF(OR(C1108="",M1108=""),"",C1108&amp;"|"&amp;COUNTIFS(C$3:C1108,C1108,M$3:M1108,"&lt;&gt;"))</f>
        <v/>
      </c>
    </row>
    <row r="1109" customFormat="false" ht="15" hidden="false" customHeight="false" outlineLevel="0" collapsed="false">
      <c r="B1109" s="7"/>
      <c r="C1109" s="5"/>
      <c r="D1109" s="9" t="str">
        <f aca="false">IF(C1109="","",IFERROR(VLOOKUP(C1109,EQUIPOS!$B$3:$C$18,2,0),"NO EXISTE"))</f>
        <v/>
      </c>
      <c r="E1109" s="9" t="str">
        <f aca="false">IF(C1109="","",IFERROR(VLOOKUP(C1109,EQUIPOS!$B$3:$F$18,5,0),""))</f>
        <v/>
      </c>
      <c r="F1109" s="5" t="str">
        <f aca="false">IF(C1109="","",IFERROR(VLOOKUP(C1109,EQUIPOS!$B$3:$G$18,6,0),""))</f>
        <v/>
      </c>
      <c r="G1109" s="8"/>
      <c r="H1109" s="5"/>
      <c r="I1109" s="5"/>
      <c r="J1109" s="9"/>
      <c r="K1109" s="17" t="str">
        <f aca="false">IF(H1109="","",IFERROR(SUMIFS(BD_PLAN!$I$3:$I$312,BD_PLAN!$B$3:$B$312,E1109,BD_PLAN!$C$3:$C$312,INDEX(BD_CICLO!$F$3:$F$54,MATCH(E1109&amp;"|"&amp;H1109,BD_CICLO!$G$3:$G$54,0))),""))</f>
        <v/>
      </c>
      <c r="L1109" s="9"/>
      <c r="M1109" s="9"/>
      <c r="N1109" s="1" t="str">
        <f aca="false">IF(C1109="","",C1109&amp;"|"&amp;COUNTIF(C$3:C1109,C1109))</f>
        <v/>
      </c>
      <c r="O1109" s="1" t="str">
        <f aca="false">IF(OR(C1109="",M1109=""),"",C1109&amp;"|"&amp;COUNTIFS(C$3:C1109,C1109,M$3:M1109,"&lt;&gt;"))</f>
        <v/>
      </c>
    </row>
    <row r="1110" customFormat="false" ht="15" hidden="false" customHeight="false" outlineLevel="0" collapsed="false">
      <c r="B1110" s="7"/>
      <c r="C1110" s="5"/>
      <c r="D1110" s="9" t="str">
        <f aca="false">IF(C1110="","",IFERROR(VLOOKUP(C1110,EQUIPOS!$B$3:$C$18,2,0),"NO EXISTE"))</f>
        <v/>
      </c>
      <c r="E1110" s="9" t="str">
        <f aca="false">IF(C1110="","",IFERROR(VLOOKUP(C1110,EQUIPOS!$B$3:$F$18,5,0),""))</f>
        <v/>
      </c>
      <c r="F1110" s="5" t="str">
        <f aca="false">IF(C1110="","",IFERROR(VLOOKUP(C1110,EQUIPOS!$B$3:$G$18,6,0),""))</f>
        <v/>
      </c>
      <c r="G1110" s="8"/>
      <c r="H1110" s="5"/>
      <c r="I1110" s="5"/>
      <c r="J1110" s="9"/>
      <c r="K1110" s="17" t="str">
        <f aca="false">IF(H1110="","",IFERROR(SUMIFS(BD_PLAN!$I$3:$I$312,BD_PLAN!$B$3:$B$312,E1110,BD_PLAN!$C$3:$C$312,INDEX(BD_CICLO!$F$3:$F$54,MATCH(E1110&amp;"|"&amp;H1110,BD_CICLO!$G$3:$G$54,0))),""))</f>
        <v/>
      </c>
      <c r="L1110" s="9"/>
      <c r="M1110" s="9"/>
      <c r="N1110" s="1" t="str">
        <f aca="false">IF(C1110="","",C1110&amp;"|"&amp;COUNTIF(C$3:C1110,C1110))</f>
        <v/>
      </c>
      <c r="O1110" s="1" t="str">
        <f aca="false">IF(OR(C1110="",M1110=""),"",C1110&amp;"|"&amp;COUNTIFS(C$3:C1110,C1110,M$3:M1110,"&lt;&gt;"))</f>
        <v/>
      </c>
    </row>
    <row r="1111" customFormat="false" ht="15" hidden="false" customHeight="false" outlineLevel="0" collapsed="false">
      <c r="B1111" s="7"/>
      <c r="C1111" s="5"/>
      <c r="D1111" s="9" t="str">
        <f aca="false">IF(C1111="","",IFERROR(VLOOKUP(C1111,EQUIPOS!$B$3:$C$18,2,0),"NO EXISTE"))</f>
        <v/>
      </c>
      <c r="E1111" s="9" t="str">
        <f aca="false">IF(C1111="","",IFERROR(VLOOKUP(C1111,EQUIPOS!$B$3:$F$18,5,0),""))</f>
        <v/>
      </c>
      <c r="F1111" s="5" t="str">
        <f aca="false">IF(C1111="","",IFERROR(VLOOKUP(C1111,EQUIPOS!$B$3:$G$18,6,0),""))</f>
        <v/>
      </c>
      <c r="G1111" s="8"/>
      <c r="H1111" s="5"/>
      <c r="I1111" s="5"/>
      <c r="J1111" s="9"/>
      <c r="K1111" s="17" t="str">
        <f aca="false">IF(H1111="","",IFERROR(SUMIFS(BD_PLAN!$I$3:$I$312,BD_PLAN!$B$3:$B$312,E1111,BD_PLAN!$C$3:$C$312,INDEX(BD_CICLO!$F$3:$F$54,MATCH(E1111&amp;"|"&amp;H1111,BD_CICLO!$G$3:$G$54,0))),""))</f>
        <v/>
      </c>
      <c r="L1111" s="9"/>
      <c r="M1111" s="9"/>
      <c r="N1111" s="1" t="str">
        <f aca="false">IF(C1111="","",C1111&amp;"|"&amp;COUNTIF(C$3:C1111,C1111))</f>
        <v/>
      </c>
      <c r="O1111" s="1" t="str">
        <f aca="false">IF(OR(C1111="",M1111=""),"",C1111&amp;"|"&amp;COUNTIFS(C$3:C1111,C1111,M$3:M1111,"&lt;&gt;"))</f>
        <v/>
      </c>
    </row>
    <row r="1112" customFormat="false" ht="15" hidden="false" customHeight="false" outlineLevel="0" collapsed="false">
      <c r="B1112" s="7"/>
      <c r="C1112" s="5"/>
      <c r="D1112" s="9" t="str">
        <f aca="false">IF(C1112="","",IFERROR(VLOOKUP(C1112,EQUIPOS!$B$3:$C$18,2,0),"NO EXISTE"))</f>
        <v/>
      </c>
      <c r="E1112" s="9" t="str">
        <f aca="false">IF(C1112="","",IFERROR(VLOOKUP(C1112,EQUIPOS!$B$3:$F$18,5,0),""))</f>
        <v/>
      </c>
      <c r="F1112" s="5" t="str">
        <f aca="false">IF(C1112="","",IFERROR(VLOOKUP(C1112,EQUIPOS!$B$3:$G$18,6,0),""))</f>
        <v/>
      </c>
      <c r="G1112" s="8"/>
      <c r="H1112" s="5"/>
      <c r="I1112" s="5"/>
      <c r="J1112" s="9"/>
      <c r="K1112" s="17" t="str">
        <f aca="false">IF(H1112="","",IFERROR(SUMIFS(BD_PLAN!$I$3:$I$312,BD_PLAN!$B$3:$B$312,E1112,BD_PLAN!$C$3:$C$312,INDEX(BD_CICLO!$F$3:$F$54,MATCH(E1112&amp;"|"&amp;H1112,BD_CICLO!$G$3:$G$54,0))),""))</f>
        <v/>
      </c>
      <c r="L1112" s="9"/>
      <c r="M1112" s="9"/>
      <c r="N1112" s="1" t="str">
        <f aca="false">IF(C1112="","",C1112&amp;"|"&amp;COUNTIF(C$3:C1112,C1112))</f>
        <v/>
      </c>
      <c r="O1112" s="1" t="str">
        <f aca="false">IF(OR(C1112="",M1112=""),"",C1112&amp;"|"&amp;COUNTIFS(C$3:C1112,C1112,M$3:M1112,"&lt;&gt;"))</f>
        <v/>
      </c>
    </row>
    <row r="1113" customFormat="false" ht="15" hidden="false" customHeight="false" outlineLevel="0" collapsed="false">
      <c r="B1113" s="7"/>
      <c r="C1113" s="5"/>
      <c r="D1113" s="9" t="str">
        <f aca="false">IF(C1113="","",IFERROR(VLOOKUP(C1113,EQUIPOS!$B$3:$C$18,2,0),"NO EXISTE"))</f>
        <v/>
      </c>
      <c r="E1113" s="9" t="str">
        <f aca="false">IF(C1113="","",IFERROR(VLOOKUP(C1113,EQUIPOS!$B$3:$F$18,5,0),""))</f>
        <v/>
      </c>
      <c r="F1113" s="5" t="str">
        <f aca="false">IF(C1113="","",IFERROR(VLOOKUP(C1113,EQUIPOS!$B$3:$G$18,6,0),""))</f>
        <v/>
      </c>
      <c r="G1113" s="8"/>
      <c r="H1113" s="5"/>
      <c r="I1113" s="5"/>
      <c r="J1113" s="9"/>
      <c r="K1113" s="17" t="str">
        <f aca="false">IF(H1113="","",IFERROR(SUMIFS(BD_PLAN!$I$3:$I$312,BD_PLAN!$B$3:$B$312,E1113,BD_PLAN!$C$3:$C$312,INDEX(BD_CICLO!$F$3:$F$54,MATCH(E1113&amp;"|"&amp;H1113,BD_CICLO!$G$3:$G$54,0))),""))</f>
        <v/>
      </c>
      <c r="L1113" s="9"/>
      <c r="M1113" s="9"/>
      <c r="N1113" s="1" t="str">
        <f aca="false">IF(C1113="","",C1113&amp;"|"&amp;COUNTIF(C$3:C1113,C1113))</f>
        <v/>
      </c>
      <c r="O1113" s="1" t="str">
        <f aca="false">IF(OR(C1113="",M1113=""),"",C1113&amp;"|"&amp;COUNTIFS(C$3:C1113,C1113,M$3:M1113,"&lt;&gt;"))</f>
        <v/>
      </c>
    </row>
    <row r="1114" customFormat="false" ht="15" hidden="false" customHeight="false" outlineLevel="0" collapsed="false">
      <c r="B1114" s="7"/>
      <c r="C1114" s="5"/>
      <c r="D1114" s="9" t="str">
        <f aca="false">IF(C1114="","",IFERROR(VLOOKUP(C1114,EQUIPOS!$B$3:$C$18,2,0),"NO EXISTE"))</f>
        <v/>
      </c>
      <c r="E1114" s="9" t="str">
        <f aca="false">IF(C1114="","",IFERROR(VLOOKUP(C1114,EQUIPOS!$B$3:$F$18,5,0),""))</f>
        <v/>
      </c>
      <c r="F1114" s="5" t="str">
        <f aca="false">IF(C1114="","",IFERROR(VLOOKUP(C1114,EQUIPOS!$B$3:$G$18,6,0),""))</f>
        <v/>
      </c>
      <c r="G1114" s="8"/>
      <c r="H1114" s="5"/>
      <c r="I1114" s="5"/>
      <c r="J1114" s="9"/>
      <c r="K1114" s="17" t="str">
        <f aca="false">IF(H1114="","",IFERROR(SUMIFS(BD_PLAN!$I$3:$I$312,BD_PLAN!$B$3:$B$312,E1114,BD_PLAN!$C$3:$C$312,INDEX(BD_CICLO!$F$3:$F$54,MATCH(E1114&amp;"|"&amp;H1114,BD_CICLO!$G$3:$G$54,0))),""))</f>
        <v/>
      </c>
      <c r="L1114" s="9"/>
      <c r="M1114" s="9"/>
      <c r="N1114" s="1" t="str">
        <f aca="false">IF(C1114="","",C1114&amp;"|"&amp;COUNTIF(C$3:C1114,C1114))</f>
        <v/>
      </c>
      <c r="O1114" s="1" t="str">
        <f aca="false">IF(OR(C1114="",M1114=""),"",C1114&amp;"|"&amp;COUNTIFS(C$3:C1114,C1114,M$3:M1114,"&lt;&gt;"))</f>
        <v/>
      </c>
    </row>
    <row r="1115" customFormat="false" ht="15" hidden="false" customHeight="false" outlineLevel="0" collapsed="false">
      <c r="B1115" s="7"/>
      <c r="C1115" s="5"/>
      <c r="D1115" s="9" t="str">
        <f aca="false">IF(C1115="","",IFERROR(VLOOKUP(C1115,EQUIPOS!$B$3:$C$18,2,0),"NO EXISTE"))</f>
        <v/>
      </c>
      <c r="E1115" s="9" t="str">
        <f aca="false">IF(C1115="","",IFERROR(VLOOKUP(C1115,EQUIPOS!$B$3:$F$18,5,0),""))</f>
        <v/>
      </c>
      <c r="F1115" s="5" t="str">
        <f aca="false">IF(C1115="","",IFERROR(VLOOKUP(C1115,EQUIPOS!$B$3:$G$18,6,0),""))</f>
        <v/>
      </c>
      <c r="G1115" s="8"/>
      <c r="H1115" s="5"/>
      <c r="I1115" s="5"/>
      <c r="J1115" s="9"/>
      <c r="K1115" s="17" t="str">
        <f aca="false">IF(H1115="","",IFERROR(SUMIFS(BD_PLAN!$I$3:$I$312,BD_PLAN!$B$3:$B$312,E1115,BD_PLAN!$C$3:$C$312,INDEX(BD_CICLO!$F$3:$F$54,MATCH(E1115&amp;"|"&amp;H1115,BD_CICLO!$G$3:$G$54,0))),""))</f>
        <v/>
      </c>
      <c r="L1115" s="9"/>
      <c r="M1115" s="9"/>
      <c r="N1115" s="1" t="str">
        <f aca="false">IF(C1115="","",C1115&amp;"|"&amp;COUNTIF(C$3:C1115,C1115))</f>
        <v/>
      </c>
      <c r="O1115" s="1" t="str">
        <f aca="false">IF(OR(C1115="",M1115=""),"",C1115&amp;"|"&amp;COUNTIFS(C$3:C1115,C1115,M$3:M1115,"&lt;&gt;"))</f>
        <v/>
      </c>
    </row>
    <row r="1116" customFormat="false" ht="15" hidden="false" customHeight="false" outlineLevel="0" collapsed="false">
      <c r="B1116" s="7"/>
      <c r="C1116" s="5"/>
      <c r="D1116" s="9" t="str">
        <f aca="false">IF(C1116="","",IFERROR(VLOOKUP(C1116,EQUIPOS!$B$3:$C$18,2,0),"NO EXISTE"))</f>
        <v/>
      </c>
      <c r="E1116" s="9" t="str">
        <f aca="false">IF(C1116="","",IFERROR(VLOOKUP(C1116,EQUIPOS!$B$3:$F$18,5,0),""))</f>
        <v/>
      </c>
      <c r="F1116" s="5" t="str">
        <f aca="false">IF(C1116="","",IFERROR(VLOOKUP(C1116,EQUIPOS!$B$3:$G$18,6,0),""))</f>
        <v/>
      </c>
      <c r="G1116" s="8"/>
      <c r="H1116" s="5"/>
      <c r="I1116" s="5"/>
      <c r="J1116" s="9"/>
      <c r="K1116" s="17" t="str">
        <f aca="false">IF(H1116="","",IFERROR(SUMIFS(BD_PLAN!$I$3:$I$312,BD_PLAN!$B$3:$B$312,E1116,BD_PLAN!$C$3:$C$312,INDEX(BD_CICLO!$F$3:$F$54,MATCH(E1116&amp;"|"&amp;H1116,BD_CICLO!$G$3:$G$54,0))),""))</f>
        <v/>
      </c>
      <c r="L1116" s="9"/>
      <c r="M1116" s="9"/>
      <c r="N1116" s="1" t="str">
        <f aca="false">IF(C1116="","",C1116&amp;"|"&amp;COUNTIF(C$3:C1116,C1116))</f>
        <v/>
      </c>
      <c r="O1116" s="1" t="str">
        <f aca="false">IF(OR(C1116="",M1116=""),"",C1116&amp;"|"&amp;COUNTIFS(C$3:C1116,C1116,M$3:M1116,"&lt;&gt;"))</f>
        <v/>
      </c>
    </row>
    <row r="1117" customFormat="false" ht="15" hidden="false" customHeight="false" outlineLevel="0" collapsed="false">
      <c r="B1117" s="7"/>
      <c r="C1117" s="5"/>
      <c r="D1117" s="9" t="str">
        <f aca="false">IF(C1117="","",IFERROR(VLOOKUP(C1117,EQUIPOS!$B$3:$C$18,2,0),"NO EXISTE"))</f>
        <v/>
      </c>
      <c r="E1117" s="9" t="str">
        <f aca="false">IF(C1117="","",IFERROR(VLOOKUP(C1117,EQUIPOS!$B$3:$F$18,5,0),""))</f>
        <v/>
      </c>
      <c r="F1117" s="5" t="str">
        <f aca="false">IF(C1117="","",IFERROR(VLOOKUP(C1117,EQUIPOS!$B$3:$G$18,6,0),""))</f>
        <v/>
      </c>
      <c r="G1117" s="8"/>
      <c r="H1117" s="5"/>
      <c r="I1117" s="5"/>
      <c r="J1117" s="9"/>
      <c r="K1117" s="17" t="str">
        <f aca="false">IF(H1117="","",IFERROR(SUMIFS(BD_PLAN!$I$3:$I$312,BD_PLAN!$B$3:$B$312,E1117,BD_PLAN!$C$3:$C$312,INDEX(BD_CICLO!$F$3:$F$54,MATCH(E1117&amp;"|"&amp;H1117,BD_CICLO!$G$3:$G$54,0))),""))</f>
        <v/>
      </c>
      <c r="L1117" s="9"/>
      <c r="M1117" s="9"/>
      <c r="N1117" s="1" t="str">
        <f aca="false">IF(C1117="","",C1117&amp;"|"&amp;COUNTIF(C$3:C1117,C1117))</f>
        <v/>
      </c>
      <c r="O1117" s="1" t="str">
        <f aca="false">IF(OR(C1117="",M1117=""),"",C1117&amp;"|"&amp;COUNTIFS(C$3:C1117,C1117,M$3:M1117,"&lt;&gt;"))</f>
        <v/>
      </c>
    </row>
    <row r="1118" customFormat="false" ht="15" hidden="false" customHeight="false" outlineLevel="0" collapsed="false">
      <c r="B1118" s="7"/>
      <c r="C1118" s="5"/>
      <c r="D1118" s="9" t="str">
        <f aca="false">IF(C1118="","",IFERROR(VLOOKUP(C1118,EQUIPOS!$B$3:$C$18,2,0),"NO EXISTE"))</f>
        <v/>
      </c>
      <c r="E1118" s="9" t="str">
        <f aca="false">IF(C1118="","",IFERROR(VLOOKUP(C1118,EQUIPOS!$B$3:$F$18,5,0),""))</f>
        <v/>
      </c>
      <c r="F1118" s="5" t="str">
        <f aca="false">IF(C1118="","",IFERROR(VLOOKUP(C1118,EQUIPOS!$B$3:$G$18,6,0),""))</f>
        <v/>
      </c>
      <c r="G1118" s="8"/>
      <c r="H1118" s="5"/>
      <c r="I1118" s="5"/>
      <c r="J1118" s="9"/>
      <c r="K1118" s="17" t="str">
        <f aca="false">IF(H1118="","",IFERROR(SUMIFS(BD_PLAN!$I$3:$I$312,BD_PLAN!$B$3:$B$312,E1118,BD_PLAN!$C$3:$C$312,INDEX(BD_CICLO!$F$3:$F$54,MATCH(E1118&amp;"|"&amp;H1118,BD_CICLO!$G$3:$G$54,0))),""))</f>
        <v/>
      </c>
      <c r="L1118" s="9"/>
      <c r="M1118" s="9"/>
      <c r="N1118" s="1" t="str">
        <f aca="false">IF(C1118="","",C1118&amp;"|"&amp;COUNTIF(C$3:C1118,C1118))</f>
        <v/>
      </c>
      <c r="O1118" s="1" t="str">
        <f aca="false">IF(OR(C1118="",M1118=""),"",C1118&amp;"|"&amp;COUNTIFS(C$3:C1118,C1118,M$3:M1118,"&lt;&gt;"))</f>
        <v/>
      </c>
    </row>
    <row r="1119" customFormat="false" ht="15" hidden="false" customHeight="false" outlineLevel="0" collapsed="false">
      <c r="B1119" s="7"/>
      <c r="C1119" s="5"/>
      <c r="D1119" s="9" t="str">
        <f aca="false">IF(C1119="","",IFERROR(VLOOKUP(C1119,EQUIPOS!$B$3:$C$18,2,0),"NO EXISTE"))</f>
        <v/>
      </c>
      <c r="E1119" s="9" t="str">
        <f aca="false">IF(C1119="","",IFERROR(VLOOKUP(C1119,EQUIPOS!$B$3:$F$18,5,0),""))</f>
        <v/>
      </c>
      <c r="F1119" s="5" t="str">
        <f aca="false">IF(C1119="","",IFERROR(VLOOKUP(C1119,EQUIPOS!$B$3:$G$18,6,0),""))</f>
        <v/>
      </c>
      <c r="G1119" s="8"/>
      <c r="H1119" s="5"/>
      <c r="I1119" s="5"/>
      <c r="J1119" s="9"/>
      <c r="K1119" s="17" t="str">
        <f aca="false">IF(H1119="","",IFERROR(SUMIFS(BD_PLAN!$I$3:$I$312,BD_PLAN!$B$3:$B$312,E1119,BD_PLAN!$C$3:$C$312,INDEX(BD_CICLO!$F$3:$F$54,MATCH(E1119&amp;"|"&amp;H1119,BD_CICLO!$G$3:$G$54,0))),""))</f>
        <v/>
      </c>
      <c r="L1119" s="9"/>
      <c r="M1119" s="9"/>
      <c r="N1119" s="1" t="str">
        <f aca="false">IF(C1119="","",C1119&amp;"|"&amp;COUNTIF(C$3:C1119,C1119))</f>
        <v/>
      </c>
      <c r="O1119" s="1" t="str">
        <f aca="false">IF(OR(C1119="",M1119=""),"",C1119&amp;"|"&amp;COUNTIFS(C$3:C1119,C1119,M$3:M1119,"&lt;&gt;"))</f>
        <v/>
      </c>
    </row>
    <row r="1120" customFormat="false" ht="15" hidden="false" customHeight="false" outlineLevel="0" collapsed="false">
      <c r="B1120" s="7"/>
      <c r="C1120" s="5"/>
      <c r="D1120" s="9" t="str">
        <f aca="false">IF(C1120="","",IFERROR(VLOOKUP(C1120,EQUIPOS!$B$3:$C$18,2,0),"NO EXISTE"))</f>
        <v/>
      </c>
      <c r="E1120" s="9" t="str">
        <f aca="false">IF(C1120="","",IFERROR(VLOOKUP(C1120,EQUIPOS!$B$3:$F$18,5,0),""))</f>
        <v/>
      </c>
      <c r="F1120" s="5" t="str">
        <f aca="false">IF(C1120="","",IFERROR(VLOOKUP(C1120,EQUIPOS!$B$3:$G$18,6,0),""))</f>
        <v/>
      </c>
      <c r="G1120" s="8"/>
      <c r="H1120" s="5"/>
      <c r="I1120" s="5"/>
      <c r="J1120" s="9"/>
      <c r="K1120" s="17" t="str">
        <f aca="false">IF(H1120="","",IFERROR(SUMIFS(BD_PLAN!$I$3:$I$312,BD_PLAN!$B$3:$B$312,E1120,BD_PLAN!$C$3:$C$312,INDEX(BD_CICLO!$F$3:$F$54,MATCH(E1120&amp;"|"&amp;H1120,BD_CICLO!$G$3:$G$54,0))),""))</f>
        <v/>
      </c>
      <c r="L1120" s="9"/>
      <c r="M1120" s="9"/>
      <c r="N1120" s="1" t="str">
        <f aca="false">IF(C1120="","",C1120&amp;"|"&amp;COUNTIF(C$3:C1120,C1120))</f>
        <v/>
      </c>
      <c r="O1120" s="1" t="str">
        <f aca="false">IF(OR(C1120="",M1120=""),"",C1120&amp;"|"&amp;COUNTIFS(C$3:C1120,C1120,M$3:M1120,"&lt;&gt;"))</f>
        <v/>
      </c>
    </row>
    <row r="1121" customFormat="false" ht="15" hidden="false" customHeight="false" outlineLevel="0" collapsed="false">
      <c r="B1121" s="7"/>
      <c r="C1121" s="5"/>
      <c r="D1121" s="9" t="str">
        <f aca="false">IF(C1121="","",IFERROR(VLOOKUP(C1121,EQUIPOS!$B$3:$C$18,2,0),"NO EXISTE"))</f>
        <v/>
      </c>
      <c r="E1121" s="9" t="str">
        <f aca="false">IF(C1121="","",IFERROR(VLOOKUP(C1121,EQUIPOS!$B$3:$F$18,5,0),""))</f>
        <v/>
      </c>
      <c r="F1121" s="5" t="str">
        <f aca="false">IF(C1121="","",IFERROR(VLOOKUP(C1121,EQUIPOS!$B$3:$G$18,6,0),""))</f>
        <v/>
      </c>
      <c r="G1121" s="8"/>
      <c r="H1121" s="5"/>
      <c r="I1121" s="5"/>
      <c r="J1121" s="9"/>
      <c r="K1121" s="17" t="str">
        <f aca="false">IF(H1121="","",IFERROR(SUMIFS(BD_PLAN!$I$3:$I$312,BD_PLAN!$B$3:$B$312,E1121,BD_PLAN!$C$3:$C$312,INDEX(BD_CICLO!$F$3:$F$54,MATCH(E1121&amp;"|"&amp;H1121,BD_CICLO!$G$3:$G$54,0))),""))</f>
        <v/>
      </c>
      <c r="L1121" s="9"/>
      <c r="M1121" s="9"/>
      <c r="N1121" s="1" t="str">
        <f aca="false">IF(C1121="","",C1121&amp;"|"&amp;COUNTIF(C$3:C1121,C1121))</f>
        <v/>
      </c>
      <c r="O1121" s="1" t="str">
        <f aca="false">IF(OR(C1121="",M1121=""),"",C1121&amp;"|"&amp;COUNTIFS(C$3:C1121,C1121,M$3:M1121,"&lt;&gt;"))</f>
        <v/>
      </c>
    </row>
    <row r="1122" customFormat="false" ht="15" hidden="false" customHeight="false" outlineLevel="0" collapsed="false">
      <c r="B1122" s="7"/>
      <c r="C1122" s="5"/>
      <c r="D1122" s="9" t="str">
        <f aca="false">IF(C1122="","",IFERROR(VLOOKUP(C1122,EQUIPOS!$B$3:$C$18,2,0),"NO EXISTE"))</f>
        <v/>
      </c>
      <c r="E1122" s="9" t="str">
        <f aca="false">IF(C1122="","",IFERROR(VLOOKUP(C1122,EQUIPOS!$B$3:$F$18,5,0),""))</f>
        <v/>
      </c>
      <c r="F1122" s="5" t="str">
        <f aca="false">IF(C1122="","",IFERROR(VLOOKUP(C1122,EQUIPOS!$B$3:$G$18,6,0),""))</f>
        <v/>
      </c>
      <c r="G1122" s="8"/>
      <c r="H1122" s="5"/>
      <c r="I1122" s="5"/>
      <c r="J1122" s="9"/>
      <c r="K1122" s="17" t="str">
        <f aca="false">IF(H1122="","",IFERROR(SUMIFS(BD_PLAN!$I$3:$I$312,BD_PLAN!$B$3:$B$312,E1122,BD_PLAN!$C$3:$C$312,INDEX(BD_CICLO!$F$3:$F$54,MATCH(E1122&amp;"|"&amp;H1122,BD_CICLO!$G$3:$G$54,0))),""))</f>
        <v/>
      </c>
      <c r="L1122" s="9"/>
      <c r="M1122" s="9"/>
      <c r="N1122" s="1" t="str">
        <f aca="false">IF(C1122="","",C1122&amp;"|"&amp;COUNTIF(C$3:C1122,C1122))</f>
        <v/>
      </c>
      <c r="O1122" s="1" t="str">
        <f aca="false">IF(OR(C1122="",M1122=""),"",C1122&amp;"|"&amp;COUNTIFS(C$3:C1122,C1122,M$3:M1122,"&lt;&gt;"))</f>
        <v/>
      </c>
    </row>
    <row r="1123" customFormat="false" ht="15" hidden="false" customHeight="false" outlineLevel="0" collapsed="false">
      <c r="B1123" s="7"/>
      <c r="C1123" s="5"/>
      <c r="D1123" s="9" t="str">
        <f aca="false">IF(C1123="","",IFERROR(VLOOKUP(C1123,EQUIPOS!$B$3:$C$18,2,0),"NO EXISTE"))</f>
        <v/>
      </c>
      <c r="E1123" s="9" t="str">
        <f aca="false">IF(C1123="","",IFERROR(VLOOKUP(C1123,EQUIPOS!$B$3:$F$18,5,0),""))</f>
        <v/>
      </c>
      <c r="F1123" s="5" t="str">
        <f aca="false">IF(C1123="","",IFERROR(VLOOKUP(C1123,EQUIPOS!$B$3:$G$18,6,0),""))</f>
        <v/>
      </c>
      <c r="G1123" s="8"/>
      <c r="H1123" s="5"/>
      <c r="I1123" s="5"/>
      <c r="J1123" s="9"/>
      <c r="K1123" s="17" t="str">
        <f aca="false">IF(H1123="","",IFERROR(SUMIFS(BD_PLAN!$I$3:$I$312,BD_PLAN!$B$3:$B$312,E1123,BD_PLAN!$C$3:$C$312,INDEX(BD_CICLO!$F$3:$F$54,MATCH(E1123&amp;"|"&amp;H1123,BD_CICLO!$G$3:$G$54,0))),""))</f>
        <v/>
      </c>
      <c r="L1123" s="9"/>
      <c r="M1123" s="9"/>
      <c r="N1123" s="1" t="str">
        <f aca="false">IF(C1123="","",C1123&amp;"|"&amp;COUNTIF(C$3:C1123,C1123))</f>
        <v/>
      </c>
      <c r="O1123" s="1" t="str">
        <f aca="false">IF(OR(C1123="",M1123=""),"",C1123&amp;"|"&amp;COUNTIFS(C$3:C1123,C1123,M$3:M1123,"&lt;&gt;"))</f>
        <v/>
      </c>
    </row>
    <row r="1124" customFormat="false" ht="15" hidden="false" customHeight="false" outlineLevel="0" collapsed="false">
      <c r="B1124" s="7"/>
      <c r="C1124" s="5"/>
      <c r="D1124" s="9" t="str">
        <f aca="false">IF(C1124="","",IFERROR(VLOOKUP(C1124,EQUIPOS!$B$3:$C$18,2,0),"NO EXISTE"))</f>
        <v/>
      </c>
      <c r="E1124" s="9" t="str">
        <f aca="false">IF(C1124="","",IFERROR(VLOOKUP(C1124,EQUIPOS!$B$3:$F$18,5,0),""))</f>
        <v/>
      </c>
      <c r="F1124" s="5" t="str">
        <f aca="false">IF(C1124="","",IFERROR(VLOOKUP(C1124,EQUIPOS!$B$3:$G$18,6,0),""))</f>
        <v/>
      </c>
      <c r="G1124" s="8"/>
      <c r="H1124" s="5"/>
      <c r="I1124" s="5"/>
      <c r="J1124" s="9"/>
      <c r="K1124" s="17" t="str">
        <f aca="false">IF(H1124="","",IFERROR(SUMIFS(BD_PLAN!$I$3:$I$312,BD_PLAN!$B$3:$B$312,E1124,BD_PLAN!$C$3:$C$312,INDEX(BD_CICLO!$F$3:$F$54,MATCH(E1124&amp;"|"&amp;H1124,BD_CICLO!$G$3:$G$54,0))),""))</f>
        <v/>
      </c>
      <c r="L1124" s="9"/>
      <c r="M1124" s="9"/>
      <c r="N1124" s="1" t="str">
        <f aca="false">IF(C1124="","",C1124&amp;"|"&amp;COUNTIF(C$3:C1124,C1124))</f>
        <v/>
      </c>
      <c r="O1124" s="1" t="str">
        <f aca="false">IF(OR(C1124="",M1124=""),"",C1124&amp;"|"&amp;COUNTIFS(C$3:C1124,C1124,M$3:M1124,"&lt;&gt;"))</f>
        <v/>
      </c>
    </row>
    <row r="1125" customFormat="false" ht="15" hidden="false" customHeight="false" outlineLevel="0" collapsed="false">
      <c r="B1125" s="7"/>
      <c r="C1125" s="5"/>
      <c r="D1125" s="9" t="str">
        <f aca="false">IF(C1125="","",IFERROR(VLOOKUP(C1125,EQUIPOS!$B$3:$C$18,2,0),"NO EXISTE"))</f>
        <v/>
      </c>
      <c r="E1125" s="9" t="str">
        <f aca="false">IF(C1125="","",IFERROR(VLOOKUP(C1125,EQUIPOS!$B$3:$F$18,5,0),""))</f>
        <v/>
      </c>
      <c r="F1125" s="5" t="str">
        <f aca="false">IF(C1125="","",IFERROR(VLOOKUP(C1125,EQUIPOS!$B$3:$G$18,6,0),""))</f>
        <v/>
      </c>
      <c r="G1125" s="8"/>
      <c r="H1125" s="5"/>
      <c r="I1125" s="5"/>
      <c r="J1125" s="9"/>
      <c r="K1125" s="17" t="str">
        <f aca="false">IF(H1125="","",IFERROR(SUMIFS(BD_PLAN!$I$3:$I$312,BD_PLAN!$B$3:$B$312,E1125,BD_PLAN!$C$3:$C$312,INDEX(BD_CICLO!$F$3:$F$54,MATCH(E1125&amp;"|"&amp;H1125,BD_CICLO!$G$3:$G$54,0))),""))</f>
        <v/>
      </c>
      <c r="L1125" s="9"/>
      <c r="M1125" s="9"/>
      <c r="N1125" s="1" t="str">
        <f aca="false">IF(C1125="","",C1125&amp;"|"&amp;COUNTIF(C$3:C1125,C1125))</f>
        <v/>
      </c>
      <c r="O1125" s="1" t="str">
        <f aca="false">IF(OR(C1125="",M1125=""),"",C1125&amp;"|"&amp;COUNTIFS(C$3:C1125,C1125,M$3:M1125,"&lt;&gt;"))</f>
        <v/>
      </c>
    </row>
    <row r="1126" customFormat="false" ht="15" hidden="false" customHeight="false" outlineLevel="0" collapsed="false">
      <c r="B1126" s="7"/>
      <c r="C1126" s="5"/>
      <c r="D1126" s="9" t="str">
        <f aca="false">IF(C1126="","",IFERROR(VLOOKUP(C1126,EQUIPOS!$B$3:$C$18,2,0),"NO EXISTE"))</f>
        <v/>
      </c>
      <c r="E1126" s="9" t="str">
        <f aca="false">IF(C1126="","",IFERROR(VLOOKUP(C1126,EQUIPOS!$B$3:$F$18,5,0),""))</f>
        <v/>
      </c>
      <c r="F1126" s="5" t="str">
        <f aca="false">IF(C1126="","",IFERROR(VLOOKUP(C1126,EQUIPOS!$B$3:$G$18,6,0),""))</f>
        <v/>
      </c>
      <c r="G1126" s="8"/>
      <c r="H1126" s="5"/>
      <c r="I1126" s="5"/>
      <c r="J1126" s="9"/>
      <c r="K1126" s="17" t="str">
        <f aca="false">IF(H1126="","",IFERROR(SUMIFS(BD_PLAN!$I$3:$I$312,BD_PLAN!$B$3:$B$312,E1126,BD_PLAN!$C$3:$C$312,INDEX(BD_CICLO!$F$3:$F$54,MATCH(E1126&amp;"|"&amp;H1126,BD_CICLO!$G$3:$G$54,0))),""))</f>
        <v/>
      </c>
      <c r="L1126" s="9"/>
      <c r="M1126" s="9"/>
      <c r="N1126" s="1" t="str">
        <f aca="false">IF(C1126="","",C1126&amp;"|"&amp;COUNTIF(C$3:C1126,C1126))</f>
        <v/>
      </c>
      <c r="O1126" s="1" t="str">
        <f aca="false">IF(OR(C1126="",M1126=""),"",C1126&amp;"|"&amp;COUNTIFS(C$3:C1126,C1126,M$3:M1126,"&lt;&gt;"))</f>
        <v/>
      </c>
    </row>
    <row r="1127" customFormat="false" ht="15" hidden="false" customHeight="false" outlineLevel="0" collapsed="false">
      <c r="B1127" s="7"/>
      <c r="C1127" s="5"/>
      <c r="D1127" s="9" t="str">
        <f aca="false">IF(C1127="","",IFERROR(VLOOKUP(C1127,EQUIPOS!$B$3:$C$18,2,0),"NO EXISTE"))</f>
        <v/>
      </c>
      <c r="E1127" s="9" t="str">
        <f aca="false">IF(C1127="","",IFERROR(VLOOKUP(C1127,EQUIPOS!$B$3:$F$18,5,0),""))</f>
        <v/>
      </c>
      <c r="F1127" s="5" t="str">
        <f aca="false">IF(C1127="","",IFERROR(VLOOKUP(C1127,EQUIPOS!$B$3:$G$18,6,0),""))</f>
        <v/>
      </c>
      <c r="G1127" s="8"/>
      <c r="H1127" s="5"/>
      <c r="I1127" s="5"/>
      <c r="J1127" s="9"/>
      <c r="K1127" s="17" t="str">
        <f aca="false">IF(H1127="","",IFERROR(SUMIFS(BD_PLAN!$I$3:$I$312,BD_PLAN!$B$3:$B$312,E1127,BD_PLAN!$C$3:$C$312,INDEX(BD_CICLO!$F$3:$F$54,MATCH(E1127&amp;"|"&amp;H1127,BD_CICLO!$G$3:$G$54,0))),""))</f>
        <v/>
      </c>
      <c r="L1127" s="9"/>
      <c r="M1127" s="9"/>
      <c r="N1127" s="1" t="str">
        <f aca="false">IF(C1127="","",C1127&amp;"|"&amp;COUNTIF(C$3:C1127,C1127))</f>
        <v/>
      </c>
      <c r="O1127" s="1" t="str">
        <f aca="false">IF(OR(C1127="",M1127=""),"",C1127&amp;"|"&amp;COUNTIFS(C$3:C1127,C1127,M$3:M1127,"&lt;&gt;"))</f>
        <v/>
      </c>
    </row>
    <row r="1128" customFormat="false" ht="15" hidden="false" customHeight="false" outlineLevel="0" collapsed="false">
      <c r="B1128" s="7"/>
      <c r="C1128" s="5"/>
      <c r="D1128" s="9" t="str">
        <f aca="false">IF(C1128="","",IFERROR(VLOOKUP(C1128,EQUIPOS!$B$3:$C$18,2,0),"NO EXISTE"))</f>
        <v/>
      </c>
      <c r="E1128" s="9" t="str">
        <f aca="false">IF(C1128="","",IFERROR(VLOOKUP(C1128,EQUIPOS!$B$3:$F$18,5,0),""))</f>
        <v/>
      </c>
      <c r="F1128" s="5" t="str">
        <f aca="false">IF(C1128="","",IFERROR(VLOOKUP(C1128,EQUIPOS!$B$3:$G$18,6,0),""))</f>
        <v/>
      </c>
      <c r="G1128" s="8"/>
      <c r="H1128" s="5"/>
      <c r="I1128" s="5"/>
      <c r="J1128" s="9"/>
      <c r="K1128" s="17" t="str">
        <f aca="false">IF(H1128="","",IFERROR(SUMIFS(BD_PLAN!$I$3:$I$312,BD_PLAN!$B$3:$B$312,E1128,BD_PLAN!$C$3:$C$312,INDEX(BD_CICLO!$F$3:$F$54,MATCH(E1128&amp;"|"&amp;H1128,BD_CICLO!$G$3:$G$54,0))),""))</f>
        <v/>
      </c>
      <c r="L1128" s="9"/>
      <c r="M1128" s="9"/>
      <c r="N1128" s="1" t="str">
        <f aca="false">IF(C1128="","",C1128&amp;"|"&amp;COUNTIF(C$3:C1128,C1128))</f>
        <v/>
      </c>
      <c r="O1128" s="1" t="str">
        <f aca="false">IF(OR(C1128="",M1128=""),"",C1128&amp;"|"&amp;COUNTIFS(C$3:C1128,C1128,M$3:M1128,"&lt;&gt;"))</f>
        <v/>
      </c>
    </row>
    <row r="1129" customFormat="false" ht="15" hidden="false" customHeight="false" outlineLevel="0" collapsed="false">
      <c r="B1129" s="7"/>
      <c r="C1129" s="5"/>
      <c r="D1129" s="9" t="str">
        <f aca="false">IF(C1129="","",IFERROR(VLOOKUP(C1129,EQUIPOS!$B$3:$C$18,2,0),"NO EXISTE"))</f>
        <v/>
      </c>
      <c r="E1129" s="9" t="str">
        <f aca="false">IF(C1129="","",IFERROR(VLOOKUP(C1129,EQUIPOS!$B$3:$F$18,5,0),""))</f>
        <v/>
      </c>
      <c r="F1129" s="5" t="str">
        <f aca="false">IF(C1129="","",IFERROR(VLOOKUP(C1129,EQUIPOS!$B$3:$G$18,6,0),""))</f>
        <v/>
      </c>
      <c r="G1129" s="8"/>
      <c r="H1129" s="5"/>
      <c r="I1129" s="5"/>
      <c r="J1129" s="9"/>
      <c r="K1129" s="17" t="str">
        <f aca="false">IF(H1129="","",IFERROR(SUMIFS(BD_PLAN!$I$3:$I$312,BD_PLAN!$B$3:$B$312,E1129,BD_PLAN!$C$3:$C$312,INDEX(BD_CICLO!$F$3:$F$54,MATCH(E1129&amp;"|"&amp;H1129,BD_CICLO!$G$3:$G$54,0))),""))</f>
        <v/>
      </c>
      <c r="L1129" s="9"/>
      <c r="M1129" s="9"/>
      <c r="N1129" s="1" t="str">
        <f aca="false">IF(C1129="","",C1129&amp;"|"&amp;COUNTIF(C$3:C1129,C1129))</f>
        <v/>
      </c>
      <c r="O1129" s="1" t="str">
        <f aca="false">IF(OR(C1129="",M1129=""),"",C1129&amp;"|"&amp;COUNTIFS(C$3:C1129,C1129,M$3:M1129,"&lt;&gt;"))</f>
        <v/>
      </c>
    </row>
    <row r="1130" customFormat="false" ht="15" hidden="false" customHeight="false" outlineLevel="0" collapsed="false">
      <c r="B1130" s="7"/>
      <c r="C1130" s="5"/>
      <c r="D1130" s="9" t="str">
        <f aca="false">IF(C1130="","",IFERROR(VLOOKUP(C1130,EQUIPOS!$B$3:$C$18,2,0),"NO EXISTE"))</f>
        <v/>
      </c>
      <c r="E1130" s="9" t="str">
        <f aca="false">IF(C1130="","",IFERROR(VLOOKUP(C1130,EQUIPOS!$B$3:$F$18,5,0),""))</f>
        <v/>
      </c>
      <c r="F1130" s="5" t="str">
        <f aca="false">IF(C1130="","",IFERROR(VLOOKUP(C1130,EQUIPOS!$B$3:$G$18,6,0),""))</f>
        <v/>
      </c>
      <c r="G1130" s="8"/>
      <c r="H1130" s="5"/>
      <c r="I1130" s="5"/>
      <c r="J1130" s="9"/>
      <c r="K1130" s="17" t="str">
        <f aca="false">IF(H1130="","",IFERROR(SUMIFS(BD_PLAN!$I$3:$I$312,BD_PLAN!$B$3:$B$312,E1130,BD_PLAN!$C$3:$C$312,INDEX(BD_CICLO!$F$3:$F$54,MATCH(E1130&amp;"|"&amp;H1130,BD_CICLO!$G$3:$G$54,0))),""))</f>
        <v/>
      </c>
      <c r="L1130" s="9"/>
      <c r="M1130" s="9"/>
      <c r="N1130" s="1" t="str">
        <f aca="false">IF(C1130="","",C1130&amp;"|"&amp;COUNTIF(C$3:C1130,C1130))</f>
        <v/>
      </c>
      <c r="O1130" s="1" t="str">
        <f aca="false">IF(OR(C1130="",M1130=""),"",C1130&amp;"|"&amp;COUNTIFS(C$3:C1130,C1130,M$3:M1130,"&lt;&gt;"))</f>
        <v/>
      </c>
    </row>
    <row r="1131" customFormat="false" ht="15" hidden="false" customHeight="false" outlineLevel="0" collapsed="false">
      <c r="B1131" s="7"/>
      <c r="C1131" s="5"/>
      <c r="D1131" s="9" t="str">
        <f aca="false">IF(C1131="","",IFERROR(VLOOKUP(C1131,EQUIPOS!$B$3:$C$18,2,0),"NO EXISTE"))</f>
        <v/>
      </c>
      <c r="E1131" s="9" t="str">
        <f aca="false">IF(C1131="","",IFERROR(VLOOKUP(C1131,EQUIPOS!$B$3:$F$18,5,0),""))</f>
        <v/>
      </c>
      <c r="F1131" s="5" t="str">
        <f aca="false">IF(C1131="","",IFERROR(VLOOKUP(C1131,EQUIPOS!$B$3:$G$18,6,0),""))</f>
        <v/>
      </c>
      <c r="G1131" s="8"/>
      <c r="H1131" s="5"/>
      <c r="I1131" s="5"/>
      <c r="J1131" s="9"/>
      <c r="K1131" s="17" t="str">
        <f aca="false">IF(H1131="","",IFERROR(SUMIFS(BD_PLAN!$I$3:$I$312,BD_PLAN!$B$3:$B$312,E1131,BD_PLAN!$C$3:$C$312,INDEX(BD_CICLO!$F$3:$F$54,MATCH(E1131&amp;"|"&amp;H1131,BD_CICLO!$G$3:$G$54,0))),""))</f>
        <v/>
      </c>
      <c r="L1131" s="9"/>
      <c r="M1131" s="9"/>
      <c r="N1131" s="1" t="str">
        <f aca="false">IF(C1131="","",C1131&amp;"|"&amp;COUNTIF(C$3:C1131,C1131))</f>
        <v/>
      </c>
      <c r="O1131" s="1" t="str">
        <f aca="false">IF(OR(C1131="",M1131=""),"",C1131&amp;"|"&amp;COUNTIFS(C$3:C1131,C1131,M$3:M1131,"&lt;&gt;"))</f>
        <v/>
      </c>
    </row>
    <row r="1132" customFormat="false" ht="15" hidden="false" customHeight="false" outlineLevel="0" collapsed="false">
      <c r="B1132" s="7"/>
      <c r="C1132" s="5"/>
      <c r="D1132" s="9" t="str">
        <f aca="false">IF(C1132="","",IFERROR(VLOOKUP(C1132,EQUIPOS!$B$3:$C$18,2,0),"NO EXISTE"))</f>
        <v/>
      </c>
      <c r="E1132" s="9" t="str">
        <f aca="false">IF(C1132="","",IFERROR(VLOOKUP(C1132,EQUIPOS!$B$3:$F$18,5,0),""))</f>
        <v/>
      </c>
      <c r="F1132" s="5" t="str">
        <f aca="false">IF(C1132="","",IFERROR(VLOOKUP(C1132,EQUIPOS!$B$3:$G$18,6,0),""))</f>
        <v/>
      </c>
      <c r="G1132" s="8"/>
      <c r="H1132" s="5"/>
      <c r="I1132" s="5"/>
      <c r="J1132" s="9"/>
      <c r="K1132" s="17" t="str">
        <f aca="false">IF(H1132="","",IFERROR(SUMIFS(BD_PLAN!$I$3:$I$312,BD_PLAN!$B$3:$B$312,E1132,BD_PLAN!$C$3:$C$312,INDEX(BD_CICLO!$F$3:$F$54,MATCH(E1132&amp;"|"&amp;H1132,BD_CICLO!$G$3:$G$54,0))),""))</f>
        <v/>
      </c>
      <c r="L1132" s="9"/>
      <c r="M1132" s="9"/>
      <c r="N1132" s="1" t="str">
        <f aca="false">IF(C1132="","",C1132&amp;"|"&amp;COUNTIF(C$3:C1132,C1132))</f>
        <v/>
      </c>
      <c r="O1132" s="1" t="str">
        <f aca="false">IF(OR(C1132="",M1132=""),"",C1132&amp;"|"&amp;COUNTIFS(C$3:C1132,C1132,M$3:M1132,"&lt;&gt;"))</f>
        <v/>
      </c>
    </row>
    <row r="1133" customFormat="false" ht="15" hidden="false" customHeight="false" outlineLevel="0" collapsed="false">
      <c r="B1133" s="7"/>
      <c r="C1133" s="5"/>
      <c r="D1133" s="9" t="str">
        <f aca="false">IF(C1133="","",IFERROR(VLOOKUP(C1133,EQUIPOS!$B$3:$C$18,2,0),"NO EXISTE"))</f>
        <v/>
      </c>
      <c r="E1133" s="9" t="str">
        <f aca="false">IF(C1133="","",IFERROR(VLOOKUP(C1133,EQUIPOS!$B$3:$F$18,5,0),""))</f>
        <v/>
      </c>
      <c r="F1133" s="5" t="str">
        <f aca="false">IF(C1133="","",IFERROR(VLOOKUP(C1133,EQUIPOS!$B$3:$G$18,6,0),""))</f>
        <v/>
      </c>
      <c r="G1133" s="8"/>
      <c r="H1133" s="5"/>
      <c r="I1133" s="5"/>
      <c r="J1133" s="9"/>
      <c r="K1133" s="17" t="str">
        <f aca="false">IF(H1133="","",IFERROR(SUMIFS(BD_PLAN!$I$3:$I$312,BD_PLAN!$B$3:$B$312,E1133,BD_PLAN!$C$3:$C$312,INDEX(BD_CICLO!$F$3:$F$54,MATCH(E1133&amp;"|"&amp;H1133,BD_CICLO!$G$3:$G$54,0))),""))</f>
        <v/>
      </c>
      <c r="L1133" s="9"/>
      <c r="M1133" s="9"/>
      <c r="N1133" s="1" t="str">
        <f aca="false">IF(C1133="","",C1133&amp;"|"&amp;COUNTIF(C$3:C1133,C1133))</f>
        <v/>
      </c>
      <c r="O1133" s="1" t="str">
        <f aca="false">IF(OR(C1133="",M1133=""),"",C1133&amp;"|"&amp;COUNTIFS(C$3:C1133,C1133,M$3:M1133,"&lt;&gt;"))</f>
        <v/>
      </c>
    </row>
    <row r="1134" customFormat="false" ht="15" hidden="false" customHeight="false" outlineLevel="0" collapsed="false">
      <c r="B1134" s="7"/>
      <c r="C1134" s="5"/>
      <c r="D1134" s="9" t="str">
        <f aca="false">IF(C1134="","",IFERROR(VLOOKUP(C1134,EQUIPOS!$B$3:$C$18,2,0),"NO EXISTE"))</f>
        <v/>
      </c>
      <c r="E1134" s="9" t="str">
        <f aca="false">IF(C1134="","",IFERROR(VLOOKUP(C1134,EQUIPOS!$B$3:$F$18,5,0),""))</f>
        <v/>
      </c>
      <c r="F1134" s="5" t="str">
        <f aca="false">IF(C1134="","",IFERROR(VLOOKUP(C1134,EQUIPOS!$B$3:$G$18,6,0),""))</f>
        <v/>
      </c>
      <c r="G1134" s="8"/>
      <c r="H1134" s="5"/>
      <c r="I1134" s="5"/>
      <c r="J1134" s="9"/>
      <c r="K1134" s="17" t="str">
        <f aca="false">IF(H1134="","",IFERROR(SUMIFS(BD_PLAN!$I$3:$I$312,BD_PLAN!$B$3:$B$312,E1134,BD_PLAN!$C$3:$C$312,INDEX(BD_CICLO!$F$3:$F$54,MATCH(E1134&amp;"|"&amp;H1134,BD_CICLO!$G$3:$G$54,0))),""))</f>
        <v/>
      </c>
      <c r="L1134" s="9"/>
      <c r="M1134" s="9"/>
      <c r="N1134" s="1" t="str">
        <f aca="false">IF(C1134="","",C1134&amp;"|"&amp;COUNTIF(C$3:C1134,C1134))</f>
        <v/>
      </c>
      <c r="O1134" s="1" t="str">
        <f aca="false">IF(OR(C1134="",M1134=""),"",C1134&amp;"|"&amp;COUNTIFS(C$3:C1134,C1134,M$3:M1134,"&lt;&gt;"))</f>
        <v/>
      </c>
    </row>
    <row r="1135" customFormat="false" ht="15" hidden="false" customHeight="false" outlineLevel="0" collapsed="false">
      <c r="B1135" s="7"/>
      <c r="C1135" s="5"/>
      <c r="D1135" s="9" t="str">
        <f aca="false">IF(C1135="","",IFERROR(VLOOKUP(C1135,EQUIPOS!$B$3:$C$18,2,0),"NO EXISTE"))</f>
        <v/>
      </c>
      <c r="E1135" s="9" t="str">
        <f aca="false">IF(C1135="","",IFERROR(VLOOKUP(C1135,EQUIPOS!$B$3:$F$18,5,0),""))</f>
        <v/>
      </c>
      <c r="F1135" s="5" t="str">
        <f aca="false">IF(C1135="","",IFERROR(VLOOKUP(C1135,EQUIPOS!$B$3:$G$18,6,0),""))</f>
        <v/>
      </c>
      <c r="G1135" s="8"/>
      <c r="H1135" s="5"/>
      <c r="I1135" s="5"/>
      <c r="J1135" s="9"/>
      <c r="K1135" s="17" t="str">
        <f aca="false">IF(H1135="","",IFERROR(SUMIFS(BD_PLAN!$I$3:$I$312,BD_PLAN!$B$3:$B$312,E1135,BD_PLAN!$C$3:$C$312,INDEX(BD_CICLO!$F$3:$F$54,MATCH(E1135&amp;"|"&amp;H1135,BD_CICLO!$G$3:$G$54,0))),""))</f>
        <v/>
      </c>
      <c r="L1135" s="9"/>
      <c r="M1135" s="9"/>
      <c r="N1135" s="1" t="str">
        <f aca="false">IF(C1135="","",C1135&amp;"|"&amp;COUNTIF(C$3:C1135,C1135))</f>
        <v/>
      </c>
      <c r="O1135" s="1" t="str">
        <f aca="false">IF(OR(C1135="",M1135=""),"",C1135&amp;"|"&amp;COUNTIFS(C$3:C1135,C1135,M$3:M1135,"&lt;&gt;"))</f>
        <v/>
      </c>
    </row>
    <row r="1136" customFormat="false" ht="15" hidden="false" customHeight="false" outlineLevel="0" collapsed="false">
      <c r="B1136" s="7"/>
      <c r="C1136" s="5"/>
      <c r="D1136" s="9" t="str">
        <f aca="false">IF(C1136="","",IFERROR(VLOOKUP(C1136,EQUIPOS!$B$3:$C$18,2,0),"NO EXISTE"))</f>
        <v/>
      </c>
      <c r="E1136" s="9" t="str">
        <f aca="false">IF(C1136="","",IFERROR(VLOOKUP(C1136,EQUIPOS!$B$3:$F$18,5,0),""))</f>
        <v/>
      </c>
      <c r="F1136" s="5" t="str">
        <f aca="false">IF(C1136="","",IFERROR(VLOOKUP(C1136,EQUIPOS!$B$3:$G$18,6,0),""))</f>
        <v/>
      </c>
      <c r="G1136" s="8"/>
      <c r="H1136" s="5"/>
      <c r="I1136" s="5"/>
      <c r="J1136" s="9"/>
      <c r="K1136" s="17" t="str">
        <f aca="false">IF(H1136="","",IFERROR(SUMIFS(BD_PLAN!$I$3:$I$312,BD_PLAN!$B$3:$B$312,E1136,BD_PLAN!$C$3:$C$312,INDEX(BD_CICLO!$F$3:$F$54,MATCH(E1136&amp;"|"&amp;H1136,BD_CICLO!$G$3:$G$54,0))),""))</f>
        <v/>
      </c>
      <c r="L1136" s="9"/>
      <c r="M1136" s="9"/>
      <c r="N1136" s="1" t="str">
        <f aca="false">IF(C1136="","",C1136&amp;"|"&amp;COUNTIF(C$3:C1136,C1136))</f>
        <v/>
      </c>
      <c r="O1136" s="1" t="str">
        <f aca="false">IF(OR(C1136="",M1136=""),"",C1136&amp;"|"&amp;COUNTIFS(C$3:C1136,C1136,M$3:M1136,"&lt;&gt;"))</f>
        <v/>
      </c>
    </row>
    <row r="1137" customFormat="false" ht="15" hidden="false" customHeight="false" outlineLevel="0" collapsed="false">
      <c r="B1137" s="7"/>
      <c r="C1137" s="5"/>
      <c r="D1137" s="9" t="str">
        <f aca="false">IF(C1137="","",IFERROR(VLOOKUP(C1137,EQUIPOS!$B$3:$C$18,2,0),"NO EXISTE"))</f>
        <v/>
      </c>
      <c r="E1137" s="9" t="str">
        <f aca="false">IF(C1137="","",IFERROR(VLOOKUP(C1137,EQUIPOS!$B$3:$F$18,5,0),""))</f>
        <v/>
      </c>
      <c r="F1137" s="5" t="str">
        <f aca="false">IF(C1137="","",IFERROR(VLOOKUP(C1137,EQUIPOS!$B$3:$G$18,6,0),""))</f>
        <v/>
      </c>
      <c r="G1137" s="8"/>
      <c r="H1137" s="5"/>
      <c r="I1137" s="5"/>
      <c r="J1137" s="9"/>
      <c r="K1137" s="17" t="str">
        <f aca="false">IF(H1137="","",IFERROR(SUMIFS(BD_PLAN!$I$3:$I$312,BD_PLAN!$B$3:$B$312,E1137,BD_PLAN!$C$3:$C$312,INDEX(BD_CICLO!$F$3:$F$54,MATCH(E1137&amp;"|"&amp;H1137,BD_CICLO!$G$3:$G$54,0))),""))</f>
        <v/>
      </c>
      <c r="L1137" s="9"/>
      <c r="M1137" s="9"/>
      <c r="N1137" s="1" t="str">
        <f aca="false">IF(C1137="","",C1137&amp;"|"&amp;COUNTIF(C$3:C1137,C1137))</f>
        <v/>
      </c>
      <c r="O1137" s="1" t="str">
        <f aca="false">IF(OR(C1137="",M1137=""),"",C1137&amp;"|"&amp;COUNTIFS(C$3:C1137,C1137,M$3:M1137,"&lt;&gt;"))</f>
        <v/>
      </c>
    </row>
    <row r="1138" customFormat="false" ht="15" hidden="false" customHeight="false" outlineLevel="0" collapsed="false">
      <c r="B1138" s="7"/>
      <c r="C1138" s="5"/>
      <c r="D1138" s="9" t="str">
        <f aca="false">IF(C1138="","",IFERROR(VLOOKUP(C1138,EQUIPOS!$B$3:$C$18,2,0),"NO EXISTE"))</f>
        <v/>
      </c>
      <c r="E1138" s="9" t="str">
        <f aca="false">IF(C1138="","",IFERROR(VLOOKUP(C1138,EQUIPOS!$B$3:$F$18,5,0),""))</f>
        <v/>
      </c>
      <c r="F1138" s="5" t="str">
        <f aca="false">IF(C1138="","",IFERROR(VLOOKUP(C1138,EQUIPOS!$B$3:$G$18,6,0),""))</f>
        <v/>
      </c>
      <c r="G1138" s="8"/>
      <c r="H1138" s="5"/>
      <c r="I1138" s="5"/>
      <c r="J1138" s="9"/>
      <c r="K1138" s="17" t="str">
        <f aca="false">IF(H1138="","",IFERROR(SUMIFS(BD_PLAN!$I$3:$I$312,BD_PLAN!$B$3:$B$312,E1138,BD_PLAN!$C$3:$C$312,INDEX(BD_CICLO!$F$3:$F$54,MATCH(E1138&amp;"|"&amp;H1138,BD_CICLO!$G$3:$G$54,0))),""))</f>
        <v/>
      </c>
      <c r="L1138" s="9"/>
      <c r="M1138" s="9"/>
      <c r="N1138" s="1" t="str">
        <f aca="false">IF(C1138="","",C1138&amp;"|"&amp;COUNTIF(C$3:C1138,C1138))</f>
        <v/>
      </c>
      <c r="O1138" s="1" t="str">
        <f aca="false">IF(OR(C1138="",M1138=""),"",C1138&amp;"|"&amp;COUNTIFS(C$3:C1138,C1138,M$3:M1138,"&lt;&gt;"))</f>
        <v/>
      </c>
    </row>
    <row r="1139" customFormat="false" ht="15" hidden="false" customHeight="false" outlineLevel="0" collapsed="false">
      <c r="B1139" s="7"/>
      <c r="C1139" s="5"/>
      <c r="D1139" s="9" t="str">
        <f aca="false">IF(C1139="","",IFERROR(VLOOKUP(C1139,EQUIPOS!$B$3:$C$18,2,0),"NO EXISTE"))</f>
        <v/>
      </c>
      <c r="E1139" s="9" t="str">
        <f aca="false">IF(C1139="","",IFERROR(VLOOKUP(C1139,EQUIPOS!$B$3:$F$18,5,0),""))</f>
        <v/>
      </c>
      <c r="F1139" s="5" t="str">
        <f aca="false">IF(C1139="","",IFERROR(VLOOKUP(C1139,EQUIPOS!$B$3:$G$18,6,0),""))</f>
        <v/>
      </c>
      <c r="G1139" s="8"/>
      <c r="H1139" s="5"/>
      <c r="I1139" s="5"/>
      <c r="J1139" s="9"/>
      <c r="K1139" s="17" t="str">
        <f aca="false">IF(H1139="","",IFERROR(SUMIFS(BD_PLAN!$I$3:$I$312,BD_PLAN!$B$3:$B$312,E1139,BD_PLAN!$C$3:$C$312,INDEX(BD_CICLO!$F$3:$F$54,MATCH(E1139&amp;"|"&amp;H1139,BD_CICLO!$G$3:$G$54,0))),""))</f>
        <v/>
      </c>
      <c r="L1139" s="9"/>
      <c r="M1139" s="9"/>
      <c r="N1139" s="1" t="str">
        <f aca="false">IF(C1139="","",C1139&amp;"|"&amp;COUNTIF(C$3:C1139,C1139))</f>
        <v/>
      </c>
      <c r="O1139" s="1" t="str">
        <f aca="false">IF(OR(C1139="",M1139=""),"",C1139&amp;"|"&amp;COUNTIFS(C$3:C1139,C1139,M$3:M1139,"&lt;&gt;"))</f>
        <v/>
      </c>
    </row>
    <row r="1140" customFormat="false" ht="15" hidden="false" customHeight="false" outlineLevel="0" collapsed="false">
      <c r="B1140" s="7"/>
      <c r="C1140" s="5"/>
      <c r="D1140" s="9" t="str">
        <f aca="false">IF(C1140="","",IFERROR(VLOOKUP(C1140,EQUIPOS!$B$3:$C$18,2,0),"NO EXISTE"))</f>
        <v/>
      </c>
      <c r="E1140" s="9" t="str">
        <f aca="false">IF(C1140="","",IFERROR(VLOOKUP(C1140,EQUIPOS!$B$3:$F$18,5,0),""))</f>
        <v/>
      </c>
      <c r="F1140" s="5" t="str">
        <f aca="false">IF(C1140="","",IFERROR(VLOOKUP(C1140,EQUIPOS!$B$3:$G$18,6,0),""))</f>
        <v/>
      </c>
      <c r="G1140" s="8"/>
      <c r="H1140" s="5"/>
      <c r="I1140" s="5"/>
      <c r="J1140" s="9"/>
      <c r="K1140" s="17" t="str">
        <f aca="false">IF(H1140="","",IFERROR(SUMIFS(BD_PLAN!$I$3:$I$312,BD_PLAN!$B$3:$B$312,E1140,BD_PLAN!$C$3:$C$312,INDEX(BD_CICLO!$F$3:$F$54,MATCH(E1140&amp;"|"&amp;H1140,BD_CICLO!$G$3:$G$54,0))),""))</f>
        <v/>
      </c>
      <c r="L1140" s="9"/>
      <c r="M1140" s="9"/>
      <c r="N1140" s="1" t="str">
        <f aca="false">IF(C1140="","",C1140&amp;"|"&amp;COUNTIF(C$3:C1140,C1140))</f>
        <v/>
      </c>
      <c r="O1140" s="1" t="str">
        <f aca="false">IF(OR(C1140="",M1140=""),"",C1140&amp;"|"&amp;COUNTIFS(C$3:C1140,C1140,M$3:M1140,"&lt;&gt;"))</f>
        <v/>
      </c>
    </row>
    <row r="1141" customFormat="false" ht="15" hidden="false" customHeight="false" outlineLevel="0" collapsed="false">
      <c r="B1141" s="7"/>
      <c r="C1141" s="5"/>
      <c r="D1141" s="9" t="str">
        <f aca="false">IF(C1141="","",IFERROR(VLOOKUP(C1141,EQUIPOS!$B$3:$C$18,2,0),"NO EXISTE"))</f>
        <v/>
      </c>
      <c r="E1141" s="9" t="str">
        <f aca="false">IF(C1141="","",IFERROR(VLOOKUP(C1141,EQUIPOS!$B$3:$F$18,5,0),""))</f>
        <v/>
      </c>
      <c r="F1141" s="5" t="str">
        <f aca="false">IF(C1141="","",IFERROR(VLOOKUP(C1141,EQUIPOS!$B$3:$G$18,6,0),""))</f>
        <v/>
      </c>
      <c r="G1141" s="8"/>
      <c r="H1141" s="5"/>
      <c r="I1141" s="5"/>
      <c r="J1141" s="9"/>
      <c r="K1141" s="17" t="str">
        <f aca="false">IF(H1141="","",IFERROR(SUMIFS(BD_PLAN!$I$3:$I$312,BD_PLAN!$B$3:$B$312,E1141,BD_PLAN!$C$3:$C$312,INDEX(BD_CICLO!$F$3:$F$54,MATCH(E1141&amp;"|"&amp;H1141,BD_CICLO!$G$3:$G$54,0))),""))</f>
        <v/>
      </c>
      <c r="L1141" s="9"/>
      <c r="M1141" s="9"/>
      <c r="N1141" s="1" t="str">
        <f aca="false">IF(C1141="","",C1141&amp;"|"&amp;COUNTIF(C$3:C1141,C1141))</f>
        <v/>
      </c>
      <c r="O1141" s="1" t="str">
        <f aca="false">IF(OR(C1141="",M1141=""),"",C1141&amp;"|"&amp;COUNTIFS(C$3:C1141,C1141,M$3:M1141,"&lt;&gt;"))</f>
        <v/>
      </c>
    </row>
    <row r="1142" customFormat="false" ht="15" hidden="false" customHeight="false" outlineLevel="0" collapsed="false">
      <c r="B1142" s="7"/>
      <c r="C1142" s="5"/>
      <c r="D1142" s="9" t="str">
        <f aca="false">IF(C1142="","",IFERROR(VLOOKUP(C1142,EQUIPOS!$B$3:$C$18,2,0),"NO EXISTE"))</f>
        <v/>
      </c>
      <c r="E1142" s="9" t="str">
        <f aca="false">IF(C1142="","",IFERROR(VLOOKUP(C1142,EQUIPOS!$B$3:$F$18,5,0),""))</f>
        <v/>
      </c>
      <c r="F1142" s="5" t="str">
        <f aca="false">IF(C1142="","",IFERROR(VLOOKUP(C1142,EQUIPOS!$B$3:$G$18,6,0),""))</f>
        <v/>
      </c>
      <c r="G1142" s="8"/>
      <c r="H1142" s="5"/>
      <c r="I1142" s="5"/>
      <c r="J1142" s="9"/>
      <c r="K1142" s="17" t="str">
        <f aca="false">IF(H1142="","",IFERROR(SUMIFS(BD_PLAN!$I$3:$I$312,BD_PLAN!$B$3:$B$312,E1142,BD_PLAN!$C$3:$C$312,INDEX(BD_CICLO!$F$3:$F$54,MATCH(E1142&amp;"|"&amp;H1142,BD_CICLO!$G$3:$G$54,0))),""))</f>
        <v/>
      </c>
      <c r="L1142" s="9"/>
      <c r="M1142" s="9"/>
      <c r="N1142" s="1" t="str">
        <f aca="false">IF(C1142="","",C1142&amp;"|"&amp;COUNTIF(C$3:C1142,C1142))</f>
        <v/>
      </c>
      <c r="O1142" s="1" t="str">
        <f aca="false">IF(OR(C1142="",M1142=""),"",C1142&amp;"|"&amp;COUNTIFS(C$3:C1142,C1142,M$3:M1142,"&lt;&gt;"))</f>
        <v/>
      </c>
    </row>
    <row r="1143" customFormat="false" ht="15" hidden="false" customHeight="false" outlineLevel="0" collapsed="false">
      <c r="B1143" s="7"/>
      <c r="C1143" s="5"/>
      <c r="D1143" s="9" t="str">
        <f aca="false">IF(C1143="","",IFERROR(VLOOKUP(C1143,EQUIPOS!$B$3:$C$18,2,0),"NO EXISTE"))</f>
        <v/>
      </c>
      <c r="E1143" s="9" t="str">
        <f aca="false">IF(C1143="","",IFERROR(VLOOKUP(C1143,EQUIPOS!$B$3:$F$18,5,0),""))</f>
        <v/>
      </c>
      <c r="F1143" s="5" t="str">
        <f aca="false">IF(C1143="","",IFERROR(VLOOKUP(C1143,EQUIPOS!$B$3:$G$18,6,0),""))</f>
        <v/>
      </c>
      <c r="G1143" s="8"/>
      <c r="H1143" s="5"/>
      <c r="I1143" s="5"/>
      <c r="J1143" s="9"/>
      <c r="K1143" s="17" t="str">
        <f aca="false">IF(H1143="","",IFERROR(SUMIFS(BD_PLAN!$I$3:$I$312,BD_PLAN!$B$3:$B$312,E1143,BD_PLAN!$C$3:$C$312,INDEX(BD_CICLO!$F$3:$F$54,MATCH(E1143&amp;"|"&amp;H1143,BD_CICLO!$G$3:$G$54,0))),""))</f>
        <v/>
      </c>
      <c r="L1143" s="9"/>
      <c r="M1143" s="9"/>
      <c r="N1143" s="1" t="str">
        <f aca="false">IF(C1143="","",C1143&amp;"|"&amp;COUNTIF(C$3:C1143,C1143))</f>
        <v/>
      </c>
      <c r="O1143" s="1" t="str">
        <f aca="false">IF(OR(C1143="",M1143=""),"",C1143&amp;"|"&amp;COUNTIFS(C$3:C1143,C1143,M$3:M1143,"&lt;&gt;"))</f>
        <v/>
      </c>
    </row>
    <row r="1144" customFormat="false" ht="15" hidden="false" customHeight="false" outlineLevel="0" collapsed="false">
      <c r="B1144" s="7"/>
      <c r="C1144" s="5"/>
      <c r="D1144" s="9" t="str">
        <f aca="false">IF(C1144="","",IFERROR(VLOOKUP(C1144,EQUIPOS!$B$3:$C$18,2,0),"NO EXISTE"))</f>
        <v/>
      </c>
      <c r="E1144" s="9" t="str">
        <f aca="false">IF(C1144="","",IFERROR(VLOOKUP(C1144,EQUIPOS!$B$3:$F$18,5,0),""))</f>
        <v/>
      </c>
      <c r="F1144" s="5" t="str">
        <f aca="false">IF(C1144="","",IFERROR(VLOOKUP(C1144,EQUIPOS!$B$3:$G$18,6,0),""))</f>
        <v/>
      </c>
      <c r="G1144" s="8"/>
      <c r="H1144" s="5"/>
      <c r="I1144" s="5"/>
      <c r="J1144" s="9"/>
      <c r="K1144" s="17" t="str">
        <f aca="false">IF(H1144="","",IFERROR(SUMIFS(BD_PLAN!$I$3:$I$312,BD_PLAN!$B$3:$B$312,E1144,BD_PLAN!$C$3:$C$312,INDEX(BD_CICLO!$F$3:$F$54,MATCH(E1144&amp;"|"&amp;H1144,BD_CICLO!$G$3:$G$54,0))),""))</f>
        <v/>
      </c>
      <c r="L1144" s="9"/>
      <c r="M1144" s="9"/>
      <c r="N1144" s="1" t="str">
        <f aca="false">IF(C1144="","",C1144&amp;"|"&amp;COUNTIF(C$3:C1144,C1144))</f>
        <v/>
      </c>
      <c r="O1144" s="1" t="str">
        <f aca="false">IF(OR(C1144="",M1144=""),"",C1144&amp;"|"&amp;COUNTIFS(C$3:C1144,C1144,M$3:M1144,"&lt;&gt;"))</f>
        <v/>
      </c>
    </row>
    <row r="1145" customFormat="false" ht="15" hidden="false" customHeight="false" outlineLevel="0" collapsed="false">
      <c r="B1145" s="7"/>
      <c r="C1145" s="5"/>
      <c r="D1145" s="9" t="str">
        <f aca="false">IF(C1145="","",IFERROR(VLOOKUP(C1145,EQUIPOS!$B$3:$C$18,2,0),"NO EXISTE"))</f>
        <v/>
      </c>
      <c r="E1145" s="9" t="str">
        <f aca="false">IF(C1145="","",IFERROR(VLOOKUP(C1145,EQUIPOS!$B$3:$F$18,5,0),""))</f>
        <v/>
      </c>
      <c r="F1145" s="5" t="str">
        <f aca="false">IF(C1145="","",IFERROR(VLOOKUP(C1145,EQUIPOS!$B$3:$G$18,6,0),""))</f>
        <v/>
      </c>
      <c r="G1145" s="8"/>
      <c r="H1145" s="5"/>
      <c r="I1145" s="5"/>
      <c r="J1145" s="9"/>
      <c r="K1145" s="17" t="str">
        <f aca="false">IF(H1145="","",IFERROR(SUMIFS(BD_PLAN!$I$3:$I$312,BD_PLAN!$B$3:$B$312,E1145,BD_PLAN!$C$3:$C$312,INDEX(BD_CICLO!$F$3:$F$54,MATCH(E1145&amp;"|"&amp;H1145,BD_CICLO!$G$3:$G$54,0))),""))</f>
        <v/>
      </c>
      <c r="L1145" s="9"/>
      <c r="M1145" s="9"/>
      <c r="N1145" s="1" t="str">
        <f aca="false">IF(C1145="","",C1145&amp;"|"&amp;COUNTIF(C$3:C1145,C1145))</f>
        <v/>
      </c>
      <c r="O1145" s="1" t="str">
        <f aca="false">IF(OR(C1145="",M1145=""),"",C1145&amp;"|"&amp;COUNTIFS(C$3:C1145,C1145,M$3:M1145,"&lt;&gt;"))</f>
        <v/>
      </c>
    </row>
    <row r="1146" customFormat="false" ht="15" hidden="false" customHeight="false" outlineLevel="0" collapsed="false">
      <c r="B1146" s="7"/>
      <c r="C1146" s="5"/>
      <c r="D1146" s="9" t="str">
        <f aca="false">IF(C1146="","",IFERROR(VLOOKUP(C1146,EQUIPOS!$B$3:$C$18,2,0),"NO EXISTE"))</f>
        <v/>
      </c>
      <c r="E1146" s="9" t="str">
        <f aca="false">IF(C1146="","",IFERROR(VLOOKUP(C1146,EQUIPOS!$B$3:$F$18,5,0),""))</f>
        <v/>
      </c>
      <c r="F1146" s="5" t="str">
        <f aca="false">IF(C1146="","",IFERROR(VLOOKUP(C1146,EQUIPOS!$B$3:$G$18,6,0),""))</f>
        <v/>
      </c>
      <c r="G1146" s="8"/>
      <c r="H1146" s="5"/>
      <c r="I1146" s="5"/>
      <c r="J1146" s="9"/>
      <c r="K1146" s="17" t="str">
        <f aca="false">IF(H1146="","",IFERROR(SUMIFS(BD_PLAN!$I$3:$I$312,BD_PLAN!$B$3:$B$312,E1146,BD_PLAN!$C$3:$C$312,INDEX(BD_CICLO!$F$3:$F$54,MATCH(E1146&amp;"|"&amp;H1146,BD_CICLO!$G$3:$G$54,0))),""))</f>
        <v/>
      </c>
      <c r="L1146" s="9"/>
      <c r="M1146" s="9"/>
      <c r="N1146" s="1" t="str">
        <f aca="false">IF(C1146="","",C1146&amp;"|"&amp;COUNTIF(C$3:C1146,C1146))</f>
        <v/>
      </c>
      <c r="O1146" s="1" t="str">
        <f aca="false">IF(OR(C1146="",M1146=""),"",C1146&amp;"|"&amp;COUNTIFS(C$3:C1146,C1146,M$3:M1146,"&lt;&gt;"))</f>
        <v/>
      </c>
    </row>
    <row r="1147" customFormat="false" ht="15" hidden="false" customHeight="false" outlineLevel="0" collapsed="false">
      <c r="B1147" s="7"/>
      <c r="C1147" s="5"/>
      <c r="D1147" s="9" t="str">
        <f aca="false">IF(C1147="","",IFERROR(VLOOKUP(C1147,EQUIPOS!$B$3:$C$18,2,0),"NO EXISTE"))</f>
        <v/>
      </c>
      <c r="E1147" s="9" t="str">
        <f aca="false">IF(C1147="","",IFERROR(VLOOKUP(C1147,EQUIPOS!$B$3:$F$18,5,0),""))</f>
        <v/>
      </c>
      <c r="F1147" s="5" t="str">
        <f aca="false">IF(C1147="","",IFERROR(VLOOKUP(C1147,EQUIPOS!$B$3:$G$18,6,0),""))</f>
        <v/>
      </c>
      <c r="G1147" s="8"/>
      <c r="H1147" s="5"/>
      <c r="I1147" s="5"/>
      <c r="J1147" s="9"/>
      <c r="K1147" s="17" t="str">
        <f aca="false">IF(H1147="","",IFERROR(SUMIFS(BD_PLAN!$I$3:$I$312,BD_PLAN!$B$3:$B$312,E1147,BD_PLAN!$C$3:$C$312,INDEX(BD_CICLO!$F$3:$F$54,MATCH(E1147&amp;"|"&amp;H1147,BD_CICLO!$G$3:$G$54,0))),""))</f>
        <v/>
      </c>
      <c r="L1147" s="9"/>
      <c r="M1147" s="9"/>
      <c r="N1147" s="1" t="str">
        <f aca="false">IF(C1147="","",C1147&amp;"|"&amp;COUNTIF(C$3:C1147,C1147))</f>
        <v/>
      </c>
      <c r="O1147" s="1" t="str">
        <f aca="false">IF(OR(C1147="",M1147=""),"",C1147&amp;"|"&amp;COUNTIFS(C$3:C1147,C1147,M$3:M1147,"&lt;&gt;"))</f>
        <v/>
      </c>
    </row>
    <row r="1148" customFormat="false" ht="15" hidden="false" customHeight="false" outlineLevel="0" collapsed="false">
      <c r="B1148" s="7"/>
      <c r="C1148" s="5"/>
      <c r="D1148" s="9" t="str">
        <f aca="false">IF(C1148="","",IFERROR(VLOOKUP(C1148,EQUIPOS!$B$3:$C$18,2,0),"NO EXISTE"))</f>
        <v/>
      </c>
      <c r="E1148" s="9" t="str">
        <f aca="false">IF(C1148="","",IFERROR(VLOOKUP(C1148,EQUIPOS!$B$3:$F$18,5,0),""))</f>
        <v/>
      </c>
      <c r="F1148" s="5" t="str">
        <f aca="false">IF(C1148="","",IFERROR(VLOOKUP(C1148,EQUIPOS!$B$3:$G$18,6,0),""))</f>
        <v/>
      </c>
      <c r="G1148" s="8"/>
      <c r="H1148" s="5"/>
      <c r="I1148" s="5"/>
      <c r="J1148" s="9"/>
      <c r="K1148" s="17" t="str">
        <f aca="false">IF(H1148="","",IFERROR(SUMIFS(BD_PLAN!$I$3:$I$312,BD_PLAN!$B$3:$B$312,E1148,BD_PLAN!$C$3:$C$312,INDEX(BD_CICLO!$F$3:$F$54,MATCH(E1148&amp;"|"&amp;H1148,BD_CICLO!$G$3:$G$54,0))),""))</f>
        <v/>
      </c>
      <c r="L1148" s="9"/>
      <c r="M1148" s="9"/>
      <c r="N1148" s="1" t="str">
        <f aca="false">IF(C1148="","",C1148&amp;"|"&amp;COUNTIF(C$3:C1148,C1148))</f>
        <v/>
      </c>
      <c r="O1148" s="1" t="str">
        <f aca="false">IF(OR(C1148="",M1148=""),"",C1148&amp;"|"&amp;COUNTIFS(C$3:C1148,C1148,M$3:M1148,"&lt;&gt;"))</f>
        <v/>
      </c>
    </row>
    <row r="1149" customFormat="false" ht="15" hidden="false" customHeight="false" outlineLevel="0" collapsed="false">
      <c r="B1149" s="7"/>
      <c r="C1149" s="5"/>
      <c r="D1149" s="9" t="str">
        <f aca="false">IF(C1149="","",IFERROR(VLOOKUP(C1149,EQUIPOS!$B$3:$C$18,2,0),"NO EXISTE"))</f>
        <v/>
      </c>
      <c r="E1149" s="9" t="str">
        <f aca="false">IF(C1149="","",IFERROR(VLOOKUP(C1149,EQUIPOS!$B$3:$F$18,5,0),""))</f>
        <v/>
      </c>
      <c r="F1149" s="5" t="str">
        <f aca="false">IF(C1149="","",IFERROR(VLOOKUP(C1149,EQUIPOS!$B$3:$G$18,6,0),""))</f>
        <v/>
      </c>
      <c r="G1149" s="8"/>
      <c r="H1149" s="5"/>
      <c r="I1149" s="5"/>
      <c r="J1149" s="9"/>
      <c r="K1149" s="17" t="str">
        <f aca="false">IF(H1149="","",IFERROR(SUMIFS(BD_PLAN!$I$3:$I$312,BD_PLAN!$B$3:$B$312,E1149,BD_PLAN!$C$3:$C$312,INDEX(BD_CICLO!$F$3:$F$54,MATCH(E1149&amp;"|"&amp;H1149,BD_CICLO!$G$3:$G$54,0))),""))</f>
        <v/>
      </c>
      <c r="L1149" s="9"/>
      <c r="M1149" s="9"/>
      <c r="N1149" s="1" t="str">
        <f aca="false">IF(C1149="","",C1149&amp;"|"&amp;COUNTIF(C$3:C1149,C1149))</f>
        <v/>
      </c>
      <c r="O1149" s="1" t="str">
        <f aca="false">IF(OR(C1149="",M1149=""),"",C1149&amp;"|"&amp;COUNTIFS(C$3:C1149,C1149,M$3:M1149,"&lt;&gt;"))</f>
        <v/>
      </c>
    </row>
    <row r="1150" customFormat="false" ht="15" hidden="false" customHeight="false" outlineLevel="0" collapsed="false">
      <c r="B1150" s="7"/>
      <c r="C1150" s="5"/>
      <c r="D1150" s="9" t="str">
        <f aca="false">IF(C1150="","",IFERROR(VLOOKUP(C1150,EQUIPOS!$B$3:$C$18,2,0),"NO EXISTE"))</f>
        <v/>
      </c>
      <c r="E1150" s="9" t="str">
        <f aca="false">IF(C1150="","",IFERROR(VLOOKUP(C1150,EQUIPOS!$B$3:$F$18,5,0),""))</f>
        <v/>
      </c>
      <c r="F1150" s="5" t="str">
        <f aca="false">IF(C1150="","",IFERROR(VLOOKUP(C1150,EQUIPOS!$B$3:$G$18,6,0),""))</f>
        <v/>
      </c>
      <c r="G1150" s="8"/>
      <c r="H1150" s="5"/>
      <c r="I1150" s="5"/>
      <c r="J1150" s="9"/>
      <c r="K1150" s="17" t="str">
        <f aca="false">IF(H1150="","",IFERROR(SUMIFS(BD_PLAN!$I$3:$I$312,BD_PLAN!$B$3:$B$312,E1150,BD_PLAN!$C$3:$C$312,INDEX(BD_CICLO!$F$3:$F$54,MATCH(E1150&amp;"|"&amp;H1150,BD_CICLO!$G$3:$G$54,0))),""))</f>
        <v/>
      </c>
      <c r="L1150" s="9"/>
      <c r="M1150" s="9"/>
      <c r="N1150" s="1" t="str">
        <f aca="false">IF(C1150="","",C1150&amp;"|"&amp;COUNTIF(C$3:C1150,C1150))</f>
        <v/>
      </c>
      <c r="O1150" s="1" t="str">
        <f aca="false">IF(OR(C1150="",M1150=""),"",C1150&amp;"|"&amp;COUNTIFS(C$3:C1150,C1150,M$3:M1150,"&lt;&gt;"))</f>
        <v/>
      </c>
    </row>
    <row r="1151" customFormat="false" ht="15" hidden="false" customHeight="false" outlineLevel="0" collapsed="false">
      <c r="B1151" s="7"/>
      <c r="C1151" s="5"/>
      <c r="D1151" s="9" t="str">
        <f aca="false">IF(C1151="","",IFERROR(VLOOKUP(C1151,EQUIPOS!$B$3:$C$18,2,0),"NO EXISTE"))</f>
        <v/>
      </c>
      <c r="E1151" s="9" t="str">
        <f aca="false">IF(C1151="","",IFERROR(VLOOKUP(C1151,EQUIPOS!$B$3:$F$18,5,0),""))</f>
        <v/>
      </c>
      <c r="F1151" s="5" t="str">
        <f aca="false">IF(C1151="","",IFERROR(VLOOKUP(C1151,EQUIPOS!$B$3:$G$18,6,0),""))</f>
        <v/>
      </c>
      <c r="G1151" s="8"/>
      <c r="H1151" s="5"/>
      <c r="I1151" s="5"/>
      <c r="J1151" s="9"/>
      <c r="K1151" s="17" t="str">
        <f aca="false">IF(H1151="","",IFERROR(SUMIFS(BD_PLAN!$I$3:$I$312,BD_PLAN!$B$3:$B$312,E1151,BD_PLAN!$C$3:$C$312,INDEX(BD_CICLO!$F$3:$F$54,MATCH(E1151&amp;"|"&amp;H1151,BD_CICLO!$G$3:$G$54,0))),""))</f>
        <v/>
      </c>
      <c r="L1151" s="9"/>
      <c r="M1151" s="9"/>
      <c r="N1151" s="1" t="str">
        <f aca="false">IF(C1151="","",C1151&amp;"|"&amp;COUNTIF(C$3:C1151,C1151))</f>
        <v/>
      </c>
      <c r="O1151" s="1" t="str">
        <f aca="false">IF(OR(C1151="",M1151=""),"",C1151&amp;"|"&amp;COUNTIFS(C$3:C1151,C1151,M$3:M1151,"&lt;&gt;"))</f>
        <v/>
      </c>
    </row>
    <row r="1152" customFormat="false" ht="15" hidden="false" customHeight="false" outlineLevel="0" collapsed="false">
      <c r="B1152" s="7"/>
      <c r="C1152" s="5"/>
      <c r="D1152" s="9" t="str">
        <f aca="false">IF(C1152="","",IFERROR(VLOOKUP(C1152,EQUIPOS!$B$3:$C$18,2,0),"NO EXISTE"))</f>
        <v/>
      </c>
      <c r="E1152" s="9" t="str">
        <f aca="false">IF(C1152="","",IFERROR(VLOOKUP(C1152,EQUIPOS!$B$3:$F$18,5,0),""))</f>
        <v/>
      </c>
      <c r="F1152" s="5" t="str">
        <f aca="false">IF(C1152="","",IFERROR(VLOOKUP(C1152,EQUIPOS!$B$3:$G$18,6,0),""))</f>
        <v/>
      </c>
      <c r="G1152" s="8"/>
      <c r="H1152" s="5"/>
      <c r="I1152" s="5"/>
      <c r="J1152" s="9"/>
      <c r="K1152" s="17" t="str">
        <f aca="false">IF(H1152="","",IFERROR(SUMIFS(BD_PLAN!$I$3:$I$312,BD_PLAN!$B$3:$B$312,E1152,BD_PLAN!$C$3:$C$312,INDEX(BD_CICLO!$F$3:$F$54,MATCH(E1152&amp;"|"&amp;H1152,BD_CICLO!$G$3:$G$54,0))),""))</f>
        <v/>
      </c>
      <c r="L1152" s="9"/>
      <c r="M1152" s="9"/>
      <c r="N1152" s="1" t="str">
        <f aca="false">IF(C1152="","",C1152&amp;"|"&amp;COUNTIF(C$3:C1152,C1152))</f>
        <v/>
      </c>
      <c r="O1152" s="1" t="str">
        <f aca="false">IF(OR(C1152="",M1152=""),"",C1152&amp;"|"&amp;COUNTIFS(C$3:C1152,C1152,M$3:M1152,"&lt;&gt;"))</f>
        <v/>
      </c>
    </row>
    <row r="1153" customFormat="false" ht="15" hidden="false" customHeight="false" outlineLevel="0" collapsed="false">
      <c r="B1153" s="7"/>
      <c r="C1153" s="5"/>
      <c r="D1153" s="9" t="str">
        <f aca="false">IF(C1153="","",IFERROR(VLOOKUP(C1153,EQUIPOS!$B$3:$C$18,2,0),"NO EXISTE"))</f>
        <v/>
      </c>
      <c r="E1153" s="9" t="str">
        <f aca="false">IF(C1153="","",IFERROR(VLOOKUP(C1153,EQUIPOS!$B$3:$F$18,5,0),""))</f>
        <v/>
      </c>
      <c r="F1153" s="5" t="str">
        <f aca="false">IF(C1153="","",IFERROR(VLOOKUP(C1153,EQUIPOS!$B$3:$G$18,6,0),""))</f>
        <v/>
      </c>
      <c r="G1153" s="8"/>
      <c r="H1153" s="5"/>
      <c r="I1153" s="5"/>
      <c r="J1153" s="9"/>
      <c r="K1153" s="17" t="str">
        <f aca="false">IF(H1153="","",IFERROR(SUMIFS(BD_PLAN!$I$3:$I$312,BD_PLAN!$B$3:$B$312,E1153,BD_PLAN!$C$3:$C$312,INDEX(BD_CICLO!$F$3:$F$54,MATCH(E1153&amp;"|"&amp;H1153,BD_CICLO!$G$3:$G$54,0))),""))</f>
        <v/>
      </c>
      <c r="L1153" s="9"/>
      <c r="M1153" s="9"/>
      <c r="N1153" s="1" t="str">
        <f aca="false">IF(C1153="","",C1153&amp;"|"&amp;COUNTIF(C$3:C1153,C1153))</f>
        <v/>
      </c>
      <c r="O1153" s="1" t="str">
        <f aca="false">IF(OR(C1153="",M1153=""),"",C1153&amp;"|"&amp;COUNTIFS(C$3:C1153,C1153,M$3:M1153,"&lt;&gt;"))</f>
        <v/>
      </c>
    </row>
    <row r="1154" customFormat="false" ht="15" hidden="false" customHeight="false" outlineLevel="0" collapsed="false">
      <c r="B1154" s="7"/>
      <c r="C1154" s="5"/>
      <c r="D1154" s="9" t="str">
        <f aca="false">IF(C1154="","",IFERROR(VLOOKUP(C1154,EQUIPOS!$B$3:$C$18,2,0),"NO EXISTE"))</f>
        <v/>
      </c>
      <c r="E1154" s="9" t="str">
        <f aca="false">IF(C1154="","",IFERROR(VLOOKUP(C1154,EQUIPOS!$B$3:$F$18,5,0),""))</f>
        <v/>
      </c>
      <c r="F1154" s="5" t="str">
        <f aca="false">IF(C1154="","",IFERROR(VLOOKUP(C1154,EQUIPOS!$B$3:$G$18,6,0),""))</f>
        <v/>
      </c>
      <c r="G1154" s="8"/>
      <c r="H1154" s="5"/>
      <c r="I1154" s="5"/>
      <c r="J1154" s="9"/>
      <c r="K1154" s="17" t="str">
        <f aca="false">IF(H1154="","",IFERROR(SUMIFS(BD_PLAN!$I$3:$I$312,BD_PLAN!$B$3:$B$312,E1154,BD_PLAN!$C$3:$C$312,INDEX(BD_CICLO!$F$3:$F$54,MATCH(E1154&amp;"|"&amp;H1154,BD_CICLO!$G$3:$G$54,0))),""))</f>
        <v/>
      </c>
      <c r="L1154" s="9"/>
      <c r="M1154" s="9"/>
      <c r="N1154" s="1" t="str">
        <f aca="false">IF(C1154="","",C1154&amp;"|"&amp;COUNTIF(C$3:C1154,C1154))</f>
        <v/>
      </c>
      <c r="O1154" s="1" t="str">
        <f aca="false">IF(OR(C1154="",M1154=""),"",C1154&amp;"|"&amp;COUNTIFS(C$3:C1154,C1154,M$3:M1154,"&lt;&gt;"))</f>
        <v/>
      </c>
    </row>
    <row r="1155" customFormat="false" ht="15" hidden="false" customHeight="false" outlineLevel="0" collapsed="false">
      <c r="B1155" s="7"/>
      <c r="C1155" s="5"/>
      <c r="D1155" s="9" t="str">
        <f aca="false">IF(C1155="","",IFERROR(VLOOKUP(C1155,EQUIPOS!$B$3:$C$18,2,0),"NO EXISTE"))</f>
        <v/>
      </c>
      <c r="E1155" s="9" t="str">
        <f aca="false">IF(C1155="","",IFERROR(VLOOKUP(C1155,EQUIPOS!$B$3:$F$18,5,0),""))</f>
        <v/>
      </c>
      <c r="F1155" s="5" t="str">
        <f aca="false">IF(C1155="","",IFERROR(VLOOKUP(C1155,EQUIPOS!$B$3:$G$18,6,0),""))</f>
        <v/>
      </c>
      <c r="G1155" s="8"/>
      <c r="H1155" s="5"/>
      <c r="I1155" s="5"/>
      <c r="J1155" s="9"/>
      <c r="K1155" s="17" t="str">
        <f aca="false">IF(H1155="","",IFERROR(SUMIFS(BD_PLAN!$I$3:$I$312,BD_PLAN!$B$3:$B$312,E1155,BD_PLAN!$C$3:$C$312,INDEX(BD_CICLO!$F$3:$F$54,MATCH(E1155&amp;"|"&amp;H1155,BD_CICLO!$G$3:$G$54,0))),""))</f>
        <v/>
      </c>
      <c r="L1155" s="9"/>
      <c r="M1155" s="9"/>
      <c r="N1155" s="1" t="str">
        <f aca="false">IF(C1155="","",C1155&amp;"|"&amp;COUNTIF(C$3:C1155,C1155))</f>
        <v/>
      </c>
      <c r="O1155" s="1" t="str">
        <f aca="false">IF(OR(C1155="",M1155=""),"",C1155&amp;"|"&amp;COUNTIFS(C$3:C1155,C1155,M$3:M1155,"&lt;&gt;"))</f>
        <v/>
      </c>
    </row>
    <row r="1156" customFormat="false" ht="15" hidden="false" customHeight="false" outlineLevel="0" collapsed="false">
      <c r="B1156" s="7"/>
      <c r="C1156" s="5"/>
      <c r="D1156" s="9" t="str">
        <f aca="false">IF(C1156="","",IFERROR(VLOOKUP(C1156,EQUIPOS!$B$3:$C$18,2,0),"NO EXISTE"))</f>
        <v/>
      </c>
      <c r="E1156" s="9" t="str">
        <f aca="false">IF(C1156="","",IFERROR(VLOOKUP(C1156,EQUIPOS!$B$3:$F$18,5,0),""))</f>
        <v/>
      </c>
      <c r="F1156" s="5" t="str">
        <f aca="false">IF(C1156="","",IFERROR(VLOOKUP(C1156,EQUIPOS!$B$3:$G$18,6,0),""))</f>
        <v/>
      </c>
      <c r="G1156" s="8"/>
      <c r="H1156" s="5"/>
      <c r="I1156" s="5"/>
      <c r="J1156" s="9"/>
      <c r="K1156" s="17" t="str">
        <f aca="false">IF(H1156="","",IFERROR(SUMIFS(BD_PLAN!$I$3:$I$312,BD_PLAN!$B$3:$B$312,E1156,BD_PLAN!$C$3:$C$312,INDEX(BD_CICLO!$F$3:$F$54,MATCH(E1156&amp;"|"&amp;H1156,BD_CICLO!$G$3:$G$54,0))),""))</f>
        <v/>
      </c>
      <c r="L1156" s="9"/>
      <c r="M1156" s="9"/>
      <c r="N1156" s="1" t="str">
        <f aca="false">IF(C1156="","",C1156&amp;"|"&amp;COUNTIF(C$3:C1156,C1156))</f>
        <v/>
      </c>
      <c r="O1156" s="1" t="str">
        <f aca="false">IF(OR(C1156="",M1156=""),"",C1156&amp;"|"&amp;COUNTIFS(C$3:C1156,C1156,M$3:M1156,"&lt;&gt;"))</f>
        <v/>
      </c>
    </row>
    <row r="1157" customFormat="false" ht="15" hidden="false" customHeight="false" outlineLevel="0" collapsed="false">
      <c r="B1157" s="7"/>
      <c r="C1157" s="5"/>
      <c r="D1157" s="9" t="str">
        <f aca="false">IF(C1157="","",IFERROR(VLOOKUP(C1157,EQUIPOS!$B$3:$C$18,2,0),"NO EXISTE"))</f>
        <v/>
      </c>
      <c r="E1157" s="9" t="str">
        <f aca="false">IF(C1157="","",IFERROR(VLOOKUP(C1157,EQUIPOS!$B$3:$F$18,5,0),""))</f>
        <v/>
      </c>
      <c r="F1157" s="5" t="str">
        <f aca="false">IF(C1157="","",IFERROR(VLOOKUP(C1157,EQUIPOS!$B$3:$G$18,6,0),""))</f>
        <v/>
      </c>
      <c r="G1157" s="8"/>
      <c r="H1157" s="5"/>
      <c r="I1157" s="5"/>
      <c r="J1157" s="9"/>
      <c r="K1157" s="17" t="str">
        <f aca="false">IF(H1157="","",IFERROR(SUMIFS(BD_PLAN!$I$3:$I$312,BD_PLAN!$B$3:$B$312,E1157,BD_PLAN!$C$3:$C$312,INDEX(BD_CICLO!$F$3:$F$54,MATCH(E1157&amp;"|"&amp;H1157,BD_CICLO!$G$3:$G$54,0))),""))</f>
        <v/>
      </c>
      <c r="L1157" s="9"/>
      <c r="M1157" s="9"/>
      <c r="N1157" s="1" t="str">
        <f aca="false">IF(C1157="","",C1157&amp;"|"&amp;COUNTIF(C$3:C1157,C1157))</f>
        <v/>
      </c>
      <c r="O1157" s="1" t="str">
        <f aca="false">IF(OR(C1157="",M1157=""),"",C1157&amp;"|"&amp;COUNTIFS(C$3:C1157,C1157,M$3:M1157,"&lt;&gt;"))</f>
        <v/>
      </c>
    </row>
    <row r="1158" customFormat="false" ht="15" hidden="false" customHeight="false" outlineLevel="0" collapsed="false">
      <c r="B1158" s="7"/>
      <c r="C1158" s="5"/>
      <c r="D1158" s="9" t="str">
        <f aca="false">IF(C1158="","",IFERROR(VLOOKUP(C1158,EQUIPOS!$B$3:$C$18,2,0),"NO EXISTE"))</f>
        <v/>
      </c>
      <c r="E1158" s="9" t="str">
        <f aca="false">IF(C1158="","",IFERROR(VLOOKUP(C1158,EQUIPOS!$B$3:$F$18,5,0),""))</f>
        <v/>
      </c>
      <c r="F1158" s="5" t="str">
        <f aca="false">IF(C1158="","",IFERROR(VLOOKUP(C1158,EQUIPOS!$B$3:$G$18,6,0),""))</f>
        <v/>
      </c>
      <c r="G1158" s="8"/>
      <c r="H1158" s="5"/>
      <c r="I1158" s="5"/>
      <c r="J1158" s="9"/>
      <c r="K1158" s="17" t="str">
        <f aca="false">IF(H1158="","",IFERROR(SUMIFS(BD_PLAN!$I$3:$I$312,BD_PLAN!$B$3:$B$312,E1158,BD_PLAN!$C$3:$C$312,INDEX(BD_CICLO!$F$3:$F$54,MATCH(E1158&amp;"|"&amp;H1158,BD_CICLO!$G$3:$G$54,0))),""))</f>
        <v/>
      </c>
      <c r="L1158" s="9"/>
      <c r="M1158" s="9"/>
      <c r="N1158" s="1" t="str">
        <f aca="false">IF(C1158="","",C1158&amp;"|"&amp;COUNTIF(C$3:C1158,C1158))</f>
        <v/>
      </c>
      <c r="O1158" s="1" t="str">
        <f aca="false">IF(OR(C1158="",M1158=""),"",C1158&amp;"|"&amp;COUNTIFS(C$3:C1158,C1158,M$3:M1158,"&lt;&gt;"))</f>
        <v/>
      </c>
    </row>
    <row r="1159" customFormat="false" ht="15" hidden="false" customHeight="false" outlineLevel="0" collapsed="false">
      <c r="B1159" s="7"/>
      <c r="C1159" s="5"/>
      <c r="D1159" s="9" t="str">
        <f aca="false">IF(C1159="","",IFERROR(VLOOKUP(C1159,EQUIPOS!$B$3:$C$18,2,0),"NO EXISTE"))</f>
        <v/>
      </c>
      <c r="E1159" s="9" t="str">
        <f aca="false">IF(C1159="","",IFERROR(VLOOKUP(C1159,EQUIPOS!$B$3:$F$18,5,0),""))</f>
        <v/>
      </c>
      <c r="F1159" s="5" t="str">
        <f aca="false">IF(C1159="","",IFERROR(VLOOKUP(C1159,EQUIPOS!$B$3:$G$18,6,0),""))</f>
        <v/>
      </c>
      <c r="G1159" s="8"/>
      <c r="H1159" s="5"/>
      <c r="I1159" s="5"/>
      <c r="J1159" s="9"/>
      <c r="K1159" s="17" t="str">
        <f aca="false">IF(H1159="","",IFERROR(SUMIFS(BD_PLAN!$I$3:$I$312,BD_PLAN!$B$3:$B$312,E1159,BD_PLAN!$C$3:$C$312,INDEX(BD_CICLO!$F$3:$F$54,MATCH(E1159&amp;"|"&amp;H1159,BD_CICLO!$G$3:$G$54,0))),""))</f>
        <v/>
      </c>
      <c r="L1159" s="9"/>
      <c r="M1159" s="9"/>
      <c r="N1159" s="1" t="str">
        <f aca="false">IF(C1159="","",C1159&amp;"|"&amp;COUNTIF(C$3:C1159,C1159))</f>
        <v/>
      </c>
      <c r="O1159" s="1" t="str">
        <f aca="false">IF(OR(C1159="",M1159=""),"",C1159&amp;"|"&amp;COUNTIFS(C$3:C1159,C1159,M$3:M1159,"&lt;&gt;"))</f>
        <v/>
      </c>
    </row>
    <row r="1160" customFormat="false" ht="15" hidden="false" customHeight="false" outlineLevel="0" collapsed="false">
      <c r="B1160" s="7"/>
      <c r="C1160" s="5"/>
      <c r="D1160" s="9" t="str">
        <f aca="false">IF(C1160="","",IFERROR(VLOOKUP(C1160,EQUIPOS!$B$3:$C$18,2,0),"NO EXISTE"))</f>
        <v/>
      </c>
      <c r="E1160" s="9" t="str">
        <f aca="false">IF(C1160="","",IFERROR(VLOOKUP(C1160,EQUIPOS!$B$3:$F$18,5,0),""))</f>
        <v/>
      </c>
      <c r="F1160" s="5" t="str">
        <f aca="false">IF(C1160="","",IFERROR(VLOOKUP(C1160,EQUIPOS!$B$3:$G$18,6,0),""))</f>
        <v/>
      </c>
      <c r="G1160" s="8"/>
      <c r="H1160" s="5"/>
      <c r="I1160" s="5"/>
      <c r="J1160" s="9"/>
      <c r="K1160" s="17" t="str">
        <f aca="false">IF(H1160="","",IFERROR(SUMIFS(BD_PLAN!$I$3:$I$312,BD_PLAN!$B$3:$B$312,E1160,BD_PLAN!$C$3:$C$312,INDEX(BD_CICLO!$F$3:$F$54,MATCH(E1160&amp;"|"&amp;H1160,BD_CICLO!$G$3:$G$54,0))),""))</f>
        <v/>
      </c>
      <c r="L1160" s="9"/>
      <c r="M1160" s="9"/>
      <c r="N1160" s="1" t="str">
        <f aca="false">IF(C1160="","",C1160&amp;"|"&amp;COUNTIF(C$3:C1160,C1160))</f>
        <v/>
      </c>
      <c r="O1160" s="1" t="str">
        <f aca="false">IF(OR(C1160="",M1160=""),"",C1160&amp;"|"&amp;COUNTIFS(C$3:C1160,C1160,M$3:M1160,"&lt;&gt;"))</f>
        <v/>
      </c>
    </row>
    <row r="1161" customFormat="false" ht="15" hidden="false" customHeight="false" outlineLevel="0" collapsed="false">
      <c r="B1161" s="7"/>
      <c r="C1161" s="5"/>
      <c r="D1161" s="9" t="str">
        <f aca="false">IF(C1161="","",IFERROR(VLOOKUP(C1161,EQUIPOS!$B$3:$C$18,2,0),"NO EXISTE"))</f>
        <v/>
      </c>
      <c r="E1161" s="9" t="str">
        <f aca="false">IF(C1161="","",IFERROR(VLOOKUP(C1161,EQUIPOS!$B$3:$F$18,5,0),""))</f>
        <v/>
      </c>
      <c r="F1161" s="5" t="str">
        <f aca="false">IF(C1161="","",IFERROR(VLOOKUP(C1161,EQUIPOS!$B$3:$G$18,6,0),""))</f>
        <v/>
      </c>
      <c r="G1161" s="8"/>
      <c r="H1161" s="5"/>
      <c r="I1161" s="5"/>
      <c r="J1161" s="9"/>
      <c r="K1161" s="17" t="str">
        <f aca="false">IF(H1161="","",IFERROR(SUMIFS(BD_PLAN!$I$3:$I$312,BD_PLAN!$B$3:$B$312,E1161,BD_PLAN!$C$3:$C$312,INDEX(BD_CICLO!$F$3:$F$54,MATCH(E1161&amp;"|"&amp;H1161,BD_CICLO!$G$3:$G$54,0))),""))</f>
        <v/>
      </c>
      <c r="L1161" s="9"/>
      <c r="M1161" s="9"/>
      <c r="N1161" s="1" t="str">
        <f aca="false">IF(C1161="","",C1161&amp;"|"&amp;COUNTIF(C$3:C1161,C1161))</f>
        <v/>
      </c>
      <c r="O1161" s="1" t="str">
        <f aca="false">IF(OR(C1161="",M1161=""),"",C1161&amp;"|"&amp;COUNTIFS(C$3:C1161,C1161,M$3:M1161,"&lt;&gt;"))</f>
        <v/>
      </c>
    </row>
    <row r="1162" customFormat="false" ht="15" hidden="false" customHeight="false" outlineLevel="0" collapsed="false">
      <c r="B1162" s="7"/>
      <c r="C1162" s="5"/>
      <c r="D1162" s="9" t="str">
        <f aca="false">IF(C1162="","",IFERROR(VLOOKUP(C1162,EQUIPOS!$B$3:$C$18,2,0),"NO EXISTE"))</f>
        <v/>
      </c>
      <c r="E1162" s="9" t="str">
        <f aca="false">IF(C1162="","",IFERROR(VLOOKUP(C1162,EQUIPOS!$B$3:$F$18,5,0),""))</f>
        <v/>
      </c>
      <c r="F1162" s="5" t="str">
        <f aca="false">IF(C1162="","",IFERROR(VLOOKUP(C1162,EQUIPOS!$B$3:$G$18,6,0),""))</f>
        <v/>
      </c>
      <c r="G1162" s="8"/>
      <c r="H1162" s="5"/>
      <c r="I1162" s="5"/>
      <c r="J1162" s="9"/>
      <c r="K1162" s="17" t="str">
        <f aca="false">IF(H1162="","",IFERROR(SUMIFS(BD_PLAN!$I$3:$I$312,BD_PLAN!$B$3:$B$312,E1162,BD_PLAN!$C$3:$C$312,INDEX(BD_CICLO!$F$3:$F$54,MATCH(E1162&amp;"|"&amp;H1162,BD_CICLO!$G$3:$G$54,0))),""))</f>
        <v/>
      </c>
      <c r="L1162" s="9"/>
      <c r="M1162" s="9"/>
      <c r="N1162" s="1" t="str">
        <f aca="false">IF(C1162="","",C1162&amp;"|"&amp;COUNTIF(C$3:C1162,C1162))</f>
        <v/>
      </c>
      <c r="O1162" s="1" t="str">
        <f aca="false">IF(OR(C1162="",M1162=""),"",C1162&amp;"|"&amp;COUNTIFS(C$3:C1162,C1162,M$3:M1162,"&lt;&gt;"))</f>
        <v/>
      </c>
    </row>
    <row r="1163" customFormat="false" ht="15" hidden="false" customHeight="false" outlineLevel="0" collapsed="false">
      <c r="B1163" s="7"/>
      <c r="C1163" s="5"/>
      <c r="D1163" s="9" t="str">
        <f aca="false">IF(C1163="","",IFERROR(VLOOKUP(C1163,EQUIPOS!$B$3:$C$18,2,0),"NO EXISTE"))</f>
        <v/>
      </c>
      <c r="E1163" s="9" t="str">
        <f aca="false">IF(C1163="","",IFERROR(VLOOKUP(C1163,EQUIPOS!$B$3:$F$18,5,0),""))</f>
        <v/>
      </c>
      <c r="F1163" s="5" t="str">
        <f aca="false">IF(C1163="","",IFERROR(VLOOKUP(C1163,EQUIPOS!$B$3:$G$18,6,0),""))</f>
        <v/>
      </c>
      <c r="G1163" s="8"/>
      <c r="H1163" s="5"/>
      <c r="I1163" s="5"/>
      <c r="J1163" s="9"/>
      <c r="K1163" s="17" t="str">
        <f aca="false">IF(H1163="","",IFERROR(SUMIFS(BD_PLAN!$I$3:$I$312,BD_PLAN!$B$3:$B$312,E1163,BD_PLAN!$C$3:$C$312,INDEX(BD_CICLO!$F$3:$F$54,MATCH(E1163&amp;"|"&amp;H1163,BD_CICLO!$G$3:$G$54,0))),""))</f>
        <v/>
      </c>
      <c r="L1163" s="9"/>
      <c r="M1163" s="9"/>
      <c r="N1163" s="1" t="str">
        <f aca="false">IF(C1163="","",C1163&amp;"|"&amp;COUNTIF(C$3:C1163,C1163))</f>
        <v/>
      </c>
      <c r="O1163" s="1" t="str">
        <f aca="false">IF(OR(C1163="",M1163=""),"",C1163&amp;"|"&amp;COUNTIFS(C$3:C1163,C1163,M$3:M1163,"&lt;&gt;"))</f>
        <v/>
      </c>
    </row>
    <row r="1164" customFormat="false" ht="15" hidden="false" customHeight="false" outlineLevel="0" collapsed="false">
      <c r="B1164" s="7"/>
      <c r="C1164" s="5"/>
      <c r="D1164" s="9" t="str">
        <f aca="false">IF(C1164="","",IFERROR(VLOOKUP(C1164,EQUIPOS!$B$3:$C$18,2,0),"NO EXISTE"))</f>
        <v/>
      </c>
      <c r="E1164" s="9" t="str">
        <f aca="false">IF(C1164="","",IFERROR(VLOOKUP(C1164,EQUIPOS!$B$3:$F$18,5,0),""))</f>
        <v/>
      </c>
      <c r="F1164" s="5" t="str">
        <f aca="false">IF(C1164="","",IFERROR(VLOOKUP(C1164,EQUIPOS!$B$3:$G$18,6,0),""))</f>
        <v/>
      </c>
      <c r="G1164" s="8"/>
      <c r="H1164" s="5"/>
      <c r="I1164" s="5"/>
      <c r="J1164" s="9"/>
      <c r="K1164" s="17" t="str">
        <f aca="false">IF(H1164="","",IFERROR(SUMIFS(BD_PLAN!$I$3:$I$312,BD_PLAN!$B$3:$B$312,E1164,BD_PLAN!$C$3:$C$312,INDEX(BD_CICLO!$F$3:$F$54,MATCH(E1164&amp;"|"&amp;H1164,BD_CICLO!$G$3:$G$54,0))),""))</f>
        <v/>
      </c>
      <c r="L1164" s="9"/>
      <c r="M1164" s="9"/>
      <c r="N1164" s="1" t="str">
        <f aca="false">IF(C1164="","",C1164&amp;"|"&amp;COUNTIF(C$3:C1164,C1164))</f>
        <v/>
      </c>
      <c r="O1164" s="1" t="str">
        <f aca="false">IF(OR(C1164="",M1164=""),"",C1164&amp;"|"&amp;COUNTIFS(C$3:C1164,C1164,M$3:M1164,"&lt;&gt;"))</f>
        <v/>
      </c>
    </row>
    <row r="1165" customFormat="false" ht="15" hidden="false" customHeight="false" outlineLevel="0" collapsed="false">
      <c r="B1165" s="7"/>
      <c r="C1165" s="5"/>
      <c r="D1165" s="9" t="str">
        <f aca="false">IF(C1165="","",IFERROR(VLOOKUP(C1165,EQUIPOS!$B$3:$C$18,2,0),"NO EXISTE"))</f>
        <v/>
      </c>
      <c r="E1165" s="9" t="str">
        <f aca="false">IF(C1165="","",IFERROR(VLOOKUP(C1165,EQUIPOS!$B$3:$F$18,5,0),""))</f>
        <v/>
      </c>
      <c r="F1165" s="5" t="str">
        <f aca="false">IF(C1165="","",IFERROR(VLOOKUP(C1165,EQUIPOS!$B$3:$G$18,6,0),""))</f>
        <v/>
      </c>
      <c r="G1165" s="8"/>
      <c r="H1165" s="5"/>
      <c r="I1165" s="5"/>
      <c r="J1165" s="9"/>
      <c r="K1165" s="17" t="str">
        <f aca="false">IF(H1165="","",IFERROR(SUMIFS(BD_PLAN!$I$3:$I$312,BD_PLAN!$B$3:$B$312,E1165,BD_PLAN!$C$3:$C$312,INDEX(BD_CICLO!$F$3:$F$54,MATCH(E1165&amp;"|"&amp;H1165,BD_CICLO!$G$3:$G$54,0))),""))</f>
        <v/>
      </c>
      <c r="L1165" s="9"/>
      <c r="M1165" s="9"/>
      <c r="N1165" s="1" t="str">
        <f aca="false">IF(C1165="","",C1165&amp;"|"&amp;COUNTIF(C$3:C1165,C1165))</f>
        <v/>
      </c>
      <c r="O1165" s="1" t="str">
        <f aca="false">IF(OR(C1165="",M1165=""),"",C1165&amp;"|"&amp;COUNTIFS(C$3:C1165,C1165,M$3:M1165,"&lt;&gt;"))</f>
        <v/>
      </c>
    </row>
    <row r="1166" customFormat="false" ht="15" hidden="false" customHeight="false" outlineLevel="0" collapsed="false">
      <c r="B1166" s="7"/>
      <c r="C1166" s="5"/>
      <c r="D1166" s="9" t="str">
        <f aca="false">IF(C1166="","",IFERROR(VLOOKUP(C1166,EQUIPOS!$B$3:$C$18,2,0),"NO EXISTE"))</f>
        <v/>
      </c>
      <c r="E1166" s="9" t="str">
        <f aca="false">IF(C1166="","",IFERROR(VLOOKUP(C1166,EQUIPOS!$B$3:$F$18,5,0),""))</f>
        <v/>
      </c>
      <c r="F1166" s="5" t="str">
        <f aca="false">IF(C1166="","",IFERROR(VLOOKUP(C1166,EQUIPOS!$B$3:$G$18,6,0),""))</f>
        <v/>
      </c>
      <c r="G1166" s="8"/>
      <c r="H1166" s="5"/>
      <c r="I1166" s="5"/>
      <c r="J1166" s="9"/>
      <c r="K1166" s="17" t="str">
        <f aca="false">IF(H1166="","",IFERROR(SUMIFS(BD_PLAN!$I$3:$I$312,BD_PLAN!$B$3:$B$312,E1166,BD_PLAN!$C$3:$C$312,INDEX(BD_CICLO!$F$3:$F$54,MATCH(E1166&amp;"|"&amp;H1166,BD_CICLO!$G$3:$G$54,0))),""))</f>
        <v/>
      </c>
      <c r="L1166" s="9"/>
      <c r="M1166" s="9"/>
      <c r="N1166" s="1" t="str">
        <f aca="false">IF(C1166="","",C1166&amp;"|"&amp;COUNTIF(C$3:C1166,C1166))</f>
        <v/>
      </c>
      <c r="O1166" s="1" t="str">
        <f aca="false">IF(OR(C1166="",M1166=""),"",C1166&amp;"|"&amp;COUNTIFS(C$3:C1166,C1166,M$3:M1166,"&lt;&gt;"))</f>
        <v/>
      </c>
    </row>
    <row r="1167" customFormat="false" ht="15" hidden="false" customHeight="false" outlineLevel="0" collapsed="false">
      <c r="B1167" s="7"/>
      <c r="C1167" s="5"/>
      <c r="D1167" s="9" t="str">
        <f aca="false">IF(C1167="","",IFERROR(VLOOKUP(C1167,EQUIPOS!$B$3:$C$18,2,0),"NO EXISTE"))</f>
        <v/>
      </c>
      <c r="E1167" s="9" t="str">
        <f aca="false">IF(C1167="","",IFERROR(VLOOKUP(C1167,EQUIPOS!$B$3:$F$18,5,0),""))</f>
        <v/>
      </c>
      <c r="F1167" s="5" t="str">
        <f aca="false">IF(C1167="","",IFERROR(VLOOKUP(C1167,EQUIPOS!$B$3:$G$18,6,0),""))</f>
        <v/>
      </c>
      <c r="G1167" s="8"/>
      <c r="H1167" s="5"/>
      <c r="I1167" s="5"/>
      <c r="J1167" s="9"/>
      <c r="K1167" s="17" t="str">
        <f aca="false">IF(H1167="","",IFERROR(SUMIFS(BD_PLAN!$I$3:$I$312,BD_PLAN!$B$3:$B$312,E1167,BD_PLAN!$C$3:$C$312,INDEX(BD_CICLO!$F$3:$F$54,MATCH(E1167&amp;"|"&amp;H1167,BD_CICLO!$G$3:$G$54,0))),""))</f>
        <v/>
      </c>
      <c r="L1167" s="9"/>
      <c r="M1167" s="9"/>
      <c r="N1167" s="1" t="str">
        <f aca="false">IF(C1167="","",C1167&amp;"|"&amp;COUNTIF(C$3:C1167,C1167))</f>
        <v/>
      </c>
      <c r="O1167" s="1" t="str">
        <f aca="false">IF(OR(C1167="",M1167=""),"",C1167&amp;"|"&amp;COUNTIFS(C$3:C1167,C1167,M$3:M1167,"&lt;&gt;"))</f>
        <v/>
      </c>
    </row>
    <row r="1168" customFormat="false" ht="15" hidden="false" customHeight="false" outlineLevel="0" collapsed="false">
      <c r="B1168" s="7"/>
      <c r="C1168" s="5"/>
      <c r="D1168" s="9" t="str">
        <f aca="false">IF(C1168="","",IFERROR(VLOOKUP(C1168,EQUIPOS!$B$3:$C$18,2,0),"NO EXISTE"))</f>
        <v/>
      </c>
      <c r="E1168" s="9" t="str">
        <f aca="false">IF(C1168="","",IFERROR(VLOOKUP(C1168,EQUIPOS!$B$3:$F$18,5,0),""))</f>
        <v/>
      </c>
      <c r="F1168" s="5" t="str">
        <f aca="false">IF(C1168="","",IFERROR(VLOOKUP(C1168,EQUIPOS!$B$3:$G$18,6,0),""))</f>
        <v/>
      </c>
      <c r="G1168" s="8"/>
      <c r="H1168" s="5"/>
      <c r="I1168" s="5"/>
      <c r="J1168" s="9"/>
      <c r="K1168" s="17" t="str">
        <f aca="false">IF(H1168="","",IFERROR(SUMIFS(BD_PLAN!$I$3:$I$312,BD_PLAN!$B$3:$B$312,E1168,BD_PLAN!$C$3:$C$312,INDEX(BD_CICLO!$F$3:$F$54,MATCH(E1168&amp;"|"&amp;H1168,BD_CICLO!$G$3:$G$54,0))),""))</f>
        <v/>
      </c>
      <c r="L1168" s="9"/>
      <c r="M1168" s="9"/>
      <c r="N1168" s="1" t="str">
        <f aca="false">IF(C1168="","",C1168&amp;"|"&amp;COUNTIF(C$3:C1168,C1168))</f>
        <v/>
      </c>
      <c r="O1168" s="1" t="str">
        <f aca="false">IF(OR(C1168="",M1168=""),"",C1168&amp;"|"&amp;COUNTIFS(C$3:C1168,C1168,M$3:M1168,"&lt;&gt;"))</f>
        <v/>
      </c>
    </row>
    <row r="1169" customFormat="false" ht="15" hidden="false" customHeight="false" outlineLevel="0" collapsed="false">
      <c r="B1169" s="7"/>
      <c r="C1169" s="5"/>
      <c r="D1169" s="9" t="str">
        <f aca="false">IF(C1169="","",IFERROR(VLOOKUP(C1169,EQUIPOS!$B$3:$C$18,2,0),"NO EXISTE"))</f>
        <v/>
      </c>
      <c r="E1169" s="9" t="str">
        <f aca="false">IF(C1169="","",IFERROR(VLOOKUP(C1169,EQUIPOS!$B$3:$F$18,5,0),""))</f>
        <v/>
      </c>
      <c r="F1169" s="5" t="str">
        <f aca="false">IF(C1169="","",IFERROR(VLOOKUP(C1169,EQUIPOS!$B$3:$G$18,6,0),""))</f>
        <v/>
      </c>
      <c r="G1169" s="8"/>
      <c r="H1169" s="5"/>
      <c r="I1169" s="5"/>
      <c r="J1169" s="9"/>
      <c r="K1169" s="17" t="str">
        <f aca="false">IF(H1169="","",IFERROR(SUMIFS(BD_PLAN!$I$3:$I$312,BD_PLAN!$B$3:$B$312,E1169,BD_PLAN!$C$3:$C$312,INDEX(BD_CICLO!$F$3:$F$54,MATCH(E1169&amp;"|"&amp;H1169,BD_CICLO!$G$3:$G$54,0))),""))</f>
        <v/>
      </c>
      <c r="L1169" s="9"/>
      <c r="M1169" s="9"/>
      <c r="N1169" s="1" t="str">
        <f aca="false">IF(C1169="","",C1169&amp;"|"&amp;COUNTIF(C$3:C1169,C1169))</f>
        <v/>
      </c>
      <c r="O1169" s="1" t="str">
        <f aca="false">IF(OR(C1169="",M1169=""),"",C1169&amp;"|"&amp;COUNTIFS(C$3:C1169,C1169,M$3:M1169,"&lt;&gt;"))</f>
        <v/>
      </c>
    </row>
    <row r="1170" customFormat="false" ht="15" hidden="false" customHeight="false" outlineLevel="0" collapsed="false">
      <c r="B1170" s="7"/>
      <c r="C1170" s="5"/>
      <c r="D1170" s="9" t="str">
        <f aca="false">IF(C1170="","",IFERROR(VLOOKUP(C1170,EQUIPOS!$B$3:$C$18,2,0),"NO EXISTE"))</f>
        <v/>
      </c>
      <c r="E1170" s="9" t="str">
        <f aca="false">IF(C1170="","",IFERROR(VLOOKUP(C1170,EQUIPOS!$B$3:$F$18,5,0),""))</f>
        <v/>
      </c>
      <c r="F1170" s="5" t="str">
        <f aca="false">IF(C1170="","",IFERROR(VLOOKUP(C1170,EQUIPOS!$B$3:$G$18,6,0),""))</f>
        <v/>
      </c>
      <c r="G1170" s="8"/>
      <c r="H1170" s="5"/>
      <c r="I1170" s="5"/>
      <c r="J1170" s="9"/>
      <c r="K1170" s="17" t="str">
        <f aca="false">IF(H1170="","",IFERROR(SUMIFS(BD_PLAN!$I$3:$I$312,BD_PLAN!$B$3:$B$312,E1170,BD_PLAN!$C$3:$C$312,INDEX(BD_CICLO!$F$3:$F$54,MATCH(E1170&amp;"|"&amp;H1170,BD_CICLO!$G$3:$G$54,0))),""))</f>
        <v/>
      </c>
      <c r="L1170" s="9"/>
      <c r="M1170" s="9"/>
      <c r="N1170" s="1" t="str">
        <f aca="false">IF(C1170="","",C1170&amp;"|"&amp;COUNTIF(C$3:C1170,C1170))</f>
        <v/>
      </c>
      <c r="O1170" s="1" t="str">
        <f aca="false">IF(OR(C1170="",M1170=""),"",C1170&amp;"|"&amp;COUNTIFS(C$3:C1170,C1170,M$3:M1170,"&lt;&gt;"))</f>
        <v/>
      </c>
    </row>
    <row r="1171" customFormat="false" ht="15" hidden="false" customHeight="false" outlineLevel="0" collapsed="false">
      <c r="B1171" s="7"/>
      <c r="C1171" s="5"/>
      <c r="D1171" s="9" t="str">
        <f aca="false">IF(C1171="","",IFERROR(VLOOKUP(C1171,EQUIPOS!$B$3:$C$18,2,0),"NO EXISTE"))</f>
        <v/>
      </c>
      <c r="E1171" s="9" t="str">
        <f aca="false">IF(C1171="","",IFERROR(VLOOKUP(C1171,EQUIPOS!$B$3:$F$18,5,0),""))</f>
        <v/>
      </c>
      <c r="F1171" s="5" t="str">
        <f aca="false">IF(C1171="","",IFERROR(VLOOKUP(C1171,EQUIPOS!$B$3:$G$18,6,0),""))</f>
        <v/>
      </c>
      <c r="G1171" s="8"/>
      <c r="H1171" s="5"/>
      <c r="I1171" s="5"/>
      <c r="J1171" s="9"/>
      <c r="K1171" s="17" t="str">
        <f aca="false">IF(H1171="","",IFERROR(SUMIFS(BD_PLAN!$I$3:$I$312,BD_PLAN!$B$3:$B$312,E1171,BD_PLAN!$C$3:$C$312,INDEX(BD_CICLO!$F$3:$F$54,MATCH(E1171&amp;"|"&amp;H1171,BD_CICLO!$G$3:$G$54,0))),""))</f>
        <v/>
      </c>
      <c r="L1171" s="9"/>
      <c r="M1171" s="9"/>
      <c r="N1171" s="1" t="str">
        <f aca="false">IF(C1171="","",C1171&amp;"|"&amp;COUNTIF(C$3:C1171,C1171))</f>
        <v/>
      </c>
      <c r="O1171" s="1" t="str">
        <f aca="false">IF(OR(C1171="",M1171=""),"",C1171&amp;"|"&amp;COUNTIFS(C$3:C1171,C1171,M$3:M1171,"&lt;&gt;"))</f>
        <v/>
      </c>
    </row>
    <row r="1172" customFormat="false" ht="15" hidden="false" customHeight="false" outlineLevel="0" collapsed="false">
      <c r="B1172" s="7"/>
      <c r="C1172" s="5"/>
      <c r="D1172" s="9" t="str">
        <f aca="false">IF(C1172="","",IFERROR(VLOOKUP(C1172,EQUIPOS!$B$3:$C$18,2,0),"NO EXISTE"))</f>
        <v/>
      </c>
      <c r="E1172" s="9" t="str">
        <f aca="false">IF(C1172="","",IFERROR(VLOOKUP(C1172,EQUIPOS!$B$3:$F$18,5,0),""))</f>
        <v/>
      </c>
      <c r="F1172" s="5" t="str">
        <f aca="false">IF(C1172="","",IFERROR(VLOOKUP(C1172,EQUIPOS!$B$3:$G$18,6,0),""))</f>
        <v/>
      </c>
      <c r="G1172" s="8"/>
      <c r="H1172" s="5"/>
      <c r="I1172" s="5"/>
      <c r="J1172" s="9"/>
      <c r="K1172" s="17" t="str">
        <f aca="false">IF(H1172="","",IFERROR(SUMIFS(BD_PLAN!$I$3:$I$312,BD_PLAN!$B$3:$B$312,E1172,BD_PLAN!$C$3:$C$312,INDEX(BD_CICLO!$F$3:$F$54,MATCH(E1172&amp;"|"&amp;H1172,BD_CICLO!$G$3:$G$54,0))),""))</f>
        <v/>
      </c>
      <c r="L1172" s="9"/>
      <c r="M1172" s="9"/>
      <c r="N1172" s="1" t="str">
        <f aca="false">IF(C1172="","",C1172&amp;"|"&amp;COUNTIF(C$3:C1172,C1172))</f>
        <v/>
      </c>
      <c r="O1172" s="1" t="str">
        <f aca="false">IF(OR(C1172="",M1172=""),"",C1172&amp;"|"&amp;COUNTIFS(C$3:C1172,C1172,M$3:M1172,"&lt;&gt;"))</f>
        <v/>
      </c>
    </row>
    <row r="1173" customFormat="false" ht="15" hidden="false" customHeight="false" outlineLevel="0" collapsed="false">
      <c r="B1173" s="7"/>
      <c r="C1173" s="5"/>
      <c r="D1173" s="9" t="str">
        <f aca="false">IF(C1173="","",IFERROR(VLOOKUP(C1173,EQUIPOS!$B$3:$C$18,2,0),"NO EXISTE"))</f>
        <v/>
      </c>
      <c r="E1173" s="9" t="str">
        <f aca="false">IF(C1173="","",IFERROR(VLOOKUP(C1173,EQUIPOS!$B$3:$F$18,5,0),""))</f>
        <v/>
      </c>
      <c r="F1173" s="5" t="str">
        <f aca="false">IF(C1173="","",IFERROR(VLOOKUP(C1173,EQUIPOS!$B$3:$G$18,6,0),""))</f>
        <v/>
      </c>
      <c r="G1173" s="8"/>
      <c r="H1173" s="5"/>
      <c r="I1173" s="5"/>
      <c r="J1173" s="9"/>
      <c r="K1173" s="17" t="str">
        <f aca="false">IF(H1173="","",IFERROR(SUMIFS(BD_PLAN!$I$3:$I$312,BD_PLAN!$B$3:$B$312,E1173,BD_PLAN!$C$3:$C$312,INDEX(BD_CICLO!$F$3:$F$54,MATCH(E1173&amp;"|"&amp;H1173,BD_CICLO!$G$3:$G$54,0))),""))</f>
        <v/>
      </c>
      <c r="L1173" s="9"/>
      <c r="M1173" s="9"/>
      <c r="N1173" s="1" t="str">
        <f aca="false">IF(C1173="","",C1173&amp;"|"&amp;COUNTIF(C$3:C1173,C1173))</f>
        <v/>
      </c>
      <c r="O1173" s="1" t="str">
        <f aca="false">IF(OR(C1173="",M1173=""),"",C1173&amp;"|"&amp;COUNTIFS(C$3:C1173,C1173,M$3:M1173,"&lt;&gt;"))</f>
        <v/>
      </c>
    </row>
    <row r="1174" customFormat="false" ht="15" hidden="false" customHeight="false" outlineLevel="0" collapsed="false">
      <c r="B1174" s="7"/>
      <c r="C1174" s="5"/>
      <c r="D1174" s="9" t="str">
        <f aca="false">IF(C1174="","",IFERROR(VLOOKUP(C1174,EQUIPOS!$B$3:$C$18,2,0),"NO EXISTE"))</f>
        <v/>
      </c>
      <c r="E1174" s="9" t="str">
        <f aca="false">IF(C1174="","",IFERROR(VLOOKUP(C1174,EQUIPOS!$B$3:$F$18,5,0),""))</f>
        <v/>
      </c>
      <c r="F1174" s="5" t="str">
        <f aca="false">IF(C1174="","",IFERROR(VLOOKUP(C1174,EQUIPOS!$B$3:$G$18,6,0),""))</f>
        <v/>
      </c>
      <c r="G1174" s="8"/>
      <c r="H1174" s="5"/>
      <c r="I1174" s="5"/>
      <c r="J1174" s="9"/>
      <c r="K1174" s="17" t="str">
        <f aca="false">IF(H1174="","",IFERROR(SUMIFS(BD_PLAN!$I$3:$I$312,BD_PLAN!$B$3:$B$312,E1174,BD_PLAN!$C$3:$C$312,INDEX(BD_CICLO!$F$3:$F$54,MATCH(E1174&amp;"|"&amp;H1174,BD_CICLO!$G$3:$G$54,0))),""))</f>
        <v/>
      </c>
      <c r="L1174" s="9"/>
      <c r="M1174" s="9"/>
      <c r="N1174" s="1" t="str">
        <f aca="false">IF(C1174="","",C1174&amp;"|"&amp;COUNTIF(C$3:C1174,C1174))</f>
        <v/>
      </c>
      <c r="O1174" s="1" t="str">
        <f aca="false">IF(OR(C1174="",M1174=""),"",C1174&amp;"|"&amp;COUNTIFS(C$3:C1174,C1174,M$3:M1174,"&lt;&gt;"))</f>
        <v/>
      </c>
    </row>
    <row r="1175" customFormat="false" ht="15" hidden="false" customHeight="false" outlineLevel="0" collapsed="false">
      <c r="B1175" s="7"/>
      <c r="C1175" s="5"/>
      <c r="D1175" s="9" t="str">
        <f aca="false">IF(C1175="","",IFERROR(VLOOKUP(C1175,EQUIPOS!$B$3:$C$18,2,0),"NO EXISTE"))</f>
        <v/>
      </c>
      <c r="E1175" s="9" t="str">
        <f aca="false">IF(C1175="","",IFERROR(VLOOKUP(C1175,EQUIPOS!$B$3:$F$18,5,0),""))</f>
        <v/>
      </c>
      <c r="F1175" s="5" t="str">
        <f aca="false">IF(C1175="","",IFERROR(VLOOKUP(C1175,EQUIPOS!$B$3:$G$18,6,0),""))</f>
        <v/>
      </c>
      <c r="G1175" s="8"/>
      <c r="H1175" s="5"/>
      <c r="I1175" s="5"/>
      <c r="J1175" s="9"/>
      <c r="K1175" s="17" t="str">
        <f aca="false">IF(H1175="","",IFERROR(SUMIFS(BD_PLAN!$I$3:$I$312,BD_PLAN!$B$3:$B$312,E1175,BD_PLAN!$C$3:$C$312,INDEX(BD_CICLO!$F$3:$F$54,MATCH(E1175&amp;"|"&amp;H1175,BD_CICLO!$G$3:$G$54,0))),""))</f>
        <v/>
      </c>
      <c r="L1175" s="9"/>
      <c r="M1175" s="9"/>
      <c r="N1175" s="1" t="str">
        <f aca="false">IF(C1175="","",C1175&amp;"|"&amp;COUNTIF(C$3:C1175,C1175))</f>
        <v/>
      </c>
      <c r="O1175" s="1" t="str">
        <f aca="false">IF(OR(C1175="",M1175=""),"",C1175&amp;"|"&amp;COUNTIFS(C$3:C1175,C1175,M$3:M1175,"&lt;&gt;"))</f>
        <v/>
      </c>
    </row>
    <row r="1176" customFormat="false" ht="15" hidden="false" customHeight="false" outlineLevel="0" collapsed="false">
      <c r="B1176" s="7"/>
      <c r="C1176" s="5"/>
      <c r="D1176" s="9" t="str">
        <f aca="false">IF(C1176="","",IFERROR(VLOOKUP(C1176,EQUIPOS!$B$3:$C$18,2,0),"NO EXISTE"))</f>
        <v/>
      </c>
      <c r="E1176" s="9" t="str">
        <f aca="false">IF(C1176="","",IFERROR(VLOOKUP(C1176,EQUIPOS!$B$3:$F$18,5,0),""))</f>
        <v/>
      </c>
      <c r="F1176" s="5" t="str">
        <f aca="false">IF(C1176="","",IFERROR(VLOOKUP(C1176,EQUIPOS!$B$3:$G$18,6,0),""))</f>
        <v/>
      </c>
      <c r="G1176" s="8"/>
      <c r="H1176" s="5"/>
      <c r="I1176" s="5"/>
      <c r="J1176" s="9"/>
      <c r="K1176" s="17" t="str">
        <f aca="false">IF(H1176="","",IFERROR(SUMIFS(BD_PLAN!$I$3:$I$312,BD_PLAN!$B$3:$B$312,E1176,BD_PLAN!$C$3:$C$312,INDEX(BD_CICLO!$F$3:$F$54,MATCH(E1176&amp;"|"&amp;H1176,BD_CICLO!$G$3:$G$54,0))),""))</f>
        <v/>
      </c>
      <c r="L1176" s="9"/>
      <c r="M1176" s="9"/>
      <c r="N1176" s="1" t="str">
        <f aca="false">IF(C1176="","",C1176&amp;"|"&amp;COUNTIF(C$3:C1176,C1176))</f>
        <v/>
      </c>
      <c r="O1176" s="1" t="str">
        <f aca="false">IF(OR(C1176="",M1176=""),"",C1176&amp;"|"&amp;COUNTIFS(C$3:C1176,C1176,M$3:M1176,"&lt;&gt;"))</f>
        <v/>
      </c>
    </row>
    <row r="1177" customFormat="false" ht="15" hidden="false" customHeight="false" outlineLevel="0" collapsed="false">
      <c r="B1177" s="7"/>
      <c r="C1177" s="5"/>
      <c r="D1177" s="9" t="str">
        <f aca="false">IF(C1177="","",IFERROR(VLOOKUP(C1177,EQUIPOS!$B$3:$C$18,2,0),"NO EXISTE"))</f>
        <v/>
      </c>
      <c r="E1177" s="9" t="str">
        <f aca="false">IF(C1177="","",IFERROR(VLOOKUP(C1177,EQUIPOS!$B$3:$F$18,5,0),""))</f>
        <v/>
      </c>
      <c r="F1177" s="5" t="str">
        <f aca="false">IF(C1177="","",IFERROR(VLOOKUP(C1177,EQUIPOS!$B$3:$G$18,6,0),""))</f>
        <v/>
      </c>
      <c r="G1177" s="8"/>
      <c r="H1177" s="5"/>
      <c r="I1177" s="5"/>
      <c r="J1177" s="9"/>
      <c r="K1177" s="17" t="str">
        <f aca="false">IF(H1177="","",IFERROR(SUMIFS(BD_PLAN!$I$3:$I$312,BD_PLAN!$B$3:$B$312,E1177,BD_PLAN!$C$3:$C$312,INDEX(BD_CICLO!$F$3:$F$54,MATCH(E1177&amp;"|"&amp;H1177,BD_CICLO!$G$3:$G$54,0))),""))</f>
        <v/>
      </c>
      <c r="L1177" s="9"/>
      <c r="M1177" s="9"/>
      <c r="N1177" s="1" t="str">
        <f aca="false">IF(C1177="","",C1177&amp;"|"&amp;COUNTIF(C$3:C1177,C1177))</f>
        <v/>
      </c>
      <c r="O1177" s="1" t="str">
        <f aca="false">IF(OR(C1177="",M1177=""),"",C1177&amp;"|"&amp;COUNTIFS(C$3:C1177,C1177,M$3:M1177,"&lt;&gt;"))</f>
        <v/>
      </c>
    </row>
    <row r="1178" customFormat="false" ht="15" hidden="false" customHeight="false" outlineLevel="0" collapsed="false">
      <c r="B1178" s="7"/>
      <c r="C1178" s="5"/>
      <c r="D1178" s="9" t="str">
        <f aca="false">IF(C1178="","",IFERROR(VLOOKUP(C1178,EQUIPOS!$B$3:$C$18,2,0),"NO EXISTE"))</f>
        <v/>
      </c>
      <c r="E1178" s="9" t="str">
        <f aca="false">IF(C1178="","",IFERROR(VLOOKUP(C1178,EQUIPOS!$B$3:$F$18,5,0),""))</f>
        <v/>
      </c>
      <c r="F1178" s="5" t="str">
        <f aca="false">IF(C1178="","",IFERROR(VLOOKUP(C1178,EQUIPOS!$B$3:$G$18,6,0),""))</f>
        <v/>
      </c>
      <c r="G1178" s="8"/>
      <c r="H1178" s="5"/>
      <c r="I1178" s="5"/>
      <c r="J1178" s="9"/>
      <c r="K1178" s="17" t="str">
        <f aca="false">IF(H1178="","",IFERROR(SUMIFS(BD_PLAN!$I$3:$I$312,BD_PLAN!$B$3:$B$312,E1178,BD_PLAN!$C$3:$C$312,INDEX(BD_CICLO!$F$3:$F$54,MATCH(E1178&amp;"|"&amp;H1178,BD_CICLO!$G$3:$G$54,0))),""))</f>
        <v/>
      </c>
      <c r="L1178" s="9"/>
      <c r="M1178" s="9"/>
      <c r="N1178" s="1" t="str">
        <f aca="false">IF(C1178="","",C1178&amp;"|"&amp;COUNTIF(C$3:C1178,C1178))</f>
        <v/>
      </c>
      <c r="O1178" s="1" t="str">
        <f aca="false">IF(OR(C1178="",M1178=""),"",C1178&amp;"|"&amp;COUNTIFS(C$3:C1178,C1178,M$3:M1178,"&lt;&gt;"))</f>
        <v/>
      </c>
    </row>
    <row r="1179" customFormat="false" ht="15" hidden="false" customHeight="false" outlineLevel="0" collapsed="false">
      <c r="B1179" s="7"/>
      <c r="C1179" s="5"/>
      <c r="D1179" s="9" t="str">
        <f aca="false">IF(C1179="","",IFERROR(VLOOKUP(C1179,EQUIPOS!$B$3:$C$18,2,0),"NO EXISTE"))</f>
        <v/>
      </c>
      <c r="E1179" s="9" t="str">
        <f aca="false">IF(C1179="","",IFERROR(VLOOKUP(C1179,EQUIPOS!$B$3:$F$18,5,0),""))</f>
        <v/>
      </c>
      <c r="F1179" s="5" t="str">
        <f aca="false">IF(C1179="","",IFERROR(VLOOKUP(C1179,EQUIPOS!$B$3:$G$18,6,0),""))</f>
        <v/>
      </c>
      <c r="G1179" s="8"/>
      <c r="H1179" s="5"/>
      <c r="I1179" s="5"/>
      <c r="J1179" s="9"/>
      <c r="K1179" s="17" t="str">
        <f aca="false">IF(H1179="","",IFERROR(SUMIFS(BD_PLAN!$I$3:$I$312,BD_PLAN!$B$3:$B$312,E1179,BD_PLAN!$C$3:$C$312,INDEX(BD_CICLO!$F$3:$F$54,MATCH(E1179&amp;"|"&amp;H1179,BD_CICLO!$G$3:$G$54,0))),""))</f>
        <v/>
      </c>
      <c r="L1179" s="9"/>
      <c r="M1179" s="9"/>
      <c r="N1179" s="1" t="str">
        <f aca="false">IF(C1179="","",C1179&amp;"|"&amp;COUNTIF(C$3:C1179,C1179))</f>
        <v/>
      </c>
      <c r="O1179" s="1" t="str">
        <f aca="false">IF(OR(C1179="",M1179=""),"",C1179&amp;"|"&amp;COUNTIFS(C$3:C1179,C1179,M$3:M1179,"&lt;&gt;"))</f>
        <v/>
      </c>
    </row>
    <row r="1180" customFormat="false" ht="15" hidden="false" customHeight="false" outlineLevel="0" collapsed="false">
      <c r="B1180" s="7"/>
      <c r="C1180" s="5"/>
      <c r="D1180" s="9" t="str">
        <f aca="false">IF(C1180="","",IFERROR(VLOOKUP(C1180,EQUIPOS!$B$3:$C$18,2,0),"NO EXISTE"))</f>
        <v/>
      </c>
      <c r="E1180" s="9" t="str">
        <f aca="false">IF(C1180="","",IFERROR(VLOOKUP(C1180,EQUIPOS!$B$3:$F$18,5,0),""))</f>
        <v/>
      </c>
      <c r="F1180" s="5" t="str">
        <f aca="false">IF(C1180="","",IFERROR(VLOOKUP(C1180,EQUIPOS!$B$3:$G$18,6,0),""))</f>
        <v/>
      </c>
      <c r="G1180" s="8"/>
      <c r="H1180" s="5"/>
      <c r="I1180" s="5"/>
      <c r="J1180" s="9"/>
      <c r="K1180" s="17" t="str">
        <f aca="false">IF(H1180="","",IFERROR(SUMIFS(BD_PLAN!$I$3:$I$312,BD_PLAN!$B$3:$B$312,E1180,BD_PLAN!$C$3:$C$312,INDEX(BD_CICLO!$F$3:$F$54,MATCH(E1180&amp;"|"&amp;H1180,BD_CICLO!$G$3:$G$54,0))),""))</f>
        <v/>
      </c>
      <c r="L1180" s="9"/>
      <c r="M1180" s="9"/>
      <c r="N1180" s="1" t="str">
        <f aca="false">IF(C1180="","",C1180&amp;"|"&amp;COUNTIF(C$3:C1180,C1180))</f>
        <v/>
      </c>
      <c r="O1180" s="1" t="str">
        <f aca="false">IF(OR(C1180="",M1180=""),"",C1180&amp;"|"&amp;COUNTIFS(C$3:C1180,C1180,M$3:M1180,"&lt;&gt;"))</f>
        <v/>
      </c>
    </row>
    <row r="1181" customFormat="false" ht="15" hidden="false" customHeight="false" outlineLevel="0" collapsed="false">
      <c r="B1181" s="7"/>
      <c r="C1181" s="5"/>
      <c r="D1181" s="9" t="str">
        <f aca="false">IF(C1181="","",IFERROR(VLOOKUP(C1181,EQUIPOS!$B$3:$C$18,2,0),"NO EXISTE"))</f>
        <v/>
      </c>
      <c r="E1181" s="9" t="str">
        <f aca="false">IF(C1181="","",IFERROR(VLOOKUP(C1181,EQUIPOS!$B$3:$F$18,5,0),""))</f>
        <v/>
      </c>
      <c r="F1181" s="5" t="str">
        <f aca="false">IF(C1181="","",IFERROR(VLOOKUP(C1181,EQUIPOS!$B$3:$G$18,6,0),""))</f>
        <v/>
      </c>
      <c r="G1181" s="8"/>
      <c r="H1181" s="5"/>
      <c r="I1181" s="5"/>
      <c r="J1181" s="9"/>
      <c r="K1181" s="17" t="str">
        <f aca="false">IF(H1181="","",IFERROR(SUMIFS(BD_PLAN!$I$3:$I$312,BD_PLAN!$B$3:$B$312,E1181,BD_PLAN!$C$3:$C$312,INDEX(BD_CICLO!$F$3:$F$54,MATCH(E1181&amp;"|"&amp;H1181,BD_CICLO!$G$3:$G$54,0))),""))</f>
        <v/>
      </c>
      <c r="L1181" s="9"/>
      <c r="M1181" s="9"/>
      <c r="N1181" s="1" t="str">
        <f aca="false">IF(C1181="","",C1181&amp;"|"&amp;COUNTIF(C$3:C1181,C1181))</f>
        <v/>
      </c>
      <c r="O1181" s="1" t="str">
        <f aca="false">IF(OR(C1181="",M1181=""),"",C1181&amp;"|"&amp;COUNTIFS(C$3:C1181,C1181,M$3:M1181,"&lt;&gt;"))</f>
        <v/>
      </c>
    </row>
    <row r="1182" customFormat="false" ht="15" hidden="false" customHeight="false" outlineLevel="0" collapsed="false">
      <c r="B1182" s="7"/>
      <c r="C1182" s="5"/>
      <c r="D1182" s="9" t="str">
        <f aca="false">IF(C1182="","",IFERROR(VLOOKUP(C1182,EQUIPOS!$B$3:$C$18,2,0),"NO EXISTE"))</f>
        <v/>
      </c>
      <c r="E1182" s="9" t="str">
        <f aca="false">IF(C1182="","",IFERROR(VLOOKUP(C1182,EQUIPOS!$B$3:$F$18,5,0),""))</f>
        <v/>
      </c>
      <c r="F1182" s="5" t="str">
        <f aca="false">IF(C1182="","",IFERROR(VLOOKUP(C1182,EQUIPOS!$B$3:$G$18,6,0),""))</f>
        <v/>
      </c>
      <c r="G1182" s="8"/>
      <c r="H1182" s="5"/>
      <c r="I1182" s="5"/>
      <c r="J1182" s="9"/>
      <c r="K1182" s="17" t="str">
        <f aca="false">IF(H1182="","",IFERROR(SUMIFS(BD_PLAN!$I$3:$I$312,BD_PLAN!$B$3:$B$312,E1182,BD_PLAN!$C$3:$C$312,INDEX(BD_CICLO!$F$3:$F$54,MATCH(E1182&amp;"|"&amp;H1182,BD_CICLO!$G$3:$G$54,0))),""))</f>
        <v/>
      </c>
      <c r="L1182" s="9"/>
      <c r="M1182" s="9"/>
      <c r="N1182" s="1" t="str">
        <f aca="false">IF(C1182="","",C1182&amp;"|"&amp;COUNTIF(C$3:C1182,C1182))</f>
        <v/>
      </c>
      <c r="O1182" s="1" t="str">
        <f aca="false">IF(OR(C1182="",M1182=""),"",C1182&amp;"|"&amp;COUNTIFS(C$3:C1182,C1182,M$3:M1182,"&lt;&gt;"))</f>
        <v/>
      </c>
    </row>
    <row r="1183" customFormat="false" ht="15" hidden="false" customHeight="false" outlineLevel="0" collapsed="false">
      <c r="B1183" s="7"/>
      <c r="C1183" s="5"/>
      <c r="D1183" s="9" t="str">
        <f aca="false">IF(C1183="","",IFERROR(VLOOKUP(C1183,EQUIPOS!$B$3:$C$18,2,0),"NO EXISTE"))</f>
        <v/>
      </c>
      <c r="E1183" s="9" t="str">
        <f aca="false">IF(C1183="","",IFERROR(VLOOKUP(C1183,EQUIPOS!$B$3:$F$18,5,0),""))</f>
        <v/>
      </c>
      <c r="F1183" s="5" t="str">
        <f aca="false">IF(C1183="","",IFERROR(VLOOKUP(C1183,EQUIPOS!$B$3:$G$18,6,0),""))</f>
        <v/>
      </c>
      <c r="G1183" s="8"/>
      <c r="H1183" s="5"/>
      <c r="I1183" s="5"/>
      <c r="J1183" s="9"/>
      <c r="K1183" s="17" t="str">
        <f aca="false">IF(H1183="","",IFERROR(SUMIFS(BD_PLAN!$I$3:$I$312,BD_PLAN!$B$3:$B$312,E1183,BD_PLAN!$C$3:$C$312,INDEX(BD_CICLO!$F$3:$F$54,MATCH(E1183&amp;"|"&amp;H1183,BD_CICLO!$G$3:$G$54,0))),""))</f>
        <v/>
      </c>
      <c r="L1183" s="9"/>
      <c r="M1183" s="9"/>
      <c r="N1183" s="1" t="str">
        <f aca="false">IF(C1183="","",C1183&amp;"|"&amp;COUNTIF(C$3:C1183,C1183))</f>
        <v/>
      </c>
      <c r="O1183" s="1" t="str">
        <f aca="false">IF(OR(C1183="",M1183=""),"",C1183&amp;"|"&amp;COUNTIFS(C$3:C1183,C1183,M$3:M1183,"&lt;&gt;"))</f>
        <v/>
      </c>
    </row>
    <row r="1184" customFormat="false" ht="15" hidden="false" customHeight="false" outlineLevel="0" collapsed="false">
      <c r="B1184" s="7"/>
      <c r="C1184" s="5"/>
      <c r="D1184" s="9" t="str">
        <f aca="false">IF(C1184="","",IFERROR(VLOOKUP(C1184,EQUIPOS!$B$3:$C$18,2,0),"NO EXISTE"))</f>
        <v/>
      </c>
      <c r="E1184" s="9" t="str">
        <f aca="false">IF(C1184="","",IFERROR(VLOOKUP(C1184,EQUIPOS!$B$3:$F$18,5,0),""))</f>
        <v/>
      </c>
      <c r="F1184" s="5" t="str">
        <f aca="false">IF(C1184="","",IFERROR(VLOOKUP(C1184,EQUIPOS!$B$3:$G$18,6,0),""))</f>
        <v/>
      </c>
      <c r="G1184" s="8"/>
      <c r="H1184" s="5"/>
      <c r="I1184" s="5"/>
      <c r="J1184" s="9"/>
      <c r="K1184" s="17" t="str">
        <f aca="false">IF(H1184="","",IFERROR(SUMIFS(BD_PLAN!$I$3:$I$312,BD_PLAN!$B$3:$B$312,E1184,BD_PLAN!$C$3:$C$312,INDEX(BD_CICLO!$F$3:$F$54,MATCH(E1184&amp;"|"&amp;H1184,BD_CICLO!$G$3:$G$54,0))),""))</f>
        <v/>
      </c>
      <c r="L1184" s="9"/>
      <c r="M1184" s="9"/>
      <c r="N1184" s="1" t="str">
        <f aca="false">IF(C1184="","",C1184&amp;"|"&amp;COUNTIF(C$3:C1184,C1184))</f>
        <v/>
      </c>
      <c r="O1184" s="1" t="str">
        <f aca="false">IF(OR(C1184="",M1184=""),"",C1184&amp;"|"&amp;COUNTIFS(C$3:C1184,C1184,M$3:M1184,"&lt;&gt;"))</f>
        <v/>
      </c>
    </row>
    <row r="1185" customFormat="false" ht="15" hidden="false" customHeight="false" outlineLevel="0" collapsed="false">
      <c r="B1185" s="7"/>
      <c r="C1185" s="5"/>
      <c r="D1185" s="9" t="str">
        <f aca="false">IF(C1185="","",IFERROR(VLOOKUP(C1185,EQUIPOS!$B$3:$C$18,2,0),"NO EXISTE"))</f>
        <v/>
      </c>
      <c r="E1185" s="9" t="str">
        <f aca="false">IF(C1185="","",IFERROR(VLOOKUP(C1185,EQUIPOS!$B$3:$F$18,5,0),""))</f>
        <v/>
      </c>
      <c r="F1185" s="5" t="str">
        <f aca="false">IF(C1185="","",IFERROR(VLOOKUP(C1185,EQUIPOS!$B$3:$G$18,6,0),""))</f>
        <v/>
      </c>
      <c r="G1185" s="8"/>
      <c r="H1185" s="5"/>
      <c r="I1185" s="5"/>
      <c r="J1185" s="9"/>
      <c r="K1185" s="17" t="str">
        <f aca="false">IF(H1185="","",IFERROR(SUMIFS(BD_PLAN!$I$3:$I$312,BD_PLAN!$B$3:$B$312,E1185,BD_PLAN!$C$3:$C$312,INDEX(BD_CICLO!$F$3:$F$54,MATCH(E1185&amp;"|"&amp;H1185,BD_CICLO!$G$3:$G$54,0))),""))</f>
        <v/>
      </c>
      <c r="L1185" s="9"/>
      <c r="M1185" s="9"/>
      <c r="N1185" s="1" t="str">
        <f aca="false">IF(C1185="","",C1185&amp;"|"&amp;COUNTIF(C$3:C1185,C1185))</f>
        <v/>
      </c>
      <c r="O1185" s="1" t="str">
        <f aca="false">IF(OR(C1185="",M1185=""),"",C1185&amp;"|"&amp;COUNTIFS(C$3:C1185,C1185,M$3:M1185,"&lt;&gt;"))</f>
        <v/>
      </c>
    </row>
    <row r="1186" customFormat="false" ht="15" hidden="false" customHeight="false" outlineLevel="0" collapsed="false">
      <c r="B1186" s="7"/>
      <c r="C1186" s="5"/>
      <c r="D1186" s="9" t="str">
        <f aca="false">IF(C1186="","",IFERROR(VLOOKUP(C1186,EQUIPOS!$B$3:$C$18,2,0),"NO EXISTE"))</f>
        <v/>
      </c>
      <c r="E1186" s="9" t="str">
        <f aca="false">IF(C1186="","",IFERROR(VLOOKUP(C1186,EQUIPOS!$B$3:$F$18,5,0),""))</f>
        <v/>
      </c>
      <c r="F1186" s="5" t="str">
        <f aca="false">IF(C1186="","",IFERROR(VLOOKUP(C1186,EQUIPOS!$B$3:$G$18,6,0),""))</f>
        <v/>
      </c>
      <c r="G1186" s="8"/>
      <c r="H1186" s="5"/>
      <c r="I1186" s="5"/>
      <c r="J1186" s="9"/>
      <c r="K1186" s="17" t="str">
        <f aca="false">IF(H1186="","",IFERROR(SUMIFS(BD_PLAN!$I$3:$I$312,BD_PLAN!$B$3:$B$312,E1186,BD_PLAN!$C$3:$C$312,INDEX(BD_CICLO!$F$3:$F$54,MATCH(E1186&amp;"|"&amp;H1186,BD_CICLO!$G$3:$G$54,0))),""))</f>
        <v/>
      </c>
      <c r="L1186" s="9"/>
      <c r="M1186" s="9"/>
      <c r="N1186" s="1" t="str">
        <f aca="false">IF(C1186="","",C1186&amp;"|"&amp;COUNTIF(C$3:C1186,C1186))</f>
        <v/>
      </c>
      <c r="O1186" s="1" t="str">
        <f aca="false">IF(OR(C1186="",M1186=""),"",C1186&amp;"|"&amp;COUNTIFS(C$3:C1186,C1186,M$3:M1186,"&lt;&gt;"))</f>
        <v/>
      </c>
    </row>
    <row r="1187" customFormat="false" ht="15" hidden="false" customHeight="false" outlineLevel="0" collapsed="false">
      <c r="B1187" s="7"/>
      <c r="C1187" s="5"/>
      <c r="D1187" s="9" t="str">
        <f aca="false">IF(C1187="","",IFERROR(VLOOKUP(C1187,EQUIPOS!$B$3:$C$18,2,0),"NO EXISTE"))</f>
        <v/>
      </c>
      <c r="E1187" s="9" t="str">
        <f aca="false">IF(C1187="","",IFERROR(VLOOKUP(C1187,EQUIPOS!$B$3:$F$18,5,0),""))</f>
        <v/>
      </c>
      <c r="F1187" s="5" t="str">
        <f aca="false">IF(C1187="","",IFERROR(VLOOKUP(C1187,EQUIPOS!$B$3:$G$18,6,0),""))</f>
        <v/>
      </c>
      <c r="G1187" s="8"/>
      <c r="H1187" s="5"/>
      <c r="I1187" s="5"/>
      <c r="J1187" s="9"/>
      <c r="K1187" s="17" t="str">
        <f aca="false">IF(H1187="","",IFERROR(SUMIFS(BD_PLAN!$I$3:$I$312,BD_PLAN!$B$3:$B$312,E1187,BD_PLAN!$C$3:$C$312,INDEX(BD_CICLO!$F$3:$F$54,MATCH(E1187&amp;"|"&amp;H1187,BD_CICLO!$G$3:$G$54,0))),""))</f>
        <v/>
      </c>
      <c r="L1187" s="9"/>
      <c r="M1187" s="9"/>
      <c r="N1187" s="1" t="str">
        <f aca="false">IF(C1187="","",C1187&amp;"|"&amp;COUNTIF(C$3:C1187,C1187))</f>
        <v/>
      </c>
      <c r="O1187" s="1" t="str">
        <f aca="false">IF(OR(C1187="",M1187=""),"",C1187&amp;"|"&amp;COUNTIFS(C$3:C1187,C1187,M$3:M1187,"&lt;&gt;"))</f>
        <v/>
      </c>
    </row>
    <row r="1188" customFormat="false" ht="15" hidden="false" customHeight="false" outlineLevel="0" collapsed="false">
      <c r="B1188" s="7"/>
      <c r="C1188" s="5"/>
      <c r="D1188" s="9" t="str">
        <f aca="false">IF(C1188="","",IFERROR(VLOOKUP(C1188,EQUIPOS!$B$3:$C$18,2,0),"NO EXISTE"))</f>
        <v/>
      </c>
      <c r="E1188" s="9" t="str">
        <f aca="false">IF(C1188="","",IFERROR(VLOOKUP(C1188,EQUIPOS!$B$3:$F$18,5,0),""))</f>
        <v/>
      </c>
      <c r="F1188" s="5" t="str">
        <f aca="false">IF(C1188="","",IFERROR(VLOOKUP(C1188,EQUIPOS!$B$3:$G$18,6,0),""))</f>
        <v/>
      </c>
      <c r="G1188" s="8"/>
      <c r="H1188" s="5"/>
      <c r="I1188" s="5"/>
      <c r="J1188" s="9"/>
      <c r="K1188" s="17" t="str">
        <f aca="false">IF(H1188="","",IFERROR(SUMIFS(BD_PLAN!$I$3:$I$312,BD_PLAN!$B$3:$B$312,E1188,BD_PLAN!$C$3:$C$312,INDEX(BD_CICLO!$F$3:$F$54,MATCH(E1188&amp;"|"&amp;H1188,BD_CICLO!$G$3:$G$54,0))),""))</f>
        <v/>
      </c>
      <c r="L1188" s="9"/>
      <c r="M1188" s="9"/>
      <c r="N1188" s="1" t="str">
        <f aca="false">IF(C1188="","",C1188&amp;"|"&amp;COUNTIF(C$3:C1188,C1188))</f>
        <v/>
      </c>
      <c r="O1188" s="1" t="str">
        <f aca="false">IF(OR(C1188="",M1188=""),"",C1188&amp;"|"&amp;COUNTIFS(C$3:C1188,C1188,M$3:M1188,"&lt;&gt;"))</f>
        <v/>
      </c>
    </row>
    <row r="1189" customFormat="false" ht="15" hidden="false" customHeight="false" outlineLevel="0" collapsed="false">
      <c r="B1189" s="7"/>
      <c r="C1189" s="5"/>
      <c r="D1189" s="9" t="str">
        <f aca="false">IF(C1189="","",IFERROR(VLOOKUP(C1189,EQUIPOS!$B$3:$C$18,2,0),"NO EXISTE"))</f>
        <v/>
      </c>
      <c r="E1189" s="9" t="str">
        <f aca="false">IF(C1189="","",IFERROR(VLOOKUP(C1189,EQUIPOS!$B$3:$F$18,5,0),""))</f>
        <v/>
      </c>
      <c r="F1189" s="5" t="str">
        <f aca="false">IF(C1189="","",IFERROR(VLOOKUP(C1189,EQUIPOS!$B$3:$G$18,6,0),""))</f>
        <v/>
      </c>
      <c r="G1189" s="8"/>
      <c r="H1189" s="5"/>
      <c r="I1189" s="5"/>
      <c r="J1189" s="9"/>
      <c r="K1189" s="17" t="str">
        <f aca="false">IF(H1189="","",IFERROR(SUMIFS(BD_PLAN!$I$3:$I$312,BD_PLAN!$B$3:$B$312,E1189,BD_PLAN!$C$3:$C$312,INDEX(BD_CICLO!$F$3:$F$54,MATCH(E1189&amp;"|"&amp;H1189,BD_CICLO!$G$3:$G$54,0))),""))</f>
        <v/>
      </c>
      <c r="L1189" s="9"/>
      <c r="M1189" s="9"/>
      <c r="N1189" s="1" t="str">
        <f aca="false">IF(C1189="","",C1189&amp;"|"&amp;COUNTIF(C$3:C1189,C1189))</f>
        <v/>
      </c>
      <c r="O1189" s="1" t="str">
        <f aca="false">IF(OR(C1189="",M1189=""),"",C1189&amp;"|"&amp;COUNTIFS(C$3:C1189,C1189,M$3:M1189,"&lt;&gt;"))</f>
        <v/>
      </c>
    </row>
    <row r="1190" customFormat="false" ht="15" hidden="false" customHeight="false" outlineLevel="0" collapsed="false">
      <c r="B1190" s="7"/>
      <c r="C1190" s="5"/>
      <c r="D1190" s="9" t="str">
        <f aca="false">IF(C1190="","",IFERROR(VLOOKUP(C1190,EQUIPOS!$B$3:$C$18,2,0),"NO EXISTE"))</f>
        <v/>
      </c>
      <c r="E1190" s="9" t="str">
        <f aca="false">IF(C1190="","",IFERROR(VLOOKUP(C1190,EQUIPOS!$B$3:$F$18,5,0),""))</f>
        <v/>
      </c>
      <c r="F1190" s="5" t="str">
        <f aca="false">IF(C1190="","",IFERROR(VLOOKUP(C1190,EQUIPOS!$B$3:$G$18,6,0),""))</f>
        <v/>
      </c>
      <c r="G1190" s="8"/>
      <c r="H1190" s="5"/>
      <c r="I1190" s="5"/>
      <c r="J1190" s="9"/>
      <c r="K1190" s="17" t="str">
        <f aca="false">IF(H1190="","",IFERROR(SUMIFS(BD_PLAN!$I$3:$I$312,BD_PLAN!$B$3:$B$312,E1190,BD_PLAN!$C$3:$C$312,INDEX(BD_CICLO!$F$3:$F$54,MATCH(E1190&amp;"|"&amp;H1190,BD_CICLO!$G$3:$G$54,0))),""))</f>
        <v/>
      </c>
      <c r="L1190" s="9"/>
      <c r="M1190" s="9"/>
      <c r="N1190" s="1" t="str">
        <f aca="false">IF(C1190="","",C1190&amp;"|"&amp;COUNTIF(C$3:C1190,C1190))</f>
        <v/>
      </c>
      <c r="O1190" s="1" t="str">
        <f aca="false">IF(OR(C1190="",M1190=""),"",C1190&amp;"|"&amp;COUNTIFS(C$3:C1190,C1190,M$3:M1190,"&lt;&gt;"))</f>
        <v/>
      </c>
    </row>
    <row r="1191" customFormat="false" ht="15" hidden="false" customHeight="false" outlineLevel="0" collapsed="false">
      <c r="B1191" s="7"/>
      <c r="C1191" s="5"/>
      <c r="D1191" s="9" t="str">
        <f aca="false">IF(C1191="","",IFERROR(VLOOKUP(C1191,EQUIPOS!$B$3:$C$18,2,0),"NO EXISTE"))</f>
        <v/>
      </c>
      <c r="E1191" s="9" t="str">
        <f aca="false">IF(C1191="","",IFERROR(VLOOKUP(C1191,EQUIPOS!$B$3:$F$18,5,0),""))</f>
        <v/>
      </c>
      <c r="F1191" s="5" t="str">
        <f aca="false">IF(C1191="","",IFERROR(VLOOKUP(C1191,EQUIPOS!$B$3:$G$18,6,0),""))</f>
        <v/>
      </c>
      <c r="G1191" s="8"/>
      <c r="H1191" s="5"/>
      <c r="I1191" s="5"/>
      <c r="J1191" s="9"/>
      <c r="K1191" s="17" t="str">
        <f aca="false">IF(H1191="","",IFERROR(SUMIFS(BD_PLAN!$I$3:$I$312,BD_PLAN!$B$3:$B$312,E1191,BD_PLAN!$C$3:$C$312,INDEX(BD_CICLO!$F$3:$F$54,MATCH(E1191&amp;"|"&amp;H1191,BD_CICLO!$G$3:$G$54,0))),""))</f>
        <v/>
      </c>
      <c r="L1191" s="9"/>
      <c r="M1191" s="9"/>
      <c r="N1191" s="1" t="str">
        <f aca="false">IF(C1191="","",C1191&amp;"|"&amp;COUNTIF(C$3:C1191,C1191))</f>
        <v/>
      </c>
      <c r="O1191" s="1" t="str">
        <f aca="false">IF(OR(C1191="",M1191=""),"",C1191&amp;"|"&amp;COUNTIFS(C$3:C1191,C1191,M$3:M1191,"&lt;&gt;"))</f>
        <v/>
      </c>
    </row>
    <row r="1192" customFormat="false" ht="15" hidden="false" customHeight="false" outlineLevel="0" collapsed="false">
      <c r="B1192" s="7"/>
      <c r="C1192" s="5"/>
      <c r="D1192" s="9" t="str">
        <f aca="false">IF(C1192="","",IFERROR(VLOOKUP(C1192,EQUIPOS!$B$3:$C$18,2,0),"NO EXISTE"))</f>
        <v/>
      </c>
      <c r="E1192" s="9" t="str">
        <f aca="false">IF(C1192="","",IFERROR(VLOOKUP(C1192,EQUIPOS!$B$3:$F$18,5,0),""))</f>
        <v/>
      </c>
      <c r="F1192" s="5" t="str">
        <f aca="false">IF(C1192="","",IFERROR(VLOOKUP(C1192,EQUIPOS!$B$3:$G$18,6,0),""))</f>
        <v/>
      </c>
      <c r="G1192" s="8"/>
      <c r="H1192" s="5"/>
      <c r="I1192" s="5"/>
      <c r="J1192" s="9"/>
      <c r="K1192" s="17" t="str">
        <f aca="false">IF(H1192="","",IFERROR(SUMIFS(BD_PLAN!$I$3:$I$312,BD_PLAN!$B$3:$B$312,E1192,BD_PLAN!$C$3:$C$312,INDEX(BD_CICLO!$F$3:$F$54,MATCH(E1192&amp;"|"&amp;H1192,BD_CICLO!$G$3:$G$54,0))),""))</f>
        <v/>
      </c>
      <c r="L1192" s="9"/>
      <c r="M1192" s="9"/>
      <c r="N1192" s="1" t="str">
        <f aca="false">IF(C1192="","",C1192&amp;"|"&amp;COUNTIF(C$3:C1192,C1192))</f>
        <v/>
      </c>
      <c r="O1192" s="1" t="str">
        <f aca="false">IF(OR(C1192="",M1192=""),"",C1192&amp;"|"&amp;COUNTIFS(C$3:C1192,C1192,M$3:M1192,"&lt;&gt;"))</f>
        <v/>
      </c>
    </row>
    <row r="1193" customFormat="false" ht="15" hidden="false" customHeight="false" outlineLevel="0" collapsed="false">
      <c r="B1193" s="7"/>
      <c r="C1193" s="5"/>
      <c r="D1193" s="9" t="str">
        <f aca="false">IF(C1193="","",IFERROR(VLOOKUP(C1193,EQUIPOS!$B$3:$C$18,2,0),"NO EXISTE"))</f>
        <v/>
      </c>
      <c r="E1193" s="9" t="str">
        <f aca="false">IF(C1193="","",IFERROR(VLOOKUP(C1193,EQUIPOS!$B$3:$F$18,5,0),""))</f>
        <v/>
      </c>
      <c r="F1193" s="5" t="str">
        <f aca="false">IF(C1193="","",IFERROR(VLOOKUP(C1193,EQUIPOS!$B$3:$G$18,6,0),""))</f>
        <v/>
      </c>
      <c r="G1193" s="8"/>
      <c r="H1193" s="5"/>
      <c r="I1193" s="5"/>
      <c r="J1193" s="9"/>
      <c r="K1193" s="17" t="str">
        <f aca="false">IF(H1193="","",IFERROR(SUMIFS(BD_PLAN!$I$3:$I$312,BD_PLAN!$B$3:$B$312,E1193,BD_PLAN!$C$3:$C$312,INDEX(BD_CICLO!$F$3:$F$54,MATCH(E1193&amp;"|"&amp;H1193,BD_CICLO!$G$3:$G$54,0))),""))</f>
        <v/>
      </c>
      <c r="L1193" s="9"/>
      <c r="M1193" s="9"/>
      <c r="N1193" s="1" t="str">
        <f aca="false">IF(C1193="","",C1193&amp;"|"&amp;COUNTIF(C$3:C1193,C1193))</f>
        <v/>
      </c>
      <c r="O1193" s="1" t="str">
        <f aca="false">IF(OR(C1193="",M1193=""),"",C1193&amp;"|"&amp;COUNTIFS(C$3:C1193,C1193,M$3:M1193,"&lt;&gt;"))</f>
        <v/>
      </c>
    </row>
    <row r="1194" customFormat="false" ht="15" hidden="false" customHeight="false" outlineLevel="0" collapsed="false">
      <c r="B1194" s="7"/>
      <c r="C1194" s="5"/>
      <c r="D1194" s="9" t="str">
        <f aca="false">IF(C1194="","",IFERROR(VLOOKUP(C1194,EQUIPOS!$B$3:$C$18,2,0),"NO EXISTE"))</f>
        <v/>
      </c>
      <c r="E1194" s="9" t="str">
        <f aca="false">IF(C1194="","",IFERROR(VLOOKUP(C1194,EQUIPOS!$B$3:$F$18,5,0),""))</f>
        <v/>
      </c>
      <c r="F1194" s="5" t="str">
        <f aca="false">IF(C1194="","",IFERROR(VLOOKUP(C1194,EQUIPOS!$B$3:$G$18,6,0),""))</f>
        <v/>
      </c>
      <c r="G1194" s="8"/>
      <c r="H1194" s="5"/>
      <c r="I1194" s="5"/>
      <c r="J1194" s="9"/>
      <c r="K1194" s="17" t="str">
        <f aca="false">IF(H1194="","",IFERROR(SUMIFS(BD_PLAN!$I$3:$I$312,BD_PLAN!$B$3:$B$312,E1194,BD_PLAN!$C$3:$C$312,INDEX(BD_CICLO!$F$3:$F$54,MATCH(E1194&amp;"|"&amp;H1194,BD_CICLO!$G$3:$G$54,0))),""))</f>
        <v/>
      </c>
      <c r="L1194" s="9"/>
      <c r="M1194" s="9"/>
      <c r="N1194" s="1" t="str">
        <f aca="false">IF(C1194="","",C1194&amp;"|"&amp;COUNTIF(C$3:C1194,C1194))</f>
        <v/>
      </c>
      <c r="O1194" s="1" t="str">
        <f aca="false">IF(OR(C1194="",M1194=""),"",C1194&amp;"|"&amp;COUNTIFS(C$3:C1194,C1194,M$3:M1194,"&lt;&gt;"))</f>
        <v/>
      </c>
    </row>
    <row r="1195" customFormat="false" ht="15" hidden="false" customHeight="false" outlineLevel="0" collapsed="false">
      <c r="B1195" s="7"/>
      <c r="C1195" s="5"/>
      <c r="D1195" s="9" t="str">
        <f aca="false">IF(C1195="","",IFERROR(VLOOKUP(C1195,EQUIPOS!$B$3:$C$18,2,0),"NO EXISTE"))</f>
        <v/>
      </c>
      <c r="E1195" s="9" t="str">
        <f aca="false">IF(C1195="","",IFERROR(VLOOKUP(C1195,EQUIPOS!$B$3:$F$18,5,0),""))</f>
        <v/>
      </c>
      <c r="F1195" s="5" t="str">
        <f aca="false">IF(C1195="","",IFERROR(VLOOKUP(C1195,EQUIPOS!$B$3:$G$18,6,0),""))</f>
        <v/>
      </c>
      <c r="G1195" s="8"/>
      <c r="H1195" s="5"/>
      <c r="I1195" s="5"/>
      <c r="J1195" s="9"/>
      <c r="K1195" s="17" t="str">
        <f aca="false">IF(H1195="","",IFERROR(SUMIFS(BD_PLAN!$I$3:$I$312,BD_PLAN!$B$3:$B$312,E1195,BD_PLAN!$C$3:$C$312,INDEX(BD_CICLO!$F$3:$F$54,MATCH(E1195&amp;"|"&amp;H1195,BD_CICLO!$G$3:$G$54,0))),""))</f>
        <v/>
      </c>
      <c r="L1195" s="9"/>
      <c r="M1195" s="9"/>
      <c r="N1195" s="1" t="str">
        <f aca="false">IF(C1195="","",C1195&amp;"|"&amp;COUNTIF(C$3:C1195,C1195))</f>
        <v/>
      </c>
      <c r="O1195" s="1" t="str">
        <f aca="false">IF(OR(C1195="",M1195=""),"",C1195&amp;"|"&amp;COUNTIFS(C$3:C1195,C1195,M$3:M1195,"&lt;&gt;"))</f>
        <v/>
      </c>
    </row>
    <row r="1196" customFormat="false" ht="15" hidden="false" customHeight="false" outlineLevel="0" collapsed="false">
      <c r="B1196" s="7"/>
      <c r="C1196" s="5"/>
      <c r="D1196" s="9" t="str">
        <f aca="false">IF(C1196="","",IFERROR(VLOOKUP(C1196,EQUIPOS!$B$3:$C$18,2,0),"NO EXISTE"))</f>
        <v/>
      </c>
      <c r="E1196" s="9" t="str">
        <f aca="false">IF(C1196="","",IFERROR(VLOOKUP(C1196,EQUIPOS!$B$3:$F$18,5,0),""))</f>
        <v/>
      </c>
      <c r="F1196" s="5" t="str">
        <f aca="false">IF(C1196="","",IFERROR(VLOOKUP(C1196,EQUIPOS!$B$3:$G$18,6,0),""))</f>
        <v/>
      </c>
      <c r="G1196" s="8"/>
      <c r="H1196" s="5"/>
      <c r="I1196" s="5"/>
      <c r="J1196" s="9"/>
      <c r="K1196" s="17" t="str">
        <f aca="false">IF(H1196="","",IFERROR(SUMIFS(BD_PLAN!$I$3:$I$312,BD_PLAN!$B$3:$B$312,E1196,BD_PLAN!$C$3:$C$312,INDEX(BD_CICLO!$F$3:$F$54,MATCH(E1196&amp;"|"&amp;H1196,BD_CICLO!$G$3:$G$54,0))),""))</f>
        <v/>
      </c>
      <c r="L1196" s="9"/>
      <c r="M1196" s="9"/>
      <c r="N1196" s="1" t="str">
        <f aca="false">IF(C1196="","",C1196&amp;"|"&amp;COUNTIF(C$3:C1196,C1196))</f>
        <v/>
      </c>
      <c r="O1196" s="1" t="str">
        <f aca="false">IF(OR(C1196="",M1196=""),"",C1196&amp;"|"&amp;COUNTIFS(C$3:C1196,C1196,M$3:M1196,"&lt;&gt;"))</f>
        <v/>
      </c>
    </row>
    <row r="1197" customFormat="false" ht="15" hidden="false" customHeight="false" outlineLevel="0" collapsed="false">
      <c r="B1197" s="7"/>
      <c r="C1197" s="5"/>
      <c r="D1197" s="9" t="str">
        <f aca="false">IF(C1197="","",IFERROR(VLOOKUP(C1197,EQUIPOS!$B$3:$C$18,2,0),"NO EXISTE"))</f>
        <v/>
      </c>
      <c r="E1197" s="9" t="str">
        <f aca="false">IF(C1197="","",IFERROR(VLOOKUP(C1197,EQUIPOS!$B$3:$F$18,5,0),""))</f>
        <v/>
      </c>
      <c r="F1197" s="5" t="str">
        <f aca="false">IF(C1197="","",IFERROR(VLOOKUP(C1197,EQUIPOS!$B$3:$G$18,6,0),""))</f>
        <v/>
      </c>
      <c r="G1197" s="8"/>
      <c r="H1197" s="5"/>
      <c r="I1197" s="5"/>
      <c r="J1197" s="9"/>
      <c r="K1197" s="17" t="str">
        <f aca="false">IF(H1197="","",IFERROR(SUMIFS(BD_PLAN!$I$3:$I$312,BD_PLAN!$B$3:$B$312,E1197,BD_PLAN!$C$3:$C$312,INDEX(BD_CICLO!$F$3:$F$54,MATCH(E1197&amp;"|"&amp;H1197,BD_CICLO!$G$3:$G$54,0))),""))</f>
        <v/>
      </c>
      <c r="L1197" s="9"/>
      <c r="M1197" s="9"/>
      <c r="N1197" s="1" t="str">
        <f aca="false">IF(C1197="","",C1197&amp;"|"&amp;COUNTIF(C$3:C1197,C1197))</f>
        <v/>
      </c>
      <c r="O1197" s="1" t="str">
        <f aca="false">IF(OR(C1197="",M1197=""),"",C1197&amp;"|"&amp;COUNTIFS(C$3:C1197,C1197,M$3:M1197,"&lt;&gt;"))</f>
        <v/>
      </c>
    </row>
    <row r="1198" customFormat="false" ht="15" hidden="false" customHeight="false" outlineLevel="0" collapsed="false">
      <c r="B1198" s="7"/>
      <c r="C1198" s="5"/>
      <c r="D1198" s="9" t="str">
        <f aca="false">IF(C1198="","",IFERROR(VLOOKUP(C1198,EQUIPOS!$B$3:$C$18,2,0),"NO EXISTE"))</f>
        <v/>
      </c>
      <c r="E1198" s="9" t="str">
        <f aca="false">IF(C1198="","",IFERROR(VLOOKUP(C1198,EQUIPOS!$B$3:$F$18,5,0),""))</f>
        <v/>
      </c>
      <c r="F1198" s="5" t="str">
        <f aca="false">IF(C1198="","",IFERROR(VLOOKUP(C1198,EQUIPOS!$B$3:$G$18,6,0),""))</f>
        <v/>
      </c>
      <c r="G1198" s="8"/>
      <c r="H1198" s="5"/>
      <c r="I1198" s="5"/>
      <c r="J1198" s="9"/>
      <c r="K1198" s="17" t="str">
        <f aca="false">IF(H1198="","",IFERROR(SUMIFS(BD_PLAN!$I$3:$I$312,BD_PLAN!$B$3:$B$312,E1198,BD_PLAN!$C$3:$C$312,INDEX(BD_CICLO!$F$3:$F$54,MATCH(E1198&amp;"|"&amp;H1198,BD_CICLO!$G$3:$G$54,0))),""))</f>
        <v/>
      </c>
      <c r="L1198" s="9"/>
      <c r="M1198" s="9"/>
      <c r="N1198" s="1" t="str">
        <f aca="false">IF(C1198="","",C1198&amp;"|"&amp;COUNTIF(C$3:C1198,C1198))</f>
        <v/>
      </c>
      <c r="O1198" s="1" t="str">
        <f aca="false">IF(OR(C1198="",M1198=""),"",C1198&amp;"|"&amp;COUNTIFS(C$3:C1198,C1198,M$3:M1198,"&lt;&gt;"))</f>
        <v/>
      </c>
    </row>
    <row r="1199" customFormat="false" ht="15" hidden="false" customHeight="false" outlineLevel="0" collapsed="false">
      <c r="B1199" s="7"/>
      <c r="C1199" s="5"/>
      <c r="D1199" s="9" t="str">
        <f aca="false">IF(C1199="","",IFERROR(VLOOKUP(C1199,EQUIPOS!$B$3:$C$18,2,0),"NO EXISTE"))</f>
        <v/>
      </c>
      <c r="E1199" s="9" t="str">
        <f aca="false">IF(C1199="","",IFERROR(VLOOKUP(C1199,EQUIPOS!$B$3:$F$18,5,0),""))</f>
        <v/>
      </c>
      <c r="F1199" s="5" t="str">
        <f aca="false">IF(C1199="","",IFERROR(VLOOKUP(C1199,EQUIPOS!$B$3:$G$18,6,0),""))</f>
        <v/>
      </c>
      <c r="G1199" s="8"/>
      <c r="H1199" s="5"/>
      <c r="I1199" s="5"/>
      <c r="J1199" s="9"/>
      <c r="K1199" s="17" t="str">
        <f aca="false">IF(H1199="","",IFERROR(SUMIFS(BD_PLAN!$I$3:$I$312,BD_PLAN!$B$3:$B$312,E1199,BD_PLAN!$C$3:$C$312,INDEX(BD_CICLO!$F$3:$F$54,MATCH(E1199&amp;"|"&amp;H1199,BD_CICLO!$G$3:$G$54,0))),""))</f>
        <v/>
      </c>
      <c r="L1199" s="9"/>
      <c r="M1199" s="9"/>
      <c r="N1199" s="1" t="str">
        <f aca="false">IF(C1199="","",C1199&amp;"|"&amp;COUNTIF(C$3:C1199,C1199))</f>
        <v/>
      </c>
      <c r="O1199" s="1" t="str">
        <f aca="false">IF(OR(C1199="",M1199=""),"",C1199&amp;"|"&amp;COUNTIFS(C$3:C1199,C1199,M$3:M1199,"&lt;&gt;"))</f>
        <v/>
      </c>
    </row>
    <row r="1200" customFormat="false" ht="15" hidden="false" customHeight="false" outlineLevel="0" collapsed="false">
      <c r="B1200" s="7"/>
      <c r="C1200" s="5"/>
      <c r="D1200" s="9" t="str">
        <f aca="false">IF(C1200="","",IFERROR(VLOOKUP(C1200,EQUIPOS!$B$3:$C$18,2,0),"NO EXISTE"))</f>
        <v/>
      </c>
      <c r="E1200" s="9" t="str">
        <f aca="false">IF(C1200="","",IFERROR(VLOOKUP(C1200,EQUIPOS!$B$3:$F$18,5,0),""))</f>
        <v/>
      </c>
      <c r="F1200" s="5" t="str">
        <f aca="false">IF(C1200="","",IFERROR(VLOOKUP(C1200,EQUIPOS!$B$3:$G$18,6,0),""))</f>
        <v/>
      </c>
      <c r="G1200" s="8"/>
      <c r="H1200" s="5"/>
      <c r="I1200" s="5"/>
      <c r="J1200" s="9"/>
      <c r="K1200" s="17" t="str">
        <f aca="false">IF(H1200="","",IFERROR(SUMIFS(BD_PLAN!$I$3:$I$312,BD_PLAN!$B$3:$B$312,E1200,BD_PLAN!$C$3:$C$312,INDEX(BD_CICLO!$F$3:$F$54,MATCH(E1200&amp;"|"&amp;H1200,BD_CICLO!$G$3:$G$54,0))),""))</f>
        <v/>
      </c>
      <c r="L1200" s="9"/>
      <c r="M1200" s="9"/>
      <c r="N1200" s="1" t="str">
        <f aca="false">IF(C1200="","",C1200&amp;"|"&amp;COUNTIF(C$3:C1200,C1200))</f>
        <v/>
      </c>
      <c r="O1200" s="1" t="str">
        <f aca="false">IF(OR(C1200="",M1200=""),"",C1200&amp;"|"&amp;COUNTIFS(C$3:C1200,C1200,M$3:M1200,"&lt;&gt;"))</f>
        <v/>
      </c>
    </row>
    <row r="1201" customFormat="false" ht="15" hidden="false" customHeight="false" outlineLevel="0" collapsed="false">
      <c r="B1201" s="7"/>
      <c r="C1201" s="5"/>
      <c r="D1201" s="9" t="str">
        <f aca="false">IF(C1201="","",IFERROR(VLOOKUP(C1201,EQUIPOS!$B$3:$C$18,2,0),"NO EXISTE"))</f>
        <v/>
      </c>
      <c r="E1201" s="9" t="str">
        <f aca="false">IF(C1201="","",IFERROR(VLOOKUP(C1201,EQUIPOS!$B$3:$F$18,5,0),""))</f>
        <v/>
      </c>
      <c r="F1201" s="5" t="str">
        <f aca="false">IF(C1201="","",IFERROR(VLOOKUP(C1201,EQUIPOS!$B$3:$G$18,6,0),""))</f>
        <v/>
      </c>
      <c r="G1201" s="8"/>
      <c r="H1201" s="5"/>
      <c r="I1201" s="5"/>
      <c r="J1201" s="9"/>
      <c r="K1201" s="17" t="str">
        <f aca="false">IF(H1201="","",IFERROR(SUMIFS(BD_PLAN!$I$3:$I$312,BD_PLAN!$B$3:$B$312,E1201,BD_PLAN!$C$3:$C$312,INDEX(BD_CICLO!$F$3:$F$54,MATCH(E1201&amp;"|"&amp;H1201,BD_CICLO!$G$3:$G$54,0))),""))</f>
        <v/>
      </c>
      <c r="L1201" s="9"/>
      <c r="M1201" s="9"/>
      <c r="N1201" s="1" t="str">
        <f aca="false">IF(C1201="","",C1201&amp;"|"&amp;COUNTIF(C$3:C1201,C1201))</f>
        <v/>
      </c>
      <c r="O1201" s="1" t="str">
        <f aca="false">IF(OR(C1201="",M1201=""),"",C1201&amp;"|"&amp;COUNTIFS(C$3:C1201,C1201,M$3:M1201,"&lt;&gt;"))</f>
        <v/>
      </c>
    </row>
    <row r="1202" customFormat="false" ht="15" hidden="false" customHeight="false" outlineLevel="0" collapsed="false">
      <c r="B1202" s="7"/>
      <c r="C1202" s="5"/>
      <c r="D1202" s="9" t="str">
        <f aca="false">IF(C1202="","",IFERROR(VLOOKUP(C1202,EQUIPOS!$B$3:$C$18,2,0),"NO EXISTE"))</f>
        <v/>
      </c>
      <c r="E1202" s="9" t="str">
        <f aca="false">IF(C1202="","",IFERROR(VLOOKUP(C1202,EQUIPOS!$B$3:$F$18,5,0),""))</f>
        <v/>
      </c>
      <c r="F1202" s="5" t="str">
        <f aca="false">IF(C1202="","",IFERROR(VLOOKUP(C1202,EQUIPOS!$B$3:$G$18,6,0),""))</f>
        <v/>
      </c>
      <c r="G1202" s="8"/>
      <c r="H1202" s="5"/>
      <c r="I1202" s="5"/>
      <c r="J1202" s="9"/>
      <c r="K1202" s="17" t="str">
        <f aca="false">IF(H1202="","",IFERROR(SUMIFS(BD_PLAN!$I$3:$I$312,BD_PLAN!$B$3:$B$312,E1202,BD_PLAN!$C$3:$C$312,INDEX(BD_CICLO!$F$3:$F$54,MATCH(E1202&amp;"|"&amp;H1202,BD_CICLO!$G$3:$G$54,0))),""))</f>
        <v/>
      </c>
      <c r="L1202" s="9"/>
      <c r="M1202" s="9"/>
      <c r="N1202" s="1" t="str">
        <f aca="false">IF(C1202="","",C1202&amp;"|"&amp;COUNTIF(C$3:C1202,C1202))</f>
        <v/>
      </c>
      <c r="O1202" s="1" t="str">
        <f aca="false">IF(OR(C1202="",M1202=""),"",C1202&amp;"|"&amp;COUNTIFS(C$3:C1202,C1202,M$3:M1202,"&lt;&gt;"))</f>
        <v/>
      </c>
    </row>
    <row r="1203" customFormat="false" ht="15" hidden="false" customHeight="false" outlineLevel="0" collapsed="false">
      <c r="B1203" s="7"/>
      <c r="C1203" s="5"/>
      <c r="D1203" s="9" t="str">
        <f aca="false">IF(C1203="","",IFERROR(VLOOKUP(C1203,EQUIPOS!$B$3:$C$18,2,0),"NO EXISTE"))</f>
        <v/>
      </c>
      <c r="E1203" s="9" t="str">
        <f aca="false">IF(C1203="","",IFERROR(VLOOKUP(C1203,EQUIPOS!$B$3:$F$18,5,0),""))</f>
        <v/>
      </c>
      <c r="F1203" s="5" t="str">
        <f aca="false">IF(C1203="","",IFERROR(VLOOKUP(C1203,EQUIPOS!$B$3:$G$18,6,0),""))</f>
        <v/>
      </c>
      <c r="G1203" s="8"/>
      <c r="H1203" s="5"/>
      <c r="I1203" s="5"/>
      <c r="J1203" s="9"/>
      <c r="K1203" s="17" t="str">
        <f aca="false">IF(H1203="","",IFERROR(SUMIFS(BD_PLAN!$I$3:$I$312,BD_PLAN!$B$3:$B$312,E1203,BD_PLAN!$C$3:$C$312,INDEX(BD_CICLO!$F$3:$F$54,MATCH(E1203&amp;"|"&amp;H1203,BD_CICLO!$G$3:$G$54,0))),""))</f>
        <v/>
      </c>
      <c r="L1203" s="9"/>
      <c r="M1203" s="9"/>
      <c r="N1203" s="1" t="str">
        <f aca="false">IF(C1203="","",C1203&amp;"|"&amp;COUNTIF(C$3:C1203,C1203))</f>
        <v/>
      </c>
      <c r="O1203" s="1" t="str">
        <f aca="false">IF(OR(C1203="",M1203=""),"",C1203&amp;"|"&amp;COUNTIFS(C$3:C1203,C1203,M$3:M1203,"&lt;&gt;"))</f>
        <v/>
      </c>
    </row>
    <row r="1204" customFormat="false" ht="15" hidden="false" customHeight="false" outlineLevel="0" collapsed="false">
      <c r="B1204" s="7"/>
      <c r="C1204" s="5"/>
      <c r="D1204" s="9" t="str">
        <f aca="false">IF(C1204="","",IFERROR(VLOOKUP(C1204,EQUIPOS!$B$3:$C$18,2,0),"NO EXISTE"))</f>
        <v/>
      </c>
      <c r="E1204" s="9" t="str">
        <f aca="false">IF(C1204="","",IFERROR(VLOOKUP(C1204,EQUIPOS!$B$3:$F$18,5,0),""))</f>
        <v/>
      </c>
      <c r="F1204" s="5" t="str">
        <f aca="false">IF(C1204="","",IFERROR(VLOOKUP(C1204,EQUIPOS!$B$3:$G$18,6,0),""))</f>
        <v/>
      </c>
      <c r="G1204" s="8"/>
      <c r="H1204" s="5"/>
      <c r="I1204" s="5"/>
      <c r="J1204" s="9"/>
      <c r="K1204" s="17" t="str">
        <f aca="false">IF(H1204="","",IFERROR(SUMIFS(BD_PLAN!$I$3:$I$312,BD_PLAN!$B$3:$B$312,E1204,BD_PLAN!$C$3:$C$312,INDEX(BD_CICLO!$F$3:$F$54,MATCH(E1204&amp;"|"&amp;H1204,BD_CICLO!$G$3:$G$54,0))),""))</f>
        <v/>
      </c>
      <c r="L1204" s="9"/>
      <c r="M1204" s="9"/>
      <c r="N1204" s="1" t="str">
        <f aca="false">IF(C1204="","",C1204&amp;"|"&amp;COUNTIF(C$3:C1204,C1204))</f>
        <v/>
      </c>
      <c r="O1204" s="1" t="str">
        <f aca="false">IF(OR(C1204="",M1204=""),"",C1204&amp;"|"&amp;COUNTIFS(C$3:C1204,C1204,M$3:M1204,"&lt;&gt;"))</f>
        <v/>
      </c>
    </row>
    <row r="1205" customFormat="false" ht="15" hidden="false" customHeight="false" outlineLevel="0" collapsed="false">
      <c r="B1205" s="7"/>
      <c r="C1205" s="5"/>
      <c r="D1205" s="9" t="str">
        <f aca="false">IF(C1205="","",IFERROR(VLOOKUP(C1205,EQUIPOS!$B$3:$C$18,2,0),"NO EXISTE"))</f>
        <v/>
      </c>
      <c r="E1205" s="9" t="str">
        <f aca="false">IF(C1205="","",IFERROR(VLOOKUP(C1205,EQUIPOS!$B$3:$F$18,5,0),""))</f>
        <v/>
      </c>
      <c r="F1205" s="5" t="str">
        <f aca="false">IF(C1205="","",IFERROR(VLOOKUP(C1205,EQUIPOS!$B$3:$G$18,6,0),""))</f>
        <v/>
      </c>
      <c r="G1205" s="8"/>
      <c r="H1205" s="5"/>
      <c r="I1205" s="5"/>
      <c r="J1205" s="9"/>
      <c r="K1205" s="17" t="str">
        <f aca="false">IF(H1205="","",IFERROR(SUMIFS(BD_PLAN!$I$3:$I$312,BD_PLAN!$B$3:$B$312,E1205,BD_PLAN!$C$3:$C$312,INDEX(BD_CICLO!$F$3:$F$54,MATCH(E1205&amp;"|"&amp;H1205,BD_CICLO!$G$3:$G$54,0))),""))</f>
        <v/>
      </c>
      <c r="L1205" s="9"/>
      <c r="M1205" s="9"/>
      <c r="N1205" s="1" t="str">
        <f aca="false">IF(C1205="","",C1205&amp;"|"&amp;COUNTIF(C$3:C1205,C1205))</f>
        <v/>
      </c>
      <c r="O1205" s="1" t="str">
        <f aca="false">IF(OR(C1205="",M1205=""),"",C1205&amp;"|"&amp;COUNTIFS(C$3:C1205,C1205,M$3:M1205,"&lt;&gt;"))</f>
        <v/>
      </c>
    </row>
    <row r="1206" customFormat="false" ht="15" hidden="false" customHeight="false" outlineLevel="0" collapsed="false">
      <c r="B1206" s="7"/>
      <c r="C1206" s="5"/>
      <c r="D1206" s="9" t="str">
        <f aca="false">IF(C1206="","",IFERROR(VLOOKUP(C1206,EQUIPOS!$B$3:$C$18,2,0),"NO EXISTE"))</f>
        <v/>
      </c>
      <c r="E1206" s="9" t="str">
        <f aca="false">IF(C1206="","",IFERROR(VLOOKUP(C1206,EQUIPOS!$B$3:$F$18,5,0),""))</f>
        <v/>
      </c>
      <c r="F1206" s="5" t="str">
        <f aca="false">IF(C1206="","",IFERROR(VLOOKUP(C1206,EQUIPOS!$B$3:$G$18,6,0),""))</f>
        <v/>
      </c>
      <c r="G1206" s="8"/>
      <c r="H1206" s="5"/>
      <c r="I1206" s="5"/>
      <c r="J1206" s="9"/>
      <c r="K1206" s="17" t="str">
        <f aca="false">IF(H1206="","",IFERROR(SUMIFS(BD_PLAN!$I$3:$I$312,BD_PLAN!$B$3:$B$312,E1206,BD_PLAN!$C$3:$C$312,INDEX(BD_CICLO!$F$3:$F$54,MATCH(E1206&amp;"|"&amp;H1206,BD_CICLO!$G$3:$G$54,0))),""))</f>
        <v/>
      </c>
      <c r="L1206" s="9"/>
      <c r="M1206" s="9"/>
      <c r="N1206" s="1" t="str">
        <f aca="false">IF(C1206="","",C1206&amp;"|"&amp;COUNTIF(C$3:C1206,C1206))</f>
        <v/>
      </c>
      <c r="O1206" s="1" t="str">
        <f aca="false">IF(OR(C1206="",M1206=""),"",C1206&amp;"|"&amp;COUNTIFS(C$3:C1206,C1206,M$3:M1206,"&lt;&gt;"))</f>
        <v/>
      </c>
    </row>
    <row r="1207" customFormat="false" ht="15" hidden="false" customHeight="false" outlineLevel="0" collapsed="false">
      <c r="B1207" s="7"/>
      <c r="C1207" s="5"/>
      <c r="D1207" s="9" t="str">
        <f aca="false">IF(C1207="","",IFERROR(VLOOKUP(C1207,EQUIPOS!$B$3:$C$18,2,0),"NO EXISTE"))</f>
        <v/>
      </c>
      <c r="E1207" s="9" t="str">
        <f aca="false">IF(C1207="","",IFERROR(VLOOKUP(C1207,EQUIPOS!$B$3:$F$18,5,0),""))</f>
        <v/>
      </c>
      <c r="F1207" s="5" t="str">
        <f aca="false">IF(C1207="","",IFERROR(VLOOKUP(C1207,EQUIPOS!$B$3:$G$18,6,0),""))</f>
        <v/>
      </c>
      <c r="G1207" s="8"/>
      <c r="H1207" s="5"/>
      <c r="I1207" s="5"/>
      <c r="J1207" s="9"/>
      <c r="K1207" s="17" t="str">
        <f aca="false">IF(H1207="","",IFERROR(SUMIFS(BD_PLAN!$I$3:$I$312,BD_PLAN!$B$3:$B$312,E1207,BD_PLAN!$C$3:$C$312,INDEX(BD_CICLO!$F$3:$F$54,MATCH(E1207&amp;"|"&amp;H1207,BD_CICLO!$G$3:$G$54,0))),""))</f>
        <v/>
      </c>
      <c r="L1207" s="9"/>
      <c r="M1207" s="9"/>
      <c r="N1207" s="1" t="str">
        <f aca="false">IF(C1207="","",C1207&amp;"|"&amp;COUNTIF(C$3:C1207,C1207))</f>
        <v/>
      </c>
      <c r="O1207" s="1" t="str">
        <f aca="false">IF(OR(C1207="",M1207=""),"",C1207&amp;"|"&amp;COUNTIFS(C$3:C1207,C1207,M$3:M1207,"&lt;&gt;"))</f>
        <v/>
      </c>
    </row>
    <row r="1208" customFormat="false" ht="15" hidden="false" customHeight="false" outlineLevel="0" collapsed="false">
      <c r="B1208" s="7"/>
      <c r="C1208" s="5"/>
      <c r="D1208" s="9" t="str">
        <f aca="false">IF(C1208="","",IFERROR(VLOOKUP(C1208,EQUIPOS!$B$3:$C$18,2,0),"NO EXISTE"))</f>
        <v/>
      </c>
      <c r="E1208" s="9" t="str">
        <f aca="false">IF(C1208="","",IFERROR(VLOOKUP(C1208,EQUIPOS!$B$3:$F$18,5,0),""))</f>
        <v/>
      </c>
      <c r="F1208" s="5" t="str">
        <f aca="false">IF(C1208="","",IFERROR(VLOOKUP(C1208,EQUIPOS!$B$3:$G$18,6,0),""))</f>
        <v/>
      </c>
      <c r="G1208" s="8"/>
      <c r="H1208" s="5"/>
      <c r="I1208" s="5"/>
      <c r="J1208" s="9"/>
      <c r="K1208" s="17" t="str">
        <f aca="false">IF(H1208="","",IFERROR(SUMIFS(BD_PLAN!$I$3:$I$312,BD_PLAN!$B$3:$B$312,E1208,BD_PLAN!$C$3:$C$312,INDEX(BD_CICLO!$F$3:$F$54,MATCH(E1208&amp;"|"&amp;H1208,BD_CICLO!$G$3:$G$54,0))),""))</f>
        <v/>
      </c>
      <c r="L1208" s="9"/>
      <c r="M1208" s="9"/>
      <c r="N1208" s="1" t="str">
        <f aca="false">IF(C1208="","",C1208&amp;"|"&amp;COUNTIF(C$3:C1208,C1208))</f>
        <v/>
      </c>
      <c r="O1208" s="1" t="str">
        <f aca="false">IF(OR(C1208="",M1208=""),"",C1208&amp;"|"&amp;COUNTIFS(C$3:C1208,C1208,M$3:M1208,"&lt;&gt;"))</f>
        <v/>
      </c>
    </row>
    <row r="1209" customFormat="false" ht="15" hidden="false" customHeight="false" outlineLevel="0" collapsed="false">
      <c r="B1209" s="7"/>
      <c r="C1209" s="5"/>
      <c r="D1209" s="9" t="str">
        <f aca="false">IF(C1209="","",IFERROR(VLOOKUP(C1209,EQUIPOS!$B$3:$C$18,2,0),"NO EXISTE"))</f>
        <v/>
      </c>
      <c r="E1209" s="9" t="str">
        <f aca="false">IF(C1209="","",IFERROR(VLOOKUP(C1209,EQUIPOS!$B$3:$F$18,5,0),""))</f>
        <v/>
      </c>
      <c r="F1209" s="5" t="str">
        <f aca="false">IF(C1209="","",IFERROR(VLOOKUP(C1209,EQUIPOS!$B$3:$G$18,6,0),""))</f>
        <v/>
      </c>
      <c r="G1209" s="8"/>
      <c r="H1209" s="5"/>
      <c r="I1209" s="5"/>
      <c r="J1209" s="9"/>
      <c r="K1209" s="17" t="str">
        <f aca="false">IF(H1209="","",IFERROR(SUMIFS(BD_PLAN!$I$3:$I$312,BD_PLAN!$B$3:$B$312,E1209,BD_PLAN!$C$3:$C$312,INDEX(BD_CICLO!$F$3:$F$54,MATCH(E1209&amp;"|"&amp;H1209,BD_CICLO!$G$3:$G$54,0))),""))</f>
        <v/>
      </c>
      <c r="L1209" s="9"/>
      <c r="M1209" s="9"/>
      <c r="N1209" s="1" t="str">
        <f aca="false">IF(C1209="","",C1209&amp;"|"&amp;COUNTIF(C$3:C1209,C1209))</f>
        <v/>
      </c>
      <c r="O1209" s="1" t="str">
        <f aca="false">IF(OR(C1209="",M1209=""),"",C1209&amp;"|"&amp;COUNTIFS(C$3:C1209,C1209,M$3:M1209,"&lt;&gt;"))</f>
        <v/>
      </c>
    </row>
    <row r="1210" customFormat="false" ht="15" hidden="false" customHeight="false" outlineLevel="0" collapsed="false">
      <c r="B1210" s="7"/>
      <c r="C1210" s="5"/>
      <c r="D1210" s="9" t="str">
        <f aca="false">IF(C1210="","",IFERROR(VLOOKUP(C1210,EQUIPOS!$B$3:$C$18,2,0),"NO EXISTE"))</f>
        <v/>
      </c>
      <c r="E1210" s="9" t="str">
        <f aca="false">IF(C1210="","",IFERROR(VLOOKUP(C1210,EQUIPOS!$B$3:$F$18,5,0),""))</f>
        <v/>
      </c>
      <c r="F1210" s="5" t="str">
        <f aca="false">IF(C1210="","",IFERROR(VLOOKUP(C1210,EQUIPOS!$B$3:$G$18,6,0),""))</f>
        <v/>
      </c>
      <c r="G1210" s="8"/>
      <c r="H1210" s="5"/>
      <c r="I1210" s="5"/>
      <c r="J1210" s="9"/>
      <c r="K1210" s="17" t="str">
        <f aca="false">IF(H1210="","",IFERROR(SUMIFS(BD_PLAN!$I$3:$I$312,BD_PLAN!$B$3:$B$312,E1210,BD_PLAN!$C$3:$C$312,INDEX(BD_CICLO!$F$3:$F$54,MATCH(E1210&amp;"|"&amp;H1210,BD_CICLO!$G$3:$G$54,0))),""))</f>
        <v/>
      </c>
      <c r="L1210" s="9"/>
      <c r="M1210" s="9"/>
      <c r="N1210" s="1" t="str">
        <f aca="false">IF(C1210="","",C1210&amp;"|"&amp;COUNTIF(C$3:C1210,C1210))</f>
        <v/>
      </c>
      <c r="O1210" s="1" t="str">
        <f aca="false">IF(OR(C1210="",M1210=""),"",C1210&amp;"|"&amp;COUNTIFS(C$3:C1210,C1210,M$3:M1210,"&lt;&gt;"))</f>
        <v/>
      </c>
    </row>
    <row r="1211" customFormat="false" ht="15" hidden="false" customHeight="false" outlineLevel="0" collapsed="false">
      <c r="B1211" s="7"/>
      <c r="C1211" s="5"/>
      <c r="D1211" s="9" t="str">
        <f aca="false">IF(C1211="","",IFERROR(VLOOKUP(C1211,EQUIPOS!$B$3:$C$18,2,0),"NO EXISTE"))</f>
        <v/>
      </c>
      <c r="E1211" s="9" t="str">
        <f aca="false">IF(C1211="","",IFERROR(VLOOKUP(C1211,EQUIPOS!$B$3:$F$18,5,0),""))</f>
        <v/>
      </c>
      <c r="F1211" s="5" t="str">
        <f aca="false">IF(C1211="","",IFERROR(VLOOKUP(C1211,EQUIPOS!$B$3:$G$18,6,0),""))</f>
        <v/>
      </c>
      <c r="G1211" s="8"/>
      <c r="H1211" s="5"/>
      <c r="I1211" s="5"/>
      <c r="J1211" s="9"/>
      <c r="K1211" s="17" t="str">
        <f aca="false">IF(H1211="","",IFERROR(SUMIFS(BD_PLAN!$I$3:$I$312,BD_PLAN!$B$3:$B$312,E1211,BD_PLAN!$C$3:$C$312,INDEX(BD_CICLO!$F$3:$F$54,MATCH(E1211&amp;"|"&amp;H1211,BD_CICLO!$G$3:$G$54,0))),""))</f>
        <v/>
      </c>
      <c r="L1211" s="9"/>
      <c r="M1211" s="9"/>
      <c r="N1211" s="1" t="str">
        <f aca="false">IF(C1211="","",C1211&amp;"|"&amp;COUNTIF(C$3:C1211,C1211))</f>
        <v/>
      </c>
      <c r="O1211" s="1" t="str">
        <f aca="false">IF(OR(C1211="",M1211=""),"",C1211&amp;"|"&amp;COUNTIFS(C$3:C1211,C1211,M$3:M1211,"&lt;&gt;"))</f>
        <v/>
      </c>
    </row>
    <row r="1212" customFormat="false" ht="15" hidden="false" customHeight="false" outlineLevel="0" collapsed="false">
      <c r="B1212" s="7"/>
      <c r="C1212" s="5"/>
      <c r="D1212" s="9" t="str">
        <f aca="false">IF(C1212="","",IFERROR(VLOOKUP(C1212,EQUIPOS!$B$3:$C$18,2,0),"NO EXISTE"))</f>
        <v/>
      </c>
      <c r="E1212" s="9" t="str">
        <f aca="false">IF(C1212="","",IFERROR(VLOOKUP(C1212,EQUIPOS!$B$3:$F$18,5,0),""))</f>
        <v/>
      </c>
      <c r="F1212" s="5" t="str">
        <f aca="false">IF(C1212="","",IFERROR(VLOOKUP(C1212,EQUIPOS!$B$3:$G$18,6,0),""))</f>
        <v/>
      </c>
      <c r="G1212" s="8"/>
      <c r="H1212" s="5"/>
      <c r="I1212" s="5"/>
      <c r="J1212" s="9"/>
      <c r="K1212" s="17" t="str">
        <f aca="false">IF(H1212="","",IFERROR(SUMIFS(BD_PLAN!$I$3:$I$312,BD_PLAN!$B$3:$B$312,E1212,BD_PLAN!$C$3:$C$312,INDEX(BD_CICLO!$F$3:$F$54,MATCH(E1212&amp;"|"&amp;H1212,BD_CICLO!$G$3:$G$54,0))),""))</f>
        <v/>
      </c>
      <c r="L1212" s="9"/>
      <c r="M1212" s="9"/>
      <c r="N1212" s="1" t="str">
        <f aca="false">IF(C1212="","",C1212&amp;"|"&amp;COUNTIF(C$3:C1212,C1212))</f>
        <v/>
      </c>
      <c r="O1212" s="1" t="str">
        <f aca="false">IF(OR(C1212="",M1212=""),"",C1212&amp;"|"&amp;COUNTIFS(C$3:C1212,C1212,M$3:M1212,"&lt;&gt;"))</f>
        <v/>
      </c>
    </row>
    <row r="1213" customFormat="false" ht="15" hidden="false" customHeight="false" outlineLevel="0" collapsed="false">
      <c r="B1213" s="7"/>
      <c r="C1213" s="5"/>
      <c r="D1213" s="9" t="str">
        <f aca="false">IF(C1213="","",IFERROR(VLOOKUP(C1213,EQUIPOS!$B$3:$C$18,2,0),"NO EXISTE"))</f>
        <v/>
      </c>
      <c r="E1213" s="9" t="str">
        <f aca="false">IF(C1213="","",IFERROR(VLOOKUP(C1213,EQUIPOS!$B$3:$F$18,5,0),""))</f>
        <v/>
      </c>
      <c r="F1213" s="5" t="str">
        <f aca="false">IF(C1213="","",IFERROR(VLOOKUP(C1213,EQUIPOS!$B$3:$G$18,6,0),""))</f>
        <v/>
      </c>
      <c r="G1213" s="8"/>
      <c r="H1213" s="5"/>
      <c r="I1213" s="5"/>
      <c r="J1213" s="9"/>
      <c r="K1213" s="17" t="str">
        <f aca="false">IF(H1213="","",IFERROR(SUMIFS(BD_PLAN!$I$3:$I$312,BD_PLAN!$B$3:$B$312,E1213,BD_PLAN!$C$3:$C$312,INDEX(BD_CICLO!$F$3:$F$54,MATCH(E1213&amp;"|"&amp;H1213,BD_CICLO!$G$3:$G$54,0))),""))</f>
        <v/>
      </c>
      <c r="L1213" s="9"/>
      <c r="M1213" s="9"/>
      <c r="N1213" s="1" t="str">
        <f aca="false">IF(C1213="","",C1213&amp;"|"&amp;COUNTIF(C$3:C1213,C1213))</f>
        <v/>
      </c>
      <c r="O1213" s="1" t="str">
        <f aca="false">IF(OR(C1213="",M1213=""),"",C1213&amp;"|"&amp;COUNTIFS(C$3:C1213,C1213,M$3:M1213,"&lt;&gt;"))</f>
        <v/>
      </c>
    </row>
    <row r="1214" customFormat="false" ht="15" hidden="false" customHeight="false" outlineLevel="0" collapsed="false">
      <c r="B1214" s="7"/>
      <c r="C1214" s="5"/>
      <c r="D1214" s="9" t="str">
        <f aca="false">IF(C1214="","",IFERROR(VLOOKUP(C1214,EQUIPOS!$B$3:$C$18,2,0),"NO EXISTE"))</f>
        <v/>
      </c>
      <c r="E1214" s="9" t="str">
        <f aca="false">IF(C1214="","",IFERROR(VLOOKUP(C1214,EQUIPOS!$B$3:$F$18,5,0),""))</f>
        <v/>
      </c>
      <c r="F1214" s="5" t="str">
        <f aca="false">IF(C1214="","",IFERROR(VLOOKUP(C1214,EQUIPOS!$B$3:$G$18,6,0),""))</f>
        <v/>
      </c>
      <c r="G1214" s="8"/>
      <c r="H1214" s="5"/>
      <c r="I1214" s="5"/>
      <c r="J1214" s="9"/>
      <c r="K1214" s="17" t="str">
        <f aca="false">IF(H1214="","",IFERROR(SUMIFS(BD_PLAN!$I$3:$I$312,BD_PLAN!$B$3:$B$312,E1214,BD_PLAN!$C$3:$C$312,INDEX(BD_CICLO!$F$3:$F$54,MATCH(E1214&amp;"|"&amp;H1214,BD_CICLO!$G$3:$G$54,0))),""))</f>
        <v/>
      </c>
      <c r="L1214" s="9"/>
      <c r="M1214" s="9"/>
      <c r="N1214" s="1" t="str">
        <f aca="false">IF(C1214="","",C1214&amp;"|"&amp;COUNTIF(C$3:C1214,C1214))</f>
        <v/>
      </c>
      <c r="O1214" s="1" t="str">
        <f aca="false">IF(OR(C1214="",M1214=""),"",C1214&amp;"|"&amp;COUNTIFS(C$3:C1214,C1214,M$3:M1214,"&lt;&gt;"))</f>
        <v/>
      </c>
    </row>
    <row r="1215" customFormat="false" ht="15" hidden="false" customHeight="false" outlineLevel="0" collapsed="false">
      <c r="B1215" s="7"/>
      <c r="C1215" s="5"/>
      <c r="D1215" s="9" t="str">
        <f aca="false">IF(C1215="","",IFERROR(VLOOKUP(C1215,EQUIPOS!$B$3:$C$18,2,0),"NO EXISTE"))</f>
        <v/>
      </c>
      <c r="E1215" s="9" t="str">
        <f aca="false">IF(C1215="","",IFERROR(VLOOKUP(C1215,EQUIPOS!$B$3:$F$18,5,0),""))</f>
        <v/>
      </c>
      <c r="F1215" s="5" t="str">
        <f aca="false">IF(C1215="","",IFERROR(VLOOKUP(C1215,EQUIPOS!$B$3:$G$18,6,0),""))</f>
        <v/>
      </c>
      <c r="G1215" s="8"/>
      <c r="H1215" s="5"/>
      <c r="I1215" s="5"/>
      <c r="J1215" s="9"/>
      <c r="K1215" s="17" t="str">
        <f aca="false">IF(H1215="","",IFERROR(SUMIFS(BD_PLAN!$I$3:$I$312,BD_PLAN!$B$3:$B$312,E1215,BD_PLAN!$C$3:$C$312,INDEX(BD_CICLO!$F$3:$F$54,MATCH(E1215&amp;"|"&amp;H1215,BD_CICLO!$G$3:$G$54,0))),""))</f>
        <v/>
      </c>
      <c r="L1215" s="9"/>
      <c r="M1215" s="9"/>
      <c r="N1215" s="1" t="str">
        <f aca="false">IF(C1215="","",C1215&amp;"|"&amp;COUNTIF(C$3:C1215,C1215))</f>
        <v/>
      </c>
      <c r="O1215" s="1" t="str">
        <f aca="false">IF(OR(C1215="",M1215=""),"",C1215&amp;"|"&amp;COUNTIFS(C$3:C1215,C1215,M$3:M1215,"&lt;&gt;"))</f>
        <v/>
      </c>
    </row>
    <row r="1216" customFormat="false" ht="15" hidden="false" customHeight="false" outlineLevel="0" collapsed="false">
      <c r="B1216" s="7"/>
      <c r="C1216" s="5"/>
      <c r="D1216" s="9" t="str">
        <f aca="false">IF(C1216="","",IFERROR(VLOOKUP(C1216,EQUIPOS!$B$3:$C$18,2,0),"NO EXISTE"))</f>
        <v/>
      </c>
      <c r="E1216" s="9" t="str">
        <f aca="false">IF(C1216="","",IFERROR(VLOOKUP(C1216,EQUIPOS!$B$3:$F$18,5,0),""))</f>
        <v/>
      </c>
      <c r="F1216" s="5" t="str">
        <f aca="false">IF(C1216="","",IFERROR(VLOOKUP(C1216,EQUIPOS!$B$3:$G$18,6,0),""))</f>
        <v/>
      </c>
      <c r="G1216" s="8"/>
      <c r="H1216" s="5"/>
      <c r="I1216" s="5"/>
      <c r="J1216" s="9"/>
      <c r="K1216" s="17" t="str">
        <f aca="false">IF(H1216="","",IFERROR(SUMIFS(BD_PLAN!$I$3:$I$312,BD_PLAN!$B$3:$B$312,E1216,BD_PLAN!$C$3:$C$312,INDEX(BD_CICLO!$F$3:$F$54,MATCH(E1216&amp;"|"&amp;H1216,BD_CICLO!$G$3:$G$54,0))),""))</f>
        <v/>
      </c>
      <c r="L1216" s="9"/>
      <c r="M1216" s="9"/>
      <c r="N1216" s="1" t="str">
        <f aca="false">IF(C1216="","",C1216&amp;"|"&amp;COUNTIF(C$3:C1216,C1216))</f>
        <v/>
      </c>
      <c r="O1216" s="1" t="str">
        <f aca="false">IF(OR(C1216="",M1216=""),"",C1216&amp;"|"&amp;COUNTIFS(C$3:C1216,C1216,M$3:M1216,"&lt;&gt;"))</f>
        <v/>
      </c>
    </row>
    <row r="1217" customFormat="false" ht="15" hidden="false" customHeight="false" outlineLevel="0" collapsed="false">
      <c r="B1217" s="7"/>
      <c r="C1217" s="5"/>
      <c r="D1217" s="9" t="str">
        <f aca="false">IF(C1217="","",IFERROR(VLOOKUP(C1217,EQUIPOS!$B$3:$C$18,2,0),"NO EXISTE"))</f>
        <v/>
      </c>
      <c r="E1217" s="9" t="str">
        <f aca="false">IF(C1217="","",IFERROR(VLOOKUP(C1217,EQUIPOS!$B$3:$F$18,5,0),""))</f>
        <v/>
      </c>
      <c r="F1217" s="5" t="str">
        <f aca="false">IF(C1217="","",IFERROR(VLOOKUP(C1217,EQUIPOS!$B$3:$G$18,6,0),""))</f>
        <v/>
      </c>
      <c r="G1217" s="8"/>
      <c r="H1217" s="5"/>
      <c r="I1217" s="5"/>
      <c r="J1217" s="9"/>
      <c r="K1217" s="17" t="str">
        <f aca="false">IF(H1217="","",IFERROR(SUMIFS(BD_PLAN!$I$3:$I$312,BD_PLAN!$B$3:$B$312,E1217,BD_PLAN!$C$3:$C$312,INDEX(BD_CICLO!$F$3:$F$54,MATCH(E1217&amp;"|"&amp;H1217,BD_CICLO!$G$3:$G$54,0))),""))</f>
        <v/>
      </c>
      <c r="L1217" s="9"/>
      <c r="M1217" s="9"/>
      <c r="N1217" s="1" t="str">
        <f aca="false">IF(C1217="","",C1217&amp;"|"&amp;COUNTIF(C$3:C1217,C1217))</f>
        <v/>
      </c>
      <c r="O1217" s="1" t="str">
        <f aca="false">IF(OR(C1217="",M1217=""),"",C1217&amp;"|"&amp;COUNTIFS(C$3:C1217,C1217,M$3:M1217,"&lt;&gt;"))</f>
        <v/>
      </c>
    </row>
    <row r="1218" customFormat="false" ht="15" hidden="false" customHeight="false" outlineLevel="0" collapsed="false">
      <c r="B1218" s="7"/>
      <c r="C1218" s="5"/>
      <c r="D1218" s="9" t="str">
        <f aca="false">IF(C1218="","",IFERROR(VLOOKUP(C1218,EQUIPOS!$B$3:$C$18,2,0),"NO EXISTE"))</f>
        <v/>
      </c>
      <c r="E1218" s="9" t="str">
        <f aca="false">IF(C1218="","",IFERROR(VLOOKUP(C1218,EQUIPOS!$B$3:$F$18,5,0),""))</f>
        <v/>
      </c>
      <c r="F1218" s="5" t="str">
        <f aca="false">IF(C1218="","",IFERROR(VLOOKUP(C1218,EQUIPOS!$B$3:$G$18,6,0),""))</f>
        <v/>
      </c>
      <c r="G1218" s="8"/>
      <c r="H1218" s="5"/>
      <c r="I1218" s="5"/>
      <c r="J1218" s="9"/>
      <c r="K1218" s="17" t="str">
        <f aca="false">IF(H1218="","",IFERROR(SUMIFS(BD_PLAN!$I$3:$I$312,BD_PLAN!$B$3:$B$312,E1218,BD_PLAN!$C$3:$C$312,INDEX(BD_CICLO!$F$3:$F$54,MATCH(E1218&amp;"|"&amp;H1218,BD_CICLO!$G$3:$G$54,0))),""))</f>
        <v/>
      </c>
      <c r="L1218" s="9"/>
      <c r="M1218" s="9"/>
      <c r="N1218" s="1" t="str">
        <f aca="false">IF(C1218="","",C1218&amp;"|"&amp;COUNTIF(C$3:C1218,C1218))</f>
        <v/>
      </c>
      <c r="O1218" s="1" t="str">
        <f aca="false">IF(OR(C1218="",M1218=""),"",C1218&amp;"|"&amp;COUNTIFS(C$3:C1218,C1218,M$3:M1218,"&lt;&gt;"))</f>
        <v/>
      </c>
    </row>
    <row r="1219" customFormat="false" ht="15" hidden="false" customHeight="false" outlineLevel="0" collapsed="false">
      <c r="B1219" s="7"/>
      <c r="C1219" s="5"/>
      <c r="D1219" s="9" t="str">
        <f aca="false">IF(C1219="","",IFERROR(VLOOKUP(C1219,EQUIPOS!$B$3:$C$18,2,0),"NO EXISTE"))</f>
        <v/>
      </c>
      <c r="E1219" s="9" t="str">
        <f aca="false">IF(C1219="","",IFERROR(VLOOKUP(C1219,EQUIPOS!$B$3:$F$18,5,0),""))</f>
        <v/>
      </c>
      <c r="F1219" s="5" t="str">
        <f aca="false">IF(C1219="","",IFERROR(VLOOKUP(C1219,EQUIPOS!$B$3:$G$18,6,0),""))</f>
        <v/>
      </c>
      <c r="G1219" s="8"/>
      <c r="H1219" s="5"/>
      <c r="I1219" s="5"/>
      <c r="J1219" s="9"/>
      <c r="K1219" s="17" t="str">
        <f aca="false">IF(H1219="","",IFERROR(SUMIFS(BD_PLAN!$I$3:$I$312,BD_PLAN!$B$3:$B$312,E1219,BD_PLAN!$C$3:$C$312,INDEX(BD_CICLO!$F$3:$F$54,MATCH(E1219&amp;"|"&amp;H1219,BD_CICLO!$G$3:$G$54,0))),""))</f>
        <v/>
      </c>
      <c r="L1219" s="9"/>
      <c r="M1219" s="9"/>
      <c r="N1219" s="1" t="str">
        <f aca="false">IF(C1219="","",C1219&amp;"|"&amp;COUNTIF(C$3:C1219,C1219))</f>
        <v/>
      </c>
      <c r="O1219" s="1" t="str">
        <f aca="false">IF(OR(C1219="",M1219=""),"",C1219&amp;"|"&amp;COUNTIFS(C$3:C1219,C1219,M$3:M1219,"&lt;&gt;"))</f>
        <v/>
      </c>
    </row>
    <row r="1220" customFormat="false" ht="15" hidden="false" customHeight="false" outlineLevel="0" collapsed="false">
      <c r="B1220" s="7"/>
      <c r="C1220" s="5"/>
      <c r="D1220" s="9" t="str">
        <f aca="false">IF(C1220="","",IFERROR(VLOOKUP(C1220,EQUIPOS!$B$3:$C$18,2,0),"NO EXISTE"))</f>
        <v/>
      </c>
      <c r="E1220" s="9" t="str">
        <f aca="false">IF(C1220="","",IFERROR(VLOOKUP(C1220,EQUIPOS!$B$3:$F$18,5,0),""))</f>
        <v/>
      </c>
      <c r="F1220" s="5" t="str">
        <f aca="false">IF(C1220="","",IFERROR(VLOOKUP(C1220,EQUIPOS!$B$3:$G$18,6,0),""))</f>
        <v/>
      </c>
      <c r="G1220" s="8"/>
      <c r="H1220" s="5"/>
      <c r="I1220" s="5"/>
      <c r="J1220" s="9"/>
      <c r="K1220" s="17" t="str">
        <f aca="false">IF(H1220="","",IFERROR(SUMIFS(BD_PLAN!$I$3:$I$312,BD_PLAN!$B$3:$B$312,E1220,BD_PLAN!$C$3:$C$312,INDEX(BD_CICLO!$F$3:$F$54,MATCH(E1220&amp;"|"&amp;H1220,BD_CICLO!$G$3:$G$54,0))),""))</f>
        <v/>
      </c>
      <c r="L1220" s="9"/>
      <c r="M1220" s="9"/>
      <c r="N1220" s="1" t="str">
        <f aca="false">IF(C1220="","",C1220&amp;"|"&amp;COUNTIF(C$3:C1220,C1220))</f>
        <v/>
      </c>
      <c r="O1220" s="1" t="str">
        <f aca="false">IF(OR(C1220="",M1220=""),"",C1220&amp;"|"&amp;COUNTIFS(C$3:C1220,C1220,M$3:M1220,"&lt;&gt;"))</f>
        <v/>
      </c>
    </row>
    <row r="1221" customFormat="false" ht="15" hidden="false" customHeight="false" outlineLevel="0" collapsed="false">
      <c r="B1221" s="7"/>
      <c r="C1221" s="5"/>
      <c r="D1221" s="9" t="str">
        <f aca="false">IF(C1221="","",IFERROR(VLOOKUP(C1221,EQUIPOS!$B$3:$C$18,2,0),"NO EXISTE"))</f>
        <v/>
      </c>
      <c r="E1221" s="9" t="str">
        <f aca="false">IF(C1221="","",IFERROR(VLOOKUP(C1221,EQUIPOS!$B$3:$F$18,5,0),""))</f>
        <v/>
      </c>
      <c r="F1221" s="5" t="str">
        <f aca="false">IF(C1221="","",IFERROR(VLOOKUP(C1221,EQUIPOS!$B$3:$G$18,6,0),""))</f>
        <v/>
      </c>
      <c r="G1221" s="8"/>
      <c r="H1221" s="5"/>
      <c r="I1221" s="5"/>
      <c r="J1221" s="9"/>
      <c r="K1221" s="17" t="str">
        <f aca="false">IF(H1221="","",IFERROR(SUMIFS(BD_PLAN!$I$3:$I$312,BD_PLAN!$B$3:$B$312,E1221,BD_PLAN!$C$3:$C$312,INDEX(BD_CICLO!$F$3:$F$54,MATCH(E1221&amp;"|"&amp;H1221,BD_CICLO!$G$3:$G$54,0))),""))</f>
        <v/>
      </c>
      <c r="L1221" s="9"/>
      <c r="M1221" s="9"/>
      <c r="N1221" s="1" t="str">
        <f aca="false">IF(C1221="","",C1221&amp;"|"&amp;COUNTIF(C$3:C1221,C1221))</f>
        <v/>
      </c>
      <c r="O1221" s="1" t="str">
        <f aca="false">IF(OR(C1221="",M1221=""),"",C1221&amp;"|"&amp;COUNTIFS(C$3:C1221,C1221,M$3:M1221,"&lt;&gt;"))</f>
        <v/>
      </c>
    </row>
    <row r="1222" customFormat="false" ht="15" hidden="false" customHeight="false" outlineLevel="0" collapsed="false">
      <c r="B1222" s="7"/>
      <c r="C1222" s="5"/>
      <c r="D1222" s="9" t="str">
        <f aca="false">IF(C1222="","",IFERROR(VLOOKUP(C1222,EQUIPOS!$B$3:$C$18,2,0),"NO EXISTE"))</f>
        <v/>
      </c>
      <c r="E1222" s="9" t="str">
        <f aca="false">IF(C1222="","",IFERROR(VLOOKUP(C1222,EQUIPOS!$B$3:$F$18,5,0),""))</f>
        <v/>
      </c>
      <c r="F1222" s="5" t="str">
        <f aca="false">IF(C1222="","",IFERROR(VLOOKUP(C1222,EQUIPOS!$B$3:$G$18,6,0),""))</f>
        <v/>
      </c>
      <c r="G1222" s="8"/>
      <c r="H1222" s="5"/>
      <c r="I1222" s="5"/>
      <c r="J1222" s="9"/>
      <c r="K1222" s="17" t="str">
        <f aca="false">IF(H1222="","",IFERROR(SUMIFS(BD_PLAN!$I$3:$I$312,BD_PLAN!$B$3:$B$312,E1222,BD_PLAN!$C$3:$C$312,INDEX(BD_CICLO!$F$3:$F$54,MATCH(E1222&amp;"|"&amp;H1222,BD_CICLO!$G$3:$G$54,0))),""))</f>
        <v/>
      </c>
      <c r="L1222" s="9"/>
      <c r="M1222" s="9"/>
      <c r="N1222" s="1" t="str">
        <f aca="false">IF(C1222="","",C1222&amp;"|"&amp;COUNTIF(C$3:C1222,C1222))</f>
        <v/>
      </c>
      <c r="O1222" s="1" t="str">
        <f aca="false">IF(OR(C1222="",M1222=""),"",C1222&amp;"|"&amp;COUNTIFS(C$3:C1222,C1222,M$3:M1222,"&lt;&gt;"))</f>
        <v/>
      </c>
    </row>
    <row r="1223" customFormat="false" ht="15" hidden="false" customHeight="false" outlineLevel="0" collapsed="false">
      <c r="B1223" s="7"/>
      <c r="C1223" s="5"/>
      <c r="D1223" s="9" t="str">
        <f aca="false">IF(C1223="","",IFERROR(VLOOKUP(C1223,EQUIPOS!$B$3:$C$18,2,0),"NO EXISTE"))</f>
        <v/>
      </c>
      <c r="E1223" s="9" t="str">
        <f aca="false">IF(C1223="","",IFERROR(VLOOKUP(C1223,EQUIPOS!$B$3:$F$18,5,0),""))</f>
        <v/>
      </c>
      <c r="F1223" s="5" t="str">
        <f aca="false">IF(C1223="","",IFERROR(VLOOKUP(C1223,EQUIPOS!$B$3:$G$18,6,0),""))</f>
        <v/>
      </c>
      <c r="G1223" s="8"/>
      <c r="H1223" s="5"/>
      <c r="I1223" s="5"/>
      <c r="J1223" s="9"/>
      <c r="K1223" s="17" t="str">
        <f aca="false">IF(H1223="","",IFERROR(SUMIFS(BD_PLAN!$I$3:$I$312,BD_PLAN!$B$3:$B$312,E1223,BD_PLAN!$C$3:$C$312,INDEX(BD_CICLO!$F$3:$F$54,MATCH(E1223&amp;"|"&amp;H1223,BD_CICLO!$G$3:$G$54,0))),""))</f>
        <v/>
      </c>
      <c r="L1223" s="9"/>
      <c r="M1223" s="9"/>
      <c r="N1223" s="1" t="str">
        <f aca="false">IF(C1223="","",C1223&amp;"|"&amp;COUNTIF(C$3:C1223,C1223))</f>
        <v/>
      </c>
      <c r="O1223" s="1" t="str">
        <f aca="false">IF(OR(C1223="",M1223=""),"",C1223&amp;"|"&amp;COUNTIFS(C$3:C1223,C1223,M$3:M1223,"&lt;&gt;"))</f>
        <v/>
      </c>
    </row>
    <row r="1224" customFormat="false" ht="15" hidden="false" customHeight="false" outlineLevel="0" collapsed="false">
      <c r="B1224" s="7"/>
      <c r="C1224" s="5"/>
      <c r="D1224" s="9" t="str">
        <f aca="false">IF(C1224="","",IFERROR(VLOOKUP(C1224,EQUIPOS!$B$3:$C$18,2,0),"NO EXISTE"))</f>
        <v/>
      </c>
      <c r="E1224" s="9" t="str">
        <f aca="false">IF(C1224="","",IFERROR(VLOOKUP(C1224,EQUIPOS!$B$3:$F$18,5,0),""))</f>
        <v/>
      </c>
      <c r="F1224" s="5" t="str">
        <f aca="false">IF(C1224="","",IFERROR(VLOOKUP(C1224,EQUIPOS!$B$3:$G$18,6,0),""))</f>
        <v/>
      </c>
      <c r="G1224" s="8"/>
      <c r="H1224" s="5"/>
      <c r="I1224" s="5"/>
      <c r="J1224" s="9"/>
      <c r="K1224" s="17" t="str">
        <f aca="false">IF(H1224="","",IFERROR(SUMIFS(BD_PLAN!$I$3:$I$312,BD_PLAN!$B$3:$B$312,E1224,BD_PLAN!$C$3:$C$312,INDEX(BD_CICLO!$F$3:$F$54,MATCH(E1224&amp;"|"&amp;H1224,BD_CICLO!$G$3:$G$54,0))),""))</f>
        <v/>
      </c>
      <c r="L1224" s="9"/>
      <c r="M1224" s="9"/>
      <c r="N1224" s="1" t="str">
        <f aca="false">IF(C1224="","",C1224&amp;"|"&amp;COUNTIF(C$3:C1224,C1224))</f>
        <v/>
      </c>
      <c r="O1224" s="1" t="str">
        <f aca="false">IF(OR(C1224="",M1224=""),"",C1224&amp;"|"&amp;COUNTIFS(C$3:C1224,C1224,M$3:M1224,"&lt;&gt;"))</f>
        <v/>
      </c>
    </row>
    <row r="1225" customFormat="false" ht="15" hidden="false" customHeight="false" outlineLevel="0" collapsed="false">
      <c r="B1225" s="7"/>
      <c r="C1225" s="5"/>
      <c r="D1225" s="9" t="str">
        <f aca="false">IF(C1225="","",IFERROR(VLOOKUP(C1225,EQUIPOS!$B$3:$C$18,2,0),"NO EXISTE"))</f>
        <v/>
      </c>
      <c r="E1225" s="9" t="str">
        <f aca="false">IF(C1225="","",IFERROR(VLOOKUP(C1225,EQUIPOS!$B$3:$F$18,5,0),""))</f>
        <v/>
      </c>
      <c r="F1225" s="5" t="str">
        <f aca="false">IF(C1225="","",IFERROR(VLOOKUP(C1225,EQUIPOS!$B$3:$G$18,6,0),""))</f>
        <v/>
      </c>
      <c r="G1225" s="8"/>
      <c r="H1225" s="5"/>
      <c r="I1225" s="5"/>
      <c r="J1225" s="9"/>
      <c r="K1225" s="17" t="str">
        <f aca="false">IF(H1225="","",IFERROR(SUMIFS(BD_PLAN!$I$3:$I$312,BD_PLAN!$B$3:$B$312,E1225,BD_PLAN!$C$3:$C$312,INDEX(BD_CICLO!$F$3:$F$54,MATCH(E1225&amp;"|"&amp;H1225,BD_CICLO!$G$3:$G$54,0))),""))</f>
        <v/>
      </c>
      <c r="L1225" s="9"/>
      <c r="M1225" s="9"/>
      <c r="N1225" s="1" t="str">
        <f aca="false">IF(C1225="","",C1225&amp;"|"&amp;COUNTIF(C$3:C1225,C1225))</f>
        <v/>
      </c>
      <c r="O1225" s="1" t="str">
        <f aca="false">IF(OR(C1225="",M1225=""),"",C1225&amp;"|"&amp;COUNTIFS(C$3:C1225,C1225,M$3:M1225,"&lt;&gt;"))</f>
        <v/>
      </c>
    </row>
    <row r="1226" customFormat="false" ht="15" hidden="false" customHeight="false" outlineLevel="0" collapsed="false">
      <c r="B1226" s="7"/>
      <c r="C1226" s="5"/>
      <c r="D1226" s="9" t="str">
        <f aca="false">IF(C1226="","",IFERROR(VLOOKUP(C1226,EQUIPOS!$B$3:$C$18,2,0),"NO EXISTE"))</f>
        <v/>
      </c>
      <c r="E1226" s="9" t="str">
        <f aca="false">IF(C1226="","",IFERROR(VLOOKUP(C1226,EQUIPOS!$B$3:$F$18,5,0),""))</f>
        <v/>
      </c>
      <c r="F1226" s="5" t="str">
        <f aca="false">IF(C1226="","",IFERROR(VLOOKUP(C1226,EQUIPOS!$B$3:$G$18,6,0),""))</f>
        <v/>
      </c>
      <c r="G1226" s="8"/>
      <c r="H1226" s="5"/>
      <c r="I1226" s="5"/>
      <c r="J1226" s="9"/>
      <c r="K1226" s="17" t="str">
        <f aca="false">IF(H1226="","",IFERROR(SUMIFS(BD_PLAN!$I$3:$I$312,BD_PLAN!$B$3:$B$312,E1226,BD_PLAN!$C$3:$C$312,INDEX(BD_CICLO!$F$3:$F$54,MATCH(E1226&amp;"|"&amp;H1226,BD_CICLO!$G$3:$G$54,0))),""))</f>
        <v/>
      </c>
      <c r="L1226" s="9"/>
      <c r="M1226" s="9"/>
      <c r="N1226" s="1" t="str">
        <f aca="false">IF(C1226="","",C1226&amp;"|"&amp;COUNTIF(C$3:C1226,C1226))</f>
        <v/>
      </c>
      <c r="O1226" s="1" t="str">
        <f aca="false">IF(OR(C1226="",M1226=""),"",C1226&amp;"|"&amp;COUNTIFS(C$3:C1226,C1226,M$3:M1226,"&lt;&gt;"))</f>
        <v/>
      </c>
    </row>
    <row r="1227" customFormat="false" ht="15" hidden="false" customHeight="false" outlineLevel="0" collapsed="false">
      <c r="B1227" s="7"/>
      <c r="C1227" s="5"/>
      <c r="D1227" s="9" t="str">
        <f aca="false">IF(C1227="","",IFERROR(VLOOKUP(C1227,EQUIPOS!$B$3:$C$18,2,0),"NO EXISTE"))</f>
        <v/>
      </c>
      <c r="E1227" s="9" t="str">
        <f aca="false">IF(C1227="","",IFERROR(VLOOKUP(C1227,EQUIPOS!$B$3:$F$18,5,0),""))</f>
        <v/>
      </c>
      <c r="F1227" s="5" t="str">
        <f aca="false">IF(C1227="","",IFERROR(VLOOKUP(C1227,EQUIPOS!$B$3:$G$18,6,0),""))</f>
        <v/>
      </c>
      <c r="G1227" s="8"/>
      <c r="H1227" s="5"/>
      <c r="I1227" s="5"/>
      <c r="J1227" s="9"/>
      <c r="K1227" s="17" t="str">
        <f aca="false">IF(H1227="","",IFERROR(SUMIFS(BD_PLAN!$I$3:$I$312,BD_PLAN!$B$3:$B$312,E1227,BD_PLAN!$C$3:$C$312,INDEX(BD_CICLO!$F$3:$F$54,MATCH(E1227&amp;"|"&amp;H1227,BD_CICLO!$G$3:$G$54,0))),""))</f>
        <v/>
      </c>
      <c r="L1227" s="9"/>
      <c r="M1227" s="9"/>
      <c r="N1227" s="1" t="str">
        <f aca="false">IF(C1227="","",C1227&amp;"|"&amp;COUNTIF(C$3:C1227,C1227))</f>
        <v/>
      </c>
      <c r="O1227" s="1" t="str">
        <f aca="false">IF(OR(C1227="",M1227=""),"",C1227&amp;"|"&amp;COUNTIFS(C$3:C1227,C1227,M$3:M1227,"&lt;&gt;"))</f>
        <v/>
      </c>
    </row>
    <row r="1228" customFormat="false" ht="15" hidden="false" customHeight="false" outlineLevel="0" collapsed="false">
      <c r="B1228" s="7"/>
      <c r="C1228" s="5"/>
      <c r="D1228" s="9" t="str">
        <f aca="false">IF(C1228="","",IFERROR(VLOOKUP(C1228,EQUIPOS!$B$3:$C$18,2,0),"NO EXISTE"))</f>
        <v/>
      </c>
      <c r="E1228" s="9" t="str">
        <f aca="false">IF(C1228="","",IFERROR(VLOOKUP(C1228,EQUIPOS!$B$3:$F$18,5,0),""))</f>
        <v/>
      </c>
      <c r="F1228" s="5" t="str">
        <f aca="false">IF(C1228="","",IFERROR(VLOOKUP(C1228,EQUIPOS!$B$3:$G$18,6,0),""))</f>
        <v/>
      </c>
      <c r="G1228" s="8"/>
      <c r="H1228" s="5"/>
      <c r="I1228" s="5"/>
      <c r="J1228" s="9"/>
      <c r="K1228" s="17" t="str">
        <f aca="false">IF(H1228="","",IFERROR(SUMIFS(BD_PLAN!$I$3:$I$312,BD_PLAN!$B$3:$B$312,E1228,BD_PLAN!$C$3:$C$312,INDEX(BD_CICLO!$F$3:$F$54,MATCH(E1228&amp;"|"&amp;H1228,BD_CICLO!$G$3:$G$54,0))),""))</f>
        <v/>
      </c>
      <c r="L1228" s="9"/>
      <c r="M1228" s="9"/>
      <c r="N1228" s="1" t="str">
        <f aca="false">IF(C1228="","",C1228&amp;"|"&amp;COUNTIF(C$3:C1228,C1228))</f>
        <v/>
      </c>
      <c r="O1228" s="1" t="str">
        <f aca="false">IF(OR(C1228="",M1228=""),"",C1228&amp;"|"&amp;COUNTIFS(C$3:C1228,C1228,M$3:M1228,"&lt;&gt;"))</f>
        <v/>
      </c>
    </row>
    <row r="1229" customFormat="false" ht="15" hidden="false" customHeight="false" outlineLevel="0" collapsed="false">
      <c r="B1229" s="7"/>
      <c r="C1229" s="5"/>
      <c r="D1229" s="9" t="str">
        <f aca="false">IF(C1229="","",IFERROR(VLOOKUP(C1229,EQUIPOS!$B$3:$C$18,2,0),"NO EXISTE"))</f>
        <v/>
      </c>
      <c r="E1229" s="9" t="str">
        <f aca="false">IF(C1229="","",IFERROR(VLOOKUP(C1229,EQUIPOS!$B$3:$F$18,5,0),""))</f>
        <v/>
      </c>
      <c r="F1229" s="5" t="str">
        <f aca="false">IF(C1229="","",IFERROR(VLOOKUP(C1229,EQUIPOS!$B$3:$G$18,6,0),""))</f>
        <v/>
      </c>
      <c r="G1229" s="8"/>
      <c r="H1229" s="5"/>
      <c r="I1229" s="5"/>
      <c r="J1229" s="9"/>
      <c r="K1229" s="17" t="str">
        <f aca="false">IF(H1229="","",IFERROR(SUMIFS(BD_PLAN!$I$3:$I$312,BD_PLAN!$B$3:$B$312,E1229,BD_PLAN!$C$3:$C$312,INDEX(BD_CICLO!$F$3:$F$54,MATCH(E1229&amp;"|"&amp;H1229,BD_CICLO!$G$3:$G$54,0))),""))</f>
        <v/>
      </c>
      <c r="L1229" s="9"/>
      <c r="M1229" s="9"/>
      <c r="N1229" s="1" t="str">
        <f aca="false">IF(C1229="","",C1229&amp;"|"&amp;COUNTIF(C$3:C1229,C1229))</f>
        <v/>
      </c>
      <c r="O1229" s="1" t="str">
        <f aca="false">IF(OR(C1229="",M1229=""),"",C1229&amp;"|"&amp;COUNTIFS(C$3:C1229,C1229,M$3:M1229,"&lt;&gt;"))</f>
        <v/>
      </c>
    </row>
    <row r="1230" customFormat="false" ht="15" hidden="false" customHeight="false" outlineLevel="0" collapsed="false">
      <c r="B1230" s="7"/>
      <c r="C1230" s="5"/>
      <c r="D1230" s="9" t="str">
        <f aca="false">IF(C1230="","",IFERROR(VLOOKUP(C1230,EQUIPOS!$B$3:$C$18,2,0),"NO EXISTE"))</f>
        <v/>
      </c>
      <c r="E1230" s="9" t="str">
        <f aca="false">IF(C1230="","",IFERROR(VLOOKUP(C1230,EQUIPOS!$B$3:$F$18,5,0),""))</f>
        <v/>
      </c>
      <c r="F1230" s="5" t="str">
        <f aca="false">IF(C1230="","",IFERROR(VLOOKUP(C1230,EQUIPOS!$B$3:$G$18,6,0),""))</f>
        <v/>
      </c>
      <c r="G1230" s="8"/>
      <c r="H1230" s="5"/>
      <c r="I1230" s="5"/>
      <c r="J1230" s="9"/>
      <c r="K1230" s="17" t="str">
        <f aca="false">IF(H1230="","",IFERROR(SUMIFS(BD_PLAN!$I$3:$I$312,BD_PLAN!$B$3:$B$312,E1230,BD_PLAN!$C$3:$C$312,INDEX(BD_CICLO!$F$3:$F$54,MATCH(E1230&amp;"|"&amp;H1230,BD_CICLO!$G$3:$G$54,0))),""))</f>
        <v/>
      </c>
      <c r="L1230" s="9"/>
      <c r="M1230" s="9"/>
      <c r="N1230" s="1" t="str">
        <f aca="false">IF(C1230="","",C1230&amp;"|"&amp;COUNTIF(C$3:C1230,C1230))</f>
        <v/>
      </c>
      <c r="O1230" s="1" t="str">
        <f aca="false">IF(OR(C1230="",M1230=""),"",C1230&amp;"|"&amp;COUNTIFS(C$3:C1230,C1230,M$3:M1230,"&lt;&gt;"))</f>
        <v/>
      </c>
    </row>
    <row r="1231" customFormat="false" ht="15" hidden="false" customHeight="false" outlineLevel="0" collapsed="false">
      <c r="B1231" s="7"/>
      <c r="C1231" s="5"/>
      <c r="D1231" s="9" t="str">
        <f aca="false">IF(C1231="","",IFERROR(VLOOKUP(C1231,EQUIPOS!$B$3:$C$18,2,0),"NO EXISTE"))</f>
        <v/>
      </c>
      <c r="E1231" s="9" t="str">
        <f aca="false">IF(C1231="","",IFERROR(VLOOKUP(C1231,EQUIPOS!$B$3:$F$18,5,0),""))</f>
        <v/>
      </c>
      <c r="F1231" s="5" t="str">
        <f aca="false">IF(C1231="","",IFERROR(VLOOKUP(C1231,EQUIPOS!$B$3:$G$18,6,0),""))</f>
        <v/>
      </c>
      <c r="G1231" s="8"/>
      <c r="H1231" s="5"/>
      <c r="I1231" s="5"/>
      <c r="J1231" s="9"/>
      <c r="K1231" s="17" t="str">
        <f aca="false">IF(H1231="","",IFERROR(SUMIFS(BD_PLAN!$I$3:$I$312,BD_PLAN!$B$3:$B$312,E1231,BD_PLAN!$C$3:$C$312,INDEX(BD_CICLO!$F$3:$F$54,MATCH(E1231&amp;"|"&amp;H1231,BD_CICLO!$G$3:$G$54,0))),""))</f>
        <v/>
      </c>
      <c r="L1231" s="9"/>
      <c r="M1231" s="9"/>
      <c r="N1231" s="1" t="str">
        <f aca="false">IF(C1231="","",C1231&amp;"|"&amp;COUNTIF(C$3:C1231,C1231))</f>
        <v/>
      </c>
      <c r="O1231" s="1" t="str">
        <f aca="false">IF(OR(C1231="",M1231=""),"",C1231&amp;"|"&amp;COUNTIFS(C$3:C1231,C1231,M$3:M1231,"&lt;&gt;"))</f>
        <v/>
      </c>
    </row>
    <row r="1232" customFormat="false" ht="15" hidden="false" customHeight="false" outlineLevel="0" collapsed="false">
      <c r="B1232" s="7"/>
      <c r="C1232" s="5"/>
      <c r="D1232" s="9" t="str">
        <f aca="false">IF(C1232="","",IFERROR(VLOOKUP(C1232,EQUIPOS!$B$3:$C$18,2,0),"NO EXISTE"))</f>
        <v/>
      </c>
      <c r="E1232" s="9" t="str">
        <f aca="false">IF(C1232="","",IFERROR(VLOOKUP(C1232,EQUIPOS!$B$3:$F$18,5,0),""))</f>
        <v/>
      </c>
      <c r="F1232" s="5" t="str">
        <f aca="false">IF(C1232="","",IFERROR(VLOOKUP(C1232,EQUIPOS!$B$3:$G$18,6,0),""))</f>
        <v/>
      </c>
      <c r="G1232" s="8"/>
      <c r="H1232" s="5"/>
      <c r="I1232" s="5"/>
      <c r="J1232" s="9"/>
      <c r="K1232" s="17" t="str">
        <f aca="false">IF(H1232="","",IFERROR(SUMIFS(BD_PLAN!$I$3:$I$312,BD_PLAN!$B$3:$B$312,E1232,BD_PLAN!$C$3:$C$312,INDEX(BD_CICLO!$F$3:$F$54,MATCH(E1232&amp;"|"&amp;H1232,BD_CICLO!$G$3:$G$54,0))),""))</f>
        <v/>
      </c>
      <c r="L1232" s="9"/>
      <c r="M1232" s="9"/>
      <c r="N1232" s="1" t="str">
        <f aca="false">IF(C1232="","",C1232&amp;"|"&amp;COUNTIF(C$3:C1232,C1232))</f>
        <v/>
      </c>
      <c r="O1232" s="1" t="str">
        <f aca="false">IF(OR(C1232="",M1232=""),"",C1232&amp;"|"&amp;COUNTIFS(C$3:C1232,C1232,M$3:M1232,"&lt;&gt;"))</f>
        <v/>
      </c>
    </row>
    <row r="1233" customFormat="false" ht="15" hidden="false" customHeight="false" outlineLevel="0" collapsed="false">
      <c r="B1233" s="7"/>
      <c r="C1233" s="5"/>
      <c r="D1233" s="9" t="str">
        <f aca="false">IF(C1233="","",IFERROR(VLOOKUP(C1233,EQUIPOS!$B$3:$C$18,2,0),"NO EXISTE"))</f>
        <v/>
      </c>
      <c r="E1233" s="9" t="str">
        <f aca="false">IF(C1233="","",IFERROR(VLOOKUP(C1233,EQUIPOS!$B$3:$F$18,5,0),""))</f>
        <v/>
      </c>
      <c r="F1233" s="5" t="str">
        <f aca="false">IF(C1233="","",IFERROR(VLOOKUP(C1233,EQUIPOS!$B$3:$G$18,6,0),""))</f>
        <v/>
      </c>
      <c r="G1233" s="8"/>
      <c r="H1233" s="5"/>
      <c r="I1233" s="5"/>
      <c r="J1233" s="9"/>
      <c r="K1233" s="17" t="str">
        <f aca="false">IF(H1233="","",IFERROR(SUMIFS(BD_PLAN!$I$3:$I$312,BD_PLAN!$B$3:$B$312,E1233,BD_PLAN!$C$3:$C$312,INDEX(BD_CICLO!$F$3:$F$54,MATCH(E1233&amp;"|"&amp;H1233,BD_CICLO!$G$3:$G$54,0))),""))</f>
        <v/>
      </c>
      <c r="L1233" s="9"/>
      <c r="M1233" s="9"/>
      <c r="N1233" s="1" t="str">
        <f aca="false">IF(C1233="","",C1233&amp;"|"&amp;COUNTIF(C$3:C1233,C1233))</f>
        <v/>
      </c>
      <c r="O1233" s="1" t="str">
        <f aca="false">IF(OR(C1233="",M1233=""),"",C1233&amp;"|"&amp;COUNTIFS(C$3:C1233,C1233,M$3:M1233,"&lt;&gt;"))</f>
        <v/>
      </c>
    </row>
    <row r="1234" customFormat="false" ht="15" hidden="false" customHeight="false" outlineLevel="0" collapsed="false">
      <c r="B1234" s="7"/>
      <c r="C1234" s="5"/>
      <c r="D1234" s="9" t="str">
        <f aca="false">IF(C1234="","",IFERROR(VLOOKUP(C1234,EQUIPOS!$B$3:$C$18,2,0),"NO EXISTE"))</f>
        <v/>
      </c>
      <c r="E1234" s="9" t="str">
        <f aca="false">IF(C1234="","",IFERROR(VLOOKUP(C1234,EQUIPOS!$B$3:$F$18,5,0),""))</f>
        <v/>
      </c>
      <c r="F1234" s="5" t="str">
        <f aca="false">IF(C1234="","",IFERROR(VLOOKUP(C1234,EQUIPOS!$B$3:$G$18,6,0),""))</f>
        <v/>
      </c>
      <c r="G1234" s="8"/>
      <c r="H1234" s="5"/>
      <c r="I1234" s="5"/>
      <c r="J1234" s="9"/>
      <c r="K1234" s="17" t="str">
        <f aca="false">IF(H1234="","",IFERROR(SUMIFS(BD_PLAN!$I$3:$I$312,BD_PLAN!$B$3:$B$312,E1234,BD_PLAN!$C$3:$C$312,INDEX(BD_CICLO!$F$3:$F$54,MATCH(E1234&amp;"|"&amp;H1234,BD_CICLO!$G$3:$G$54,0))),""))</f>
        <v/>
      </c>
      <c r="L1234" s="9"/>
      <c r="M1234" s="9"/>
      <c r="N1234" s="1" t="str">
        <f aca="false">IF(C1234="","",C1234&amp;"|"&amp;COUNTIF(C$3:C1234,C1234))</f>
        <v/>
      </c>
      <c r="O1234" s="1" t="str">
        <f aca="false">IF(OR(C1234="",M1234=""),"",C1234&amp;"|"&amp;COUNTIFS(C$3:C1234,C1234,M$3:M1234,"&lt;&gt;"))</f>
        <v/>
      </c>
    </row>
    <row r="1235" customFormat="false" ht="15" hidden="false" customHeight="false" outlineLevel="0" collapsed="false">
      <c r="B1235" s="7"/>
      <c r="C1235" s="5"/>
      <c r="D1235" s="9" t="str">
        <f aca="false">IF(C1235="","",IFERROR(VLOOKUP(C1235,EQUIPOS!$B$3:$C$18,2,0),"NO EXISTE"))</f>
        <v/>
      </c>
      <c r="E1235" s="9" t="str">
        <f aca="false">IF(C1235="","",IFERROR(VLOOKUP(C1235,EQUIPOS!$B$3:$F$18,5,0),""))</f>
        <v/>
      </c>
      <c r="F1235" s="5" t="str">
        <f aca="false">IF(C1235="","",IFERROR(VLOOKUP(C1235,EQUIPOS!$B$3:$G$18,6,0),""))</f>
        <v/>
      </c>
      <c r="G1235" s="8"/>
      <c r="H1235" s="5"/>
      <c r="I1235" s="5"/>
      <c r="J1235" s="9"/>
      <c r="K1235" s="17" t="str">
        <f aca="false">IF(H1235="","",IFERROR(SUMIFS(BD_PLAN!$I$3:$I$312,BD_PLAN!$B$3:$B$312,E1235,BD_PLAN!$C$3:$C$312,INDEX(BD_CICLO!$F$3:$F$54,MATCH(E1235&amp;"|"&amp;H1235,BD_CICLO!$G$3:$G$54,0))),""))</f>
        <v/>
      </c>
      <c r="L1235" s="9"/>
      <c r="M1235" s="9"/>
      <c r="N1235" s="1" t="str">
        <f aca="false">IF(C1235="","",C1235&amp;"|"&amp;COUNTIF(C$3:C1235,C1235))</f>
        <v/>
      </c>
      <c r="O1235" s="1" t="str">
        <f aca="false">IF(OR(C1235="",M1235=""),"",C1235&amp;"|"&amp;COUNTIFS(C$3:C1235,C1235,M$3:M1235,"&lt;&gt;"))</f>
        <v/>
      </c>
    </row>
    <row r="1236" customFormat="false" ht="15" hidden="false" customHeight="false" outlineLevel="0" collapsed="false">
      <c r="B1236" s="7"/>
      <c r="C1236" s="5"/>
      <c r="D1236" s="9" t="str">
        <f aca="false">IF(C1236="","",IFERROR(VLOOKUP(C1236,EQUIPOS!$B$3:$C$18,2,0),"NO EXISTE"))</f>
        <v/>
      </c>
      <c r="E1236" s="9" t="str">
        <f aca="false">IF(C1236="","",IFERROR(VLOOKUP(C1236,EQUIPOS!$B$3:$F$18,5,0),""))</f>
        <v/>
      </c>
      <c r="F1236" s="5" t="str">
        <f aca="false">IF(C1236="","",IFERROR(VLOOKUP(C1236,EQUIPOS!$B$3:$G$18,6,0),""))</f>
        <v/>
      </c>
      <c r="G1236" s="8"/>
      <c r="H1236" s="5"/>
      <c r="I1236" s="5"/>
      <c r="J1236" s="9"/>
      <c r="K1236" s="17" t="str">
        <f aca="false">IF(H1236="","",IFERROR(SUMIFS(BD_PLAN!$I$3:$I$312,BD_PLAN!$B$3:$B$312,E1236,BD_PLAN!$C$3:$C$312,INDEX(BD_CICLO!$F$3:$F$54,MATCH(E1236&amp;"|"&amp;H1236,BD_CICLO!$G$3:$G$54,0))),""))</f>
        <v/>
      </c>
      <c r="L1236" s="9"/>
      <c r="M1236" s="9"/>
      <c r="N1236" s="1" t="str">
        <f aca="false">IF(C1236="","",C1236&amp;"|"&amp;COUNTIF(C$3:C1236,C1236))</f>
        <v/>
      </c>
      <c r="O1236" s="1" t="str">
        <f aca="false">IF(OR(C1236="",M1236=""),"",C1236&amp;"|"&amp;COUNTIFS(C$3:C1236,C1236,M$3:M1236,"&lt;&gt;"))</f>
        <v/>
      </c>
    </row>
    <row r="1237" customFormat="false" ht="15" hidden="false" customHeight="false" outlineLevel="0" collapsed="false">
      <c r="B1237" s="7"/>
      <c r="C1237" s="5"/>
      <c r="D1237" s="9" t="str">
        <f aca="false">IF(C1237="","",IFERROR(VLOOKUP(C1237,EQUIPOS!$B$3:$C$18,2,0),"NO EXISTE"))</f>
        <v/>
      </c>
      <c r="E1237" s="9" t="str">
        <f aca="false">IF(C1237="","",IFERROR(VLOOKUP(C1237,EQUIPOS!$B$3:$F$18,5,0),""))</f>
        <v/>
      </c>
      <c r="F1237" s="5" t="str">
        <f aca="false">IF(C1237="","",IFERROR(VLOOKUP(C1237,EQUIPOS!$B$3:$G$18,6,0),""))</f>
        <v/>
      </c>
      <c r="G1237" s="8"/>
      <c r="H1237" s="5"/>
      <c r="I1237" s="5"/>
      <c r="J1237" s="9"/>
      <c r="K1237" s="17" t="str">
        <f aca="false">IF(H1237="","",IFERROR(SUMIFS(BD_PLAN!$I$3:$I$312,BD_PLAN!$B$3:$B$312,E1237,BD_PLAN!$C$3:$C$312,INDEX(BD_CICLO!$F$3:$F$54,MATCH(E1237&amp;"|"&amp;H1237,BD_CICLO!$G$3:$G$54,0))),""))</f>
        <v/>
      </c>
      <c r="L1237" s="9"/>
      <c r="M1237" s="9"/>
      <c r="N1237" s="1" t="str">
        <f aca="false">IF(C1237="","",C1237&amp;"|"&amp;COUNTIF(C$3:C1237,C1237))</f>
        <v/>
      </c>
      <c r="O1237" s="1" t="str">
        <f aca="false">IF(OR(C1237="",M1237=""),"",C1237&amp;"|"&amp;COUNTIFS(C$3:C1237,C1237,M$3:M1237,"&lt;&gt;"))</f>
        <v/>
      </c>
    </row>
    <row r="1238" customFormat="false" ht="15" hidden="false" customHeight="false" outlineLevel="0" collapsed="false">
      <c r="B1238" s="7"/>
      <c r="C1238" s="5"/>
      <c r="D1238" s="9" t="str">
        <f aca="false">IF(C1238="","",IFERROR(VLOOKUP(C1238,EQUIPOS!$B$3:$C$18,2,0),"NO EXISTE"))</f>
        <v/>
      </c>
      <c r="E1238" s="9" t="str">
        <f aca="false">IF(C1238="","",IFERROR(VLOOKUP(C1238,EQUIPOS!$B$3:$F$18,5,0),""))</f>
        <v/>
      </c>
      <c r="F1238" s="5" t="str">
        <f aca="false">IF(C1238="","",IFERROR(VLOOKUP(C1238,EQUIPOS!$B$3:$G$18,6,0),""))</f>
        <v/>
      </c>
      <c r="G1238" s="8"/>
      <c r="H1238" s="5"/>
      <c r="I1238" s="5"/>
      <c r="J1238" s="9"/>
      <c r="K1238" s="17" t="str">
        <f aca="false">IF(H1238="","",IFERROR(SUMIFS(BD_PLAN!$I$3:$I$312,BD_PLAN!$B$3:$B$312,E1238,BD_PLAN!$C$3:$C$312,INDEX(BD_CICLO!$F$3:$F$54,MATCH(E1238&amp;"|"&amp;H1238,BD_CICLO!$G$3:$G$54,0))),""))</f>
        <v/>
      </c>
      <c r="L1238" s="9"/>
      <c r="M1238" s="9"/>
      <c r="N1238" s="1" t="str">
        <f aca="false">IF(C1238="","",C1238&amp;"|"&amp;COUNTIF(C$3:C1238,C1238))</f>
        <v/>
      </c>
      <c r="O1238" s="1" t="str">
        <f aca="false">IF(OR(C1238="",M1238=""),"",C1238&amp;"|"&amp;COUNTIFS(C$3:C1238,C1238,M$3:M1238,"&lt;&gt;"))</f>
        <v/>
      </c>
    </row>
    <row r="1239" customFormat="false" ht="15" hidden="false" customHeight="false" outlineLevel="0" collapsed="false">
      <c r="B1239" s="7"/>
      <c r="C1239" s="5"/>
      <c r="D1239" s="9" t="str">
        <f aca="false">IF(C1239="","",IFERROR(VLOOKUP(C1239,EQUIPOS!$B$3:$C$18,2,0),"NO EXISTE"))</f>
        <v/>
      </c>
      <c r="E1239" s="9" t="str">
        <f aca="false">IF(C1239="","",IFERROR(VLOOKUP(C1239,EQUIPOS!$B$3:$F$18,5,0),""))</f>
        <v/>
      </c>
      <c r="F1239" s="5" t="str">
        <f aca="false">IF(C1239="","",IFERROR(VLOOKUP(C1239,EQUIPOS!$B$3:$G$18,6,0),""))</f>
        <v/>
      </c>
      <c r="G1239" s="8"/>
      <c r="H1239" s="5"/>
      <c r="I1239" s="5"/>
      <c r="J1239" s="9"/>
      <c r="K1239" s="17" t="str">
        <f aca="false">IF(H1239="","",IFERROR(SUMIFS(BD_PLAN!$I$3:$I$312,BD_PLAN!$B$3:$B$312,E1239,BD_PLAN!$C$3:$C$312,INDEX(BD_CICLO!$F$3:$F$54,MATCH(E1239&amp;"|"&amp;H1239,BD_CICLO!$G$3:$G$54,0))),""))</f>
        <v/>
      </c>
      <c r="L1239" s="9"/>
      <c r="M1239" s="9"/>
      <c r="N1239" s="1" t="str">
        <f aca="false">IF(C1239="","",C1239&amp;"|"&amp;COUNTIF(C$3:C1239,C1239))</f>
        <v/>
      </c>
      <c r="O1239" s="1" t="str">
        <f aca="false">IF(OR(C1239="",M1239=""),"",C1239&amp;"|"&amp;COUNTIFS(C$3:C1239,C1239,M$3:M1239,"&lt;&gt;"))</f>
        <v/>
      </c>
    </row>
    <row r="1240" customFormat="false" ht="15" hidden="false" customHeight="false" outlineLevel="0" collapsed="false">
      <c r="B1240" s="7"/>
      <c r="C1240" s="5"/>
      <c r="D1240" s="9" t="str">
        <f aca="false">IF(C1240="","",IFERROR(VLOOKUP(C1240,EQUIPOS!$B$3:$C$18,2,0),"NO EXISTE"))</f>
        <v/>
      </c>
      <c r="E1240" s="9" t="str">
        <f aca="false">IF(C1240="","",IFERROR(VLOOKUP(C1240,EQUIPOS!$B$3:$F$18,5,0),""))</f>
        <v/>
      </c>
      <c r="F1240" s="5" t="str">
        <f aca="false">IF(C1240="","",IFERROR(VLOOKUP(C1240,EQUIPOS!$B$3:$G$18,6,0),""))</f>
        <v/>
      </c>
      <c r="G1240" s="8"/>
      <c r="H1240" s="5"/>
      <c r="I1240" s="5"/>
      <c r="J1240" s="9"/>
      <c r="K1240" s="17" t="str">
        <f aca="false">IF(H1240="","",IFERROR(SUMIFS(BD_PLAN!$I$3:$I$312,BD_PLAN!$B$3:$B$312,E1240,BD_PLAN!$C$3:$C$312,INDEX(BD_CICLO!$F$3:$F$54,MATCH(E1240&amp;"|"&amp;H1240,BD_CICLO!$G$3:$G$54,0))),""))</f>
        <v/>
      </c>
      <c r="L1240" s="9"/>
      <c r="M1240" s="9"/>
      <c r="N1240" s="1" t="str">
        <f aca="false">IF(C1240="","",C1240&amp;"|"&amp;COUNTIF(C$3:C1240,C1240))</f>
        <v/>
      </c>
      <c r="O1240" s="1" t="str">
        <f aca="false">IF(OR(C1240="",M1240=""),"",C1240&amp;"|"&amp;COUNTIFS(C$3:C1240,C1240,M$3:M1240,"&lt;&gt;"))</f>
        <v/>
      </c>
    </row>
    <row r="1241" customFormat="false" ht="15" hidden="false" customHeight="false" outlineLevel="0" collapsed="false">
      <c r="B1241" s="7"/>
      <c r="C1241" s="5"/>
      <c r="D1241" s="9" t="str">
        <f aca="false">IF(C1241="","",IFERROR(VLOOKUP(C1241,EQUIPOS!$B$3:$C$18,2,0),"NO EXISTE"))</f>
        <v/>
      </c>
      <c r="E1241" s="9" t="str">
        <f aca="false">IF(C1241="","",IFERROR(VLOOKUP(C1241,EQUIPOS!$B$3:$F$18,5,0),""))</f>
        <v/>
      </c>
      <c r="F1241" s="5" t="str">
        <f aca="false">IF(C1241="","",IFERROR(VLOOKUP(C1241,EQUIPOS!$B$3:$G$18,6,0),""))</f>
        <v/>
      </c>
      <c r="G1241" s="8"/>
      <c r="H1241" s="5"/>
      <c r="I1241" s="5"/>
      <c r="J1241" s="9"/>
      <c r="K1241" s="17" t="str">
        <f aca="false">IF(H1241="","",IFERROR(SUMIFS(BD_PLAN!$I$3:$I$312,BD_PLAN!$B$3:$B$312,E1241,BD_PLAN!$C$3:$C$312,INDEX(BD_CICLO!$F$3:$F$54,MATCH(E1241&amp;"|"&amp;H1241,BD_CICLO!$G$3:$G$54,0))),""))</f>
        <v/>
      </c>
      <c r="L1241" s="9"/>
      <c r="M1241" s="9"/>
      <c r="N1241" s="1" t="str">
        <f aca="false">IF(C1241="","",C1241&amp;"|"&amp;COUNTIF(C$3:C1241,C1241))</f>
        <v/>
      </c>
      <c r="O1241" s="1" t="str">
        <f aca="false">IF(OR(C1241="",M1241=""),"",C1241&amp;"|"&amp;COUNTIFS(C$3:C1241,C1241,M$3:M1241,"&lt;&gt;"))</f>
        <v/>
      </c>
    </row>
    <row r="1242" customFormat="false" ht="15" hidden="false" customHeight="false" outlineLevel="0" collapsed="false">
      <c r="B1242" s="7"/>
      <c r="C1242" s="5"/>
      <c r="D1242" s="9" t="str">
        <f aca="false">IF(C1242="","",IFERROR(VLOOKUP(C1242,EQUIPOS!$B$3:$C$18,2,0),"NO EXISTE"))</f>
        <v/>
      </c>
      <c r="E1242" s="9" t="str">
        <f aca="false">IF(C1242="","",IFERROR(VLOOKUP(C1242,EQUIPOS!$B$3:$F$18,5,0),""))</f>
        <v/>
      </c>
      <c r="F1242" s="5" t="str">
        <f aca="false">IF(C1242="","",IFERROR(VLOOKUP(C1242,EQUIPOS!$B$3:$G$18,6,0),""))</f>
        <v/>
      </c>
      <c r="G1242" s="8"/>
      <c r="H1242" s="5"/>
      <c r="I1242" s="5"/>
      <c r="J1242" s="9"/>
      <c r="K1242" s="17" t="str">
        <f aca="false">IF(H1242="","",IFERROR(SUMIFS(BD_PLAN!$I$3:$I$312,BD_PLAN!$B$3:$B$312,E1242,BD_PLAN!$C$3:$C$312,INDEX(BD_CICLO!$F$3:$F$54,MATCH(E1242&amp;"|"&amp;H1242,BD_CICLO!$G$3:$G$54,0))),""))</f>
        <v/>
      </c>
      <c r="L1242" s="9"/>
      <c r="M1242" s="9"/>
      <c r="N1242" s="1" t="str">
        <f aca="false">IF(C1242="","",C1242&amp;"|"&amp;COUNTIF(C$3:C1242,C1242))</f>
        <v/>
      </c>
      <c r="O1242" s="1" t="str">
        <f aca="false">IF(OR(C1242="",M1242=""),"",C1242&amp;"|"&amp;COUNTIFS(C$3:C1242,C1242,M$3:M1242,"&lt;&gt;"))</f>
        <v/>
      </c>
    </row>
    <row r="1243" customFormat="false" ht="15" hidden="false" customHeight="false" outlineLevel="0" collapsed="false">
      <c r="B1243" s="7"/>
      <c r="C1243" s="5"/>
      <c r="D1243" s="9" t="str">
        <f aca="false">IF(C1243="","",IFERROR(VLOOKUP(C1243,EQUIPOS!$B$3:$C$18,2,0),"NO EXISTE"))</f>
        <v/>
      </c>
      <c r="E1243" s="9" t="str">
        <f aca="false">IF(C1243="","",IFERROR(VLOOKUP(C1243,EQUIPOS!$B$3:$F$18,5,0),""))</f>
        <v/>
      </c>
      <c r="F1243" s="5" t="str">
        <f aca="false">IF(C1243="","",IFERROR(VLOOKUP(C1243,EQUIPOS!$B$3:$G$18,6,0),""))</f>
        <v/>
      </c>
      <c r="G1243" s="8"/>
      <c r="H1243" s="5"/>
      <c r="I1243" s="5"/>
      <c r="J1243" s="9"/>
      <c r="K1243" s="17" t="str">
        <f aca="false">IF(H1243="","",IFERROR(SUMIFS(BD_PLAN!$I$3:$I$312,BD_PLAN!$B$3:$B$312,E1243,BD_PLAN!$C$3:$C$312,INDEX(BD_CICLO!$F$3:$F$54,MATCH(E1243&amp;"|"&amp;H1243,BD_CICLO!$G$3:$G$54,0))),""))</f>
        <v/>
      </c>
      <c r="L1243" s="9"/>
      <c r="M1243" s="9"/>
      <c r="N1243" s="1" t="str">
        <f aca="false">IF(C1243="","",C1243&amp;"|"&amp;COUNTIF(C$3:C1243,C1243))</f>
        <v/>
      </c>
      <c r="O1243" s="1" t="str">
        <f aca="false">IF(OR(C1243="",M1243=""),"",C1243&amp;"|"&amp;COUNTIFS(C$3:C1243,C1243,M$3:M1243,"&lt;&gt;"))</f>
        <v/>
      </c>
    </row>
    <row r="1244" customFormat="false" ht="15" hidden="false" customHeight="false" outlineLevel="0" collapsed="false">
      <c r="B1244" s="7"/>
      <c r="C1244" s="5"/>
      <c r="D1244" s="9" t="str">
        <f aca="false">IF(C1244="","",IFERROR(VLOOKUP(C1244,EQUIPOS!$B$3:$C$18,2,0),"NO EXISTE"))</f>
        <v/>
      </c>
      <c r="E1244" s="9" t="str">
        <f aca="false">IF(C1244="","",IFERROR(VLOOKUP(C1244,EQUIPOS!$B$3:$F$18,5,0),""))</f>
        <v/>
      </c>
      <c r="F1244" s="5" t="str">
        <f aca="false">IF(C1244="","",IFERROR(VLOOKUP(C1244,EQUIPOS!$B$3:$G$18,6,0),""))</f>
        <v/>
      </c>
      <c r="G1244" s="8"/>
      <c r="H1244" s="5"/>
      <c r="I1244" s="5"/>
      <c r="J1244" s="9"/>
      <c r="K1244" s="17" t="str">
        <f aca="false">IF(H1244="","",IFERROR(SUMIFS(BD_PLAN!$I$3:$I$312,BD_PLAN!$B$3:$B$312,E1244,BD_PLAN!$C$3:$C$312,INDEX(BD_CICLO!$F$3:$F$54,MATCH(E1244&amp;"|"&amp;H1244,BD_CICLO!$G$3:$G$54,0))),""))</f>
        <v/>
      </c>
      <c r="L1244" s="9"/>
      <c r="M1244" s="9"/>
      <c r="N1244" s="1" t="str">
        <f aca="false">IF(C1244="","",C1244&amp;"|"&amp;COUNTIF(C$3:C1244,C1244))</f>
        <v/>
      </c>
      <c r="O1244" s="1" t="str">
        <f aca="false">IF(OR(C1244="",M1244=""),"",C1244&amp;"|"&amp;COUNTIFS(C$3:C1244,C1244,M$3:M1244,"&lt;&gt;"))</f>
        <v/>
      </c>
    </row>
    <row r="1245" customFormat="false" ht="15" hidden="false" customHeight="false" outlineLevel="0" collapsed="false">
      <c r="B1245" s="7"/>
      <c r="C1245" s="5"/>
      <c r="D1245" s="9" t="str">
        <f aca="false">IF(C1245="","",IFERROR(VLOOKUP(C1245,EQUIPOS!$B$3:$C$18,2,0),"NO EXISTE"))</f>
        <v/>
      </c>
      <c r="E1245" s="9" t="str">
        <f aca="false">IF(C1245="","",IFERROR(VLOOKUP(C1245,EQUIPOS!$B$3:$F$18,5,0),""))</f>
        <v/>
      </c>
      <c r="F1245" s="5" t="str">
        <f aca="false">IF(C1245="","",IFERROR(VLOOKUP(C1245,EQUIPOS!$B$3:$G$18,6,0),""))</f>
        <v/>
      </c>
      <c r="G1245" s="8"/>
      <c r="H1245" s="5"/>
      <c r="I1245" s="5"/>
      <c r="J1245" s="9"/>
      <c r="K1245" s="17" t="str">
        <f aca="false">IF(H1245="","",IFERROR(SUMIFS(BD_PLAN!$I$3:$I$312,BD_PLAN!$B$3:$B$312,E1245,BD_PLAN!$C$3:$C$312,INDEX(BD_CICLO!$F$3:$F$54,MATCH(E1245&amp;"|"&amp;H1245,BD_CICLO!$G$3:$G$54,0))),""))</f>
        <v/>
      </c>
      <c r="L1245" s="9"/>
      <c r="M1245" s="9"/>
      <c r="N1245" s="1" t="str">
        <f aca="false">IF(C1245="","",C1245&amp;"|"&amp;COUNTIF(C$3:C1245,C1245))</f>
        <v/>
      </c>
      <c r="O1245" s="1" t="str">
        <f aca="false">IF(OR(C1245="",M1245=""),"",C1245&amp;"|"&amp;COUNTIFS(C$3:C1245,C1245,M$3:M1245,"&lt;&gt;"))</f>
        <v/>
      </c>
    </row>
    <row r="1246" customFormat="false" ht="15" hidden="false" customHeight="false" outlineLevel="0" collapsed="false">
      <c r="B1246" s="7"/>
      <c r="C1246" s="5"/>
      <c r="D1246" s="9" t="str">
        <f aca="false">IF(C1246="","",IFERROR(VLOOKUP(C1246,EQUIPOS!$B$3:$C$18,2,0),"NO EXISTE"))</f>
        <v/>
      </c>
      <c r="E1246" s="9" t="str">
        <f aca="false">IF(C1246="","",IFERROR(VLOOKUP(C1246,EQUIPOS!$B$3:$F$18,5,0),""))</f>
        <v/>
      </c>
      <c r="F1246" s="5" t="str">
        <f aca="false">IF(C1246="","",IFERROR(VLOOKUP(C1246,EQUIPOS!$B$3:$G$18,6,0),""))</f>
        <v/>
      </c>
      <c r="G1246" s="8"/>
      <c r="H1246" s="5"/>
      <c r="I1246" s="5"/>
      <c r="J1246" s="9"/>
      <c r="K1246" s="17" t="str">
        <f aca="false">IF(H1246="","",IFERROR(SUMIFS(BD_PLAN!$I$3:$I$312,BD_PLAN!$B$3:$B$312,E1246,BD_PLAN!$C$3:$C$312,INDEX(BD_CICLO!$F$3:$F$54,MATCH(E1246&amp;"|"&amp;H1246,BD_CICLO!$G$3:$G$54,0))),""))</f>
        <v/>
      </c>
      <c r="L1246" s="9"/>
      <c r="M1246" s="9"/>
      <c r="N1246" s="1" t="str">
        <f aca="false">IF(C1246="","",C1246&amp;"|"&amp;COUNTIF(C$3:C1246,C1246))</f>
        <v/>
      </c>
      <c r="O1246" s="1" t="str">
        <f aca="false">IF(OR(C1246="",M1246=""),"",C1246&amp;"|"&amp;COUNTIFS(C$3:C1246,C1246,M$3:M1246,"&lt;&gt;"))</f>
        <v/>
      </c>
    </row>
    <row r="1247" customFormat="false" ht="15" hidden="false" customHeight="false" outlineLevel="0" collapsed="false">
      <c r="B1247" s="7"/>
      <c r="C1247" s="5"/>
      <c r="D1247" s="9" t="str">
        <f aca="false">IF(C1247="","",IFERROR(VLOOKUP(C1247,EQUIPOS!$B$3:$C$18,2,0),"NO EXISTE"))</f>
        <v/>
      </c>
      <c r="E1247" s="9" t="str">
        <f aca="false">IF(C1247="","",IFERROR(VLOOKUP(C1247,EQUIPOS!$B$3:$F$18,5,0),""))</f>
        <v/>
      </c>
      <c r="F1247" s="5" t="str">
        <f aca="false">IF(C1247="","",IFERROR(VLOOKUP(C1247,EQUIPOS!$B$3:$G$18,6,0),""))</f>
        <v/>
      </c>
      <c r="G1247" s="8"/>
      <c r="H1247" s="5"/>
      <c r="I1247" s="5"/>
      <c r="J1247" s="9"/>
      <c r="K1247" s="17" t="str">
        <f aca="false">IF(H1247="","",IFERROR(SUMIFS(BD_PLAN!$I$3:$I$312,BD_PLAN!$B$3:$B$312,E1247,BD_PLAN!$C$3:$C$312,INDEX(BD_CICLO!$F$3:$F$54,MATCH(E1247&amp;"|"&amp;H1247,BD_CICLO!$G$3:$G$54,0))),""))</f>
        <v/>
      </c>
      <c r="L1247" s="9"/>
      <c r="M1247" s="9"/>
      <c r="N1247" s="1" t="str">
        <f aca="false">IF(C1247="","",C1247&amp;"|"&amp;COUNTIF(C$3:C1247,C1247))</f>
        <v/>
      </c>
      <c r="O1247" s="1" t="str">
        <f aca="false">IF(OR(C1247="",M1247=""),"",C1247&amp;"|"&amp;COUNTIFS(C$3:C1247,C1247,M$3:M1247,"&lt;&gt;"))</f>
        <v/>
      </c>
    </row>
    <row r="1248" customFormat="false" ht="15" hidden="false" customHeight="false" outlineLevel="0" collapsed="false">
      <c r="B1248" s="7"/>
      <c r="C1248" s="5"/>
      <c r="D1248" s="9" t="str">
        <f aca="false">IF(C1248="","",IFERROR(VLOOKUP(C1248,EQUIPOS!$B$3:$C$18,2,0),"NO EXISTE"))</f>
        <v/>
      </c>
      <c r="E1248" s="9" t="str">
        <f aca="false">IF(C1248="","",IFERROR(VLOOKUP(C1248,EQUIPOS!$B$3:$F$18,5,0),""))</f>
        <v/>
      </c>
      <c r="F1248" s="5" t="str">
        <f aca="false">IF(C1248="","",IFERROR(VLOOKUP(C1248,EQUIPOS!$B$3:$G$18,6,0),""))</f>
        <v/>
      </c>
      <c r="G1248" s="8"/>
      <c r="H1248" s="5"/>
      <c r="I1248" s="5"/>
      <c r="J1248" s="9"/>
      <c r="K1248" s="17" t="str">
        <f aca="false">IF(H1248="","",IFERROR(SUMIFS(BD_PLAN!$I$3:$I$312,BD_PLAN!$B$3:$B$312,E1248,BD_PLAN!$C$3:$C$312,INDEX(BD_CICLO!$F$3:$F$54,MATCH(E1248&amp;"|"&amp;H1248,BD_CICLO!$G$3:$G$54,0))),""))</f>
        <v/>
      </c>
      <c r="L1248" s="9"/>
      <c r="M1248" s="9"/>
      <c r="N1248" s="1" t="str">
        <f aca="false">IF(C1248="","",C1248&amp;"|"&amp;COUNTIF(C$3:C1248,C1248))</f>
        <v/>
      </c>
      <c r="O1248" s="1" t="str">
        <f aca="false">IF(OR(C1248="",M1248=""),"",C1248&amp;"|"&amp;COUNTIFS(C$3:C1248,C1248,M$3:M1248,"&lt;&gt;"))</f>
        <v/>
      </c>
    </row>
    <row r="1249" customFormat="false" ht="15" hidden="false" customHeight="false" outlineLevel="0" collapsed="false">
      <c r="B1249" s="7"/>
      <c r="C1249" s="5"/>
      <c r="D1249" s="9" t="str">
        <f aca="false">IF(C1249="","",IFERROR(VLOOKUP(C1249,EQUIPOS!$B$3:$C$18,2,0),"NO EXISTE"))</f>
        <v/>
      </c>
      <c r="E1249" s="9" t="str">
        <f aca="false">IF(C1249="","",IFERROR(VLOOKUP(C1249,EQUIPOS!$B$3:$F$18,5,0),""))</f>
        <v/>
      </c>
      <c r="F1249" s="5" t="str">
        <f aca="false">IF(C1249="","",IFERROR(VLOOKUP(C1249,EQUIPOS!$B$3:$G$18,6,0),""))</f>
        <v/>
      </c>
      <c r="G1249" s="8"/>
      <c r="H1249" s="5"/>
      <c r="I1249" s="5"/>
      <c r="J1249" s="9"/>
      <c r="K1249" s="17" t="str">
        <f aca="false">IF(H1249="","",IFERROR(SUMIFS(BD_PLAN!$I$3:$I$312,BD_PLAN!$B$3:$B$312,E1249,BD_PLAN!$C$3:$C$312,INDEX(BD_CICLO!$F$3:$F$54,MATCH(E1249&amp;"|"&amp;H1249,BD_CICLO!$G$3:$G$54,0))),""))</f>
        <v/>
      </c>
      <c r="L1249" s="9"/>
      <c r="M1249" s="9"/>
      <c r="N1249" s="1" t="str">
        <f aca="false">IF(C1249="","",C1249&amp;"|"&amp;COUNTIF(C$3:C1249,C1249))</f>
        <v/>
      </c>
      <c r="O1249" s="1" t="str">
        <f aca="false">IF(OR(C1249="",M1249=""),"",C1249&amp;"|"&amp;COUNTIFS(C$3:C1249,C1249,M$3:M1249,"&lt;&gt;"))</f>
        <v/>
      </c>
    </row>
    <row r="1250" customFormat="false" ht="15" hidden="false" customHeight="false" outlineLevel="0" collapsed="false">
      <c r="B1250" s="7"/>
      <c r="C1250" s="5"/>
      <c r="D1250" s="9" t="str">
        <f aca="false">IF(C1250="","",IFERROR(VLOOKUP(C1250,EQUIPOS!$B$3:$C$18,2,0),"NO EXISTE"))</f>
        <v/>
      </c>
      <c r="E1250" s="9" t="str">
        <f aca="false">IF(C1250="","",IFERROR(VLOOKUP(C1250,EQUIPOS!$B$3:$F$18,5,0),""))</f>
        <v/>
      </c>
      <c r="F1250" s="5" t="str">
        <f aca="false">IF(C1250="","",IFERROR(VLOOKUP(C1250,EQUIPOS!$B$3:$G$18,6,0),""))</f>
        <v/>
      </c>
      <c r="G1250" s="8"/>
      <c r="H1250" s="5"/>
      <c r="I1250" s="5"/>
      <c r="J1250" s="9"/>
      <c r="K1250" s="17" t="str">
        <f aca="false">IF(H1250="","",IFERROR(SUMIFS(BD_PLAN!$I$3:$I$312,BD_PLAN!$B$3:$B$312,E1250,BD_PLAN!$C$3:$C$312,INDEX(BD_CICLO!$F$3:$F$54,MATCH(E1250&amp;"|"&amp;H1250,BD_CICLO!$G$3:$G$54,0))),""))</f>
        <v/>
      </c>
      <c r="L1250" s="9"/>
      <c r="M1250" s="9"/>
      <c r="N1250" s="1" t="str">
        <f aca="false">IF(C1250="","",C1250&amp;"|"&amp;COUNTIF(C$3:C1250,C1250))</f>
        <v/>
      </c>
      <c r="O1250" s="1" t="str">
        <f aca="false">IF(OR(C1250="",M1250=""),"",C1250&amp;"|"&amp;COUNTIFS(C$3:C1250,C1250,M$3:M1250,"&lt;&gt;"))</f>
        <v/>
      </c>
    </row>
    <row r="1251" customFormat="false" ht="15" hidden="false" customHeight="false" outlineLevel="0" collapsed="false">
      <c r="B1251" s="7"/>
      <c r="C1251" s="5"/>
      <c r="D1251" s="9" t="str">
        <f aca="false">IF(C1251="","",IFERROR(VLOOKUP(C1251,EQUIPOS!$B$3:$C$18,2,0),"NO EXISTE"))</f>
        <v/>
      </c>
      <c r="E1251" s="9" t="str">
        <f aca="false">IF(C1251="","",IFERROR(VLOOKUP(C1251,EQUIPOS!$B$3:$F$18,5,0),""))</f>
        <v/>
      </c>
      <c r="F1251" s="5" t="str">
        <f aca="false">IF(C1251="","",IFERROR(VLOOKUP(C1251,EQUIPOS!$B$3:$G$18,6,0),""))</f>
        <v/>
      </c>
      <c r="G1251" s="8"/>
      <c r="H1251" s="5"/>
      <c r="I1251" s="5"/>
      <c r="J1251" s="9"/>
      <c r="K1251" s="17" t="str">
        <f aca="false">IF(H1251="","",IFERROR(SUMIFS(BD_PLAN!$I$3:$I$312,BD_PLAN!$B$3:$B$312,E1251,BD_PLAN!$C$3:$C$312,INDEX(BD_CICLO!$F$3:$F$54,MATCH(E1251&amp;"|"&amp;H1251,BD_CICLO!$G$3:$G$54,0))),""))</f>
        <v/>
      </c>
      <c r="L1251" s="9"/>
      <c r="M1251" s="9"/>
      <c r="N1251" s="1" t="str">
        <f aca="false">IF(C1251="","",C1251&amp;"|"&amp;COUNTIF(C$3:C1251,C1251))</f>
        <v/>
      </c>
      <c r="O1251" s="1" t="str">
        <f aca="false">IF(OR(C1251="",M1251=""),"",C1251&amp;"|"&amp;COUNTIFS(C$3:C1251,C1251,M$3:M1251,"&lt;&gt;"))</f>
        <v/>
      </c>
    </row>
    <row r="1252" customFormat="false" ht="15" hidden="false" customHeight="false" outlineLevel="0" collapsed="false">
      <c r="B1252" s="7"/>
      <c r="C1252" s="5"/>
      <c r="D1252" s="9" t="str">
        <f aca="false">IF(C1252="","",IFERROR(VLOOKUP(C1252,EQUIPOS!$B$3:$C$18,2,0),"NO EXISTE"))</f>
        <v/>
      </c>
      <c r="E1252" s="9" t="str">
        <f aca="false">IF(C1252="","",IFERROR(VLOOKUP(C1252,EQUIPOS!$B$3:$F$18,5,0),""))</f>
        <v/>
      </c>
      <c r="F1252" s="5" t="str">
        <f aca="false">IF(C1252="","",IFERROR(VLOOKUP(C1252,EQUIPOS!$B$3:$G$18,6,0),""))</f>
        <v/>
      </c>
      <c r="G1252" s="8"/>
      <c r="H1252" s="5"/>
      <c r="I1252" s="5"/>
      <c r="J1252" s="9"/>
      <c r="K1252" s="17" t="str">
        <f aca="false">IF(H1252="","",IFERROR(SUMIFS(BD_PLAN!$I$3:$I$312,BD_PLAN!$B$3:$B$312,E1252,BD_PLAN!$C$3:$C$312,INDEX(BD_CICLO!$F$3:$F$54,MATCH(E1252&amp;"|"&amp;H1252,BD_CICLO!$G$3:$G$54,0))),""))</f>
        <v/>
      </c>
      <c r="L1252" s="9"/>
      <c r="M1252" s="9"/>
      <c r="N1252" s="1" t="str">
        <f aca="false">IF(C1252="","",C1252&amp;"|"&amp;COUNTIF(C$3:C1252,C1252))</f>
        <v/>
      </c>
      <c r="O1252" s="1" t="str">
        <f aca="false">IF(OR(C1252="",M1252=""),"",C1252&amp;"|"&amp;COUNTIFS(C$3:C1252,C1252,M$3:M1252,"&lt;&gt;"))</f>
        <v/>
      </c>
    </row>
    <row r="1253" customFormat="false" ht="15" hidden="false" customHeight="false" outlineLevel="0" collapsed="false">
      <c r="B1253" s="7"/>
      <c r="C1253" s="5"/>
      <c r="D1253" s="9" t="str">
        <f aca="false">IF(C1253="","",IFERROR(VLOOKUP(C1253,EQUIPOS!$B$3:$C$18,2,0),"NO EXISTE"))</f>
        <v/>
      </c>
      <c r="E1253" s="9" t="str">
        <f aca="false">IF(C1253="","",IFERROR(VLOOKUP(C1253,EQUIPOS!$B$3:$F$18,5,0),""))</f>
        <v/>
      </c>
      <c r="F1253" s="5" t="str">
        <f aca="false">IF(C1253="","",IFERROR(VLOOKUP(C1253,EQUIPOS!$B$3:$G$18,6,0),""))</f>
        <v/>
      </c>
      <c r="G1253" s="8"/>
      <c r="H1253" s="5"/>
      <c r="I1253" s="5"/>
      <c r="J1253" s="9"/>
      <c r="K1253" s="17" t="str">
        <f aca="false">IF(H1253="","",IFERROR(SUMIFS(BD_PLAN!$I$3:$I$312,BD_PLAN!$B$3:$B$312,E1253,BD_PLAN!$C$3:$C$312,INDEX(BD_CICLO!$F$3:$F$54,MATCH(E1253&amp;"|"&amp;H1253,BD_CICLO!$G$3:$G$54,0))),""))</f>
        <v/>
      </c>
      <c r="L1253" s="9"/>
      <c r="M1253" s="9"/>
      <c r="N1253" s="1" t="str">
        <f aca="false">IF(C1253="","",C1253&amp;"|"&amp;COUNTIF(C$3:C1253,C1253))</f>
        <v/>
      </c>
      <c r="O1253" s="1" t="str">
        <f aca="false">IF(OR(C1253="",M1253=""),"",C1253&amp;"|"&amp;COUNTIFS(C$3:C1253,C1253,M$3:M1253,"&lt;&gt;"))</f>
        <v/>
      </c>
    </row>
    <row r="1254" customFormat="false" ht="15" hidden="false" customHeight="false" outlineLevel="0" collapsed="false">
      <c r="B1254" s="7"/>
      <c r="C1254" s="5"/>
      <c r="D1254" s="9" t="str">
        <f aca="false">IF(C1254="","",IFERROR(VLOOKUP(C1254,EQUIPOS!$B$3:$C$18,2,0),"NO EXISTE"))</f>
        <v/>
      </c>
      <c r="E1254" s="9" t="str">
        <f aca="false">IF(C1254="","",IFERROR(VLOOKUP(C1254,EQUIPOS!$B$3:$F$18,5,0),""))</f>
        <v/>
      </c>
      <c r="F1254" s="5" t="str">
        <f aca="false">IF(C1254="","",IFERROR(VLOOKUP(C1254,EQUIPOS!$B$3:$G$18,6,0),""))</f>
        <v/>
      </c>
      <c r="G1254" s="8"/>
      <c r="H1254" s="5"/>
      <c r="I1254" s="5"/>
      <c r="J1254" s="9"/>
      <c r="K1254" s="17" t="str">
        <f aca="false">IF(H1254="","",IFERROR(SUMIFS(BD_PLAN!$I$3:$I$312,BD_PLAN!$B$3:$B$312,E1254,BD_PLAN!$C$3:$C$312,INDEX(BD_CICLO!$F$3:$F$54,MATCH(E1254&amp;"|"&amp;H1254,BD_CICLO!$G$3:$G$54,0))),""))</f>
        <v/>
      </c>
      <c r="L1254" s="9"/>
      <c r="M1254" s="9"/>
      <c r="N1254" s="1" t="str">
        <f aca="false">IF(C1254="","",C1254&amp;"|"&amp;COUNTIF(C$3:C1254,C1254))</f>
        <v/>
      </c>
      <c r="O1254" s="1" t="str">
        <f aca="false">IF(OR(C1254="",M1254=""),"",C1254&amp;"|"&amp;COUNTIFS(C$3:C1254,C1254,M$3:M1254,"&lt;&gt;"))</f>
        <v/>
      </c>
    </row>
    <row r="1255" customFormat="false" ht="15" hidden="false" customHeight="false" outlineLevel="0" collapsed="false">
      <c r="B1255" s="7"/>
      <c r="C1255" s="5"/>
      <c r="D1255" s="9" t="str">
        <f aca="false">IF(C1255="","",IFERROR(VLOOKUP(C1255,EQUIPOS!$B$3:$C$18,2,0),"NO EXISTE"))</f>
        <v/>
      </c>
      <c r="E1255" s="9" t="str">
        <f aca="false">IF(C1255="","",IFERROR(VLOOKUP(C1255,EQUIPOS!$B$3:$F$18,5,0),""))</f>
        <v/>
      </c>
      <c r="F1255" s="5" t="str">
        <f aca="false">IF(C1255="","",IFERROR(VLOOKUP(C1255,EQUIPOS!$B$3:$G$18,6,0),""))</f>
        <v/>
      </c>
      <c r="G1255" s="8"/>
      <c r="H1255" s="5"/>
      <c r="I1255" s="5"/>
      <c r="J1255" s="9"/>
      <c r="K1255" s="17" t="str">
        <f aca="false">IF(H1255="","",IFERROR(SUMIFS(BD_PLAN!$I$3:$I$312,BD_PLAN!$B$3:$B$312,E1255,BD_PLAN!$C$3:$C$312,INDEX(BD_CICLO!$F$3:$F$54,MATCH(E1255&amp;"|"&amp;H1255,BD_CICLO!$G$3:$G$54,0))),""))</f>
        <v/>
      </c>
      <c r="L1255" s="9"/>
      <c r="M1255" s="9"/>
      <c r="N1255" s="1" t="str">
        <f aca="false">IF(C1255="","",C1255&amp;"|"&amp;COUNTIF(C$3:C1255,C1255))</f>
        <v/>
      </c>
      <c r="O1255" s="1" t="str">
        <f aca="false">IF(OR(C1255="",M1255=""),"",C1255&amp;"|"&amp;COUNTIFS(C$3:C1255,C1255,M$3:M1255,"&lt;&gt;"))</f>
        <v/>
      </c>
    </row>
    <row r="1256" customFormat="false" ht="15" hidden="false" customHeight="false" outlineLevel="0" collapsed="false">
      <c r="B1256" s="7"/>
      <c r="C1256" s="5"/>
      <c r="D1256" s="9" t="str">
        <f aca="false">IF(C1256="","",IFERROR(VLOOKUP(C1256,EQUIPOS!$B$3:$C$18,2,0),"NO EXISTE"))</f>
        <v/>
      </c>
      <c r="E1256" s="9" t="str">
        <f aca="false">IF(C1256="","",IFERROR(VLOOKUP(C1256,EQUIPOS!$B$3:$F$18,5,0),""))</f>
        <v/>
      </c>
      <c r="F1256" s="5" t="str">
        <f aca="false">IF(C1256="","",IFERROR(VLOOKUP(C1256,EQUIPOS!$B$3:$G$18,6,0),""))</f>
        <v/>
      </c>
      <c r="G1256" s="8"/>
      <c r="H1256" s="5"/>
      <c r="I1256" s="5"/>
      <c r="J1256" s="9"/>
      <c r="K1256" s="17" t="str">
        <f aca="false">IF(H1256="","",IFERROR(SUMIFS(BD_PLAN!$I$3:$I$312,BD_PLAN!$B$3:$B$312,E1256,BD_PLAN!$C$3:$C$312,INDEX(BD_CICLO!$F$3:$F$54,MATCH(E1256&amp;"|"&amp;H1256,BD_CICLO!$G$3:$G$54,0))),""))</f>
        <v/>
      </c>
      <c r="L1256" s="9"/>
      <c r="M1256" s="9"/>
      <c r="N1256" s="1" t="str">
        <f aca="false">IF(C1256="","",C1256&amp;"|"&amp;COUNTIF(C$3:C1256,C1256))</f>
        <v/>
      </c>
      <c r="O1256" s="1" t="str">
        <f aca="false">IF(OR(C1256="",M1256=""),"",C1256&amp;"|"&amp;COUNTIFS(C$3:C1256,C1256,M$3:M1256,"&lt;&gt;"))</f>
        <v/>
      </c>
    </row>
    <row r="1257" customFormat="false" ht="15" hidden="false" customHeight="false" outlineLevel="0" collapsed="false">
      <c r="B1257" s="7"/>
      <c r="C1257" s="5"/>
      <c r="D1257" s="9" t="str">
        <f aca="false">IF(C1257="","",IFERROR(VLOOKUP(C1257,EQUIPOS!$B$3:$C$18,2,0),"NO EXISTE"))</f>
        <v/>
      </c>
      <c r="E1257" s="9" t="str">
        <f aca="false">IF(C1257="","",IFERROR(VLOOKUP(C1257,EQUIPOS!$B$3:$F$18,5,0),""))</f>
        <v/>
      </c>
      <c r="F1257" s="5" t="str">
        <f aca="false">IF(C1257="","",IFERROR(VLOOKUP(C1257,EQUIPOS!$B$3:$G$18,6,0),""))</f>
        <v/>
      </c>
      <c r="G1257" s="8"/>
      <c r="H1257" s="5"/>
      <c r="I1257" s="5"/>
      <c r="J1257" s="9"/>
      <c r="K1257" s="17" t="str">
        <f aca="false">IF(H1257="","",IFERROR(SUMIFS(BD_PLAN!$I$3:$I$312,BD_PLAN!$B$3:$B$312,E1257,BD_PLAN!$C$3:$C$312,INDEX(BD_CICLO!$F$3:$F$54,MATCH(E1257&amp;"|"&amp;H1257,BD_CICLO!$G$3:$G$54,0))),""))</f>
        <v/>
      </c>
      <c r="L1257" s="9"/>
      <c r="M1257" s="9"/>
      <c r="N1257" s="1" t="str">
        <f aca="false">IF(C1257="","",C1257&amp;"|"&amp;COUNTIF(C$3:C1257,C1257))</f>
        <v/>
      </c>
      <c r="O1257" s="1" t="str">
        <f aca="false">IF(OR(C1257="",M1257=""),"",C1257&amp;"|"&amp;COUNTIFS(C$3:C1257,C1257,M$3:M1257,"&lt;&gt;"))</f>
        <v/>
      </c>
    </row>
    <row r="1258" customFormat="false" ht="15" hidden="false" customHeight="false" outlineLevel="0" collapsed="false">
      <c r="B1258" s="7"/>
      <c r="C1258" s="5"/>
      <c r="D1258" s="9" t="str">
        <f aca="false">IF(C1258="","",IFERROR(VLOOKUP(C1258,EQUIPOS!$B$3:$C$18,2,0),"NO EXISTE"))</f>
        <v/>
      </c>
      <c r="E1258" s="9" t="str">
        <f aca="false">IF(C1258="","",IFERROR(VLOOKUP(C1258,EQUIPOS!$B$3:$F$18,5,0),""))</f>
        <v/>
      </c>
      <c r="F1258" s="5" t="str">
        <f aca="false">IF(C1258="","",IFERROR(VLOOKUP(C1258,EQUIPOS!$B$3:$G$18,6,0),""))</f>
        <v/>
      </c>
      <c r="G1258" s="8"/>
      <c r="H1258" s="5"/>
      <c r="I1258" s="5"/>
      <c r="J1258" s="9"/>
      <c r="K1258" s="17" t="str">
        <f aca="false">IF(H1258="","",IFERROR(SUMIFS(BD_PLAN!$I$3:$I$312,BD_PLAN!$B$3:$B$312,E1258,BD_PLAN!$C$3:$C$312,INDEX(BD_CICLO!$F$3:$F$54,MATCH(E1258&amp;"|"&amp;H1258,BD_CICLO!$G$3:$G$54,0))),""))</f>
        <v/>
      </c>
      <c r="L1258" s="9"/>
      <c r="M1258" s="9"/>
      <c r="N1258" s="1" t="str">
        <f aca="false">IF(C1258="","",C1258&amp;"|"&amp;COUNTIF(C$3:C1258,C1258))</f>
        <v/>
      </c>
      <c r="O1258" s="1" t="str">
        <f aca="false">IF(OR(C1258="",M1258=""),"",C1258&amp;"|"&amp;COUNTIFS(C$3:C1258,C1258,M$3:M1258,"&lt;&gt;"))</f>
        <v/>
      </c>
    </row>
    <row r="1259" customFormat="false" ht="15" hidden="false" customHeight="false" outlineLevel="0" collapsed="false">
      <c r="B1259" s="7"/>
      <c r="C1259" s="5"/>
      <c r="D1259" s="9" t="str">
        <f aca="false">IF(C1259="","",IFERROR(VLOOKUP(C1259,EQUIPOS!$B$3:$C$18,2,0),"NO EXISTE"))</f>
        <v/>
      </c>
      <c r="E1259" s="9" t="str">
        <f aca="false">IF(C1259="","",IFERROR(VLOOKUP(C1259,EQUIPOS!$B$3:$F$18,5,0),""))</f>
        <v/>
      </c>
      <c r="F1259" s="5" t="str">
        <f aca="false">IF(C1259="","",IFERROR(VLOOKUP(C1259,EQUIPOS!$B$3:$G$18,6,0),""))</f>
        <v/>
      </c>
      <c r="G1259" s="8"/>
      <c r="H1259" s="5"/>
      <c r="I1259" s="5"/>
      <c r="J1259" s="9"/>
      <c r="K1259" s="17" t="str">
        <f aca="false">IF(H1259="","",IFERROR(SUMIFS(BD_PLAN!$I$3:$I$312,BD_PLAN!$B$3:$B$312,E1259,BD_PLAN!$C$3:$C$312,INDEX(BD_CICLO!$F$3:$F$54,MATCH(E1259&amp;"|"&amp;H1259,BD_CICLO!$G$3:$G$54,0))),""))</f>
        <v/>
      </c>
      <c r="L1259" s="9"/>
      <c r="M1259" s="9"/>
      <c r="N1259" s="1" t="str">
        <f aca="false">IF(C1259="","",C1259&amp;"|"&amp;COUNTIF(C$3:C1259,C1259))</f>
        <v/>
      </c>
      <c r="O1259" s="1" t="str">
        <f aca="false">IF(OR(C1259="",M1259=""),"",C1259&amp;"|"&amp;COUNTIFS(C$3:C1259,C1259,M$3:M1259,"&lt;&gt;"))</f>
        <v/>
      </c>
    </row>
    <row r="1260" customFormat="false" ht="15" hidden="false" customHeight="false" outlineLevel="0" collapsed="false">
      <c r="B1260" s="7"/>
      <c r="C1260" s="5"/>
      <c r="D1260" s="9" t="str">
        <f aca="false">IF(C1260="","",IFERROR(VLOOKUP(C1260,EQUIPOS!$B$3:$C$18,2,0),"NO EXISTE"))</f>
        <v/>
      </c>
      <c r="E1260" s="9" t="str">
        <f aca="false">IF(C1260="","",IFERROR(VLOOKUP(C1260,EQUIPOS!$B$3:$F$18,5,0),""))</f>
        <v/>
      </c>
      <c r="F1260" s="5" t="str">
        <f aca="false">IF(C1260="","",IFERROR(VLOOKUP(C1260,EQUIPOS!$B$3:$G$18,6,0),""))</f>
        <v/>
      </c>
      <c r="G1260" s="8"/>
      <c r="H1260" s="5"/>
      <c r="I1260" s="5"/>
      <c r="J1260" s="9"/>
      <c r="K1260" s="17" t="str">
        <f aca="false">IF(H1260="","",IFERROR(SUMIFS(BD_PLAN!$I$3:$I$312,BD_PLAN!$B$3:$B$312,E1260,BD_PLAN!$C$3:$C$312,INDEX(BD_CICLO!$F$3:$F$54,MATCH(E1260&amp;"|"&amp;H1260,BD_CICLO!$G$3:$G$54,0))),""))</f>
        <v/>
      </c>
      <c r="L1260" s="9"/>
      <c r="M1260" s="9"/>
      <c r="N1260" s="1" t="str">
        <f aca="false">IF(C1260="","",C1260&amp;"|"&amp;COUNTIF(C$3:C1260,C1260))</f>
        <v/>
      </c>
      <c r="O1260" s="1" t="str">
        <f aca="false">IF(OR(C1260="",M1260=""),"",C1260&amp;"|"&amp;COUNTIFS(C$3:C1260,C1260,M$3:M1260,"&lt;&gt;"))</f>
        <v/>
      </c>
    </row>
    <row r="1261" customFormat="false" ht="15" hidden="false" customHeight="false" outlineLevel="0" collapsed="false">
      <c r="B1261" s="7"/>
      <c r="C1261" s="5"/>
      <c r="D1261" s="9" t="str">
        <f aca="false">IF(C1261="","",IFERROR(VLOOKUP(C1261,EQUIPOS!$B$3:$C$18,2,0),"NO EXISTE"))</f>
        <v/>
      </c>
      <c r="E1261" s="9" t="str">
        <f aca="false">IF(C1261="","",IFERROR(VLOOKUP(C1261,EQUIPOS!$B$3:$F$18,5,0),""))</f>
        <v/>
      </c>
      <c r="F1261" s="5" t="str">
        <f aca="false">IF(C1261="","",IFERROR(VLOOKUP(C1261,EQUIPOS!$B$3:$G$18,6,0),""))</f>
        <v/>
      </c>
      <c r="G1261" s="8"/>
      <c r="H1261" s="5"/>
      <c r="I1261" s="5"/>
      <c r="J1261" s="9"/>
      <c r="K1261" s="17" t="str">
        <f aca="false">IF(H1261="","",IFERROR(SUMIFS(BD_PLAN!$I$3:$I$312,BD_PLAN!$B$3:$B$312,E1261,BD_PLAN!$C$3:$C$312,INDEX(BD_CICLO!$F$3:$F$54,MATCH(E1261&amp;"|"&amp;H1261,BD_CICLO!$G$3:$G$54,0))),""))</f>
        <v/>
      </c>
      <c r="L1261" s="9"/>
      <c r="M1261" s="9"/>
      <c r="N1261" s="1" t="str">
        <f aca="false">IF(C1261="","",C1261&amp;"|"&amp;COUNTIF(C$3:C1261,C1261))</f>
        <v/>
      </c>
      <c r="O1261" s="1" t="str">
        <f aca="false">IF(OR(C1261="",M1261=""),"",C1261&amp;"|"&amp;COUNTIFS(C$3:C1261,C1261,M$3:M1261,"&lt;&gt;"))</f>
        <v/>
      </c>
    </row>
    <row r="1262" customFormat="false" ht="15" hidden="false" customHeight="false" outlineLevel="0" collapsed="false">
      <c r="B1262" s="7"/>
      <c r="C1262" s="5"/>
      <c r="D1262" s="9" t="str">
        <f aca="false">IF(C1262="","",IFERROR(VLOOKUP(C1262,EQUIPOS!$B$3:$C$18,2,0),"NO EXISTE"))</f>
        <v/>
      </c>
      <c r="E1262" s="9" t="str">
        <f aca="false">IF(C1262="","",IFERROR(VLOOKUP(C1262,EQUIPOS!$B$3:$F$18,5,0),""))</f>
        <v/>
      </c>
      <c r="F1262" s="5" t="str">
        <f aca="false">IF(C1262="","",IFERROR(VLOOKUP(C1262,EQUIPOS!$B$3:$G$18,6,0),""))</f>
        <v/>
      </c>
      <c r="G1262" s="8"/>
      <c r="H1262" s="5"/>
      <c r="I1262" s="5"/>
      <c r="J1262" s="9"/>
      <c r="K1262" s="17" t="str">
        <f aca="false">IF(H1262="","",IFERROR(SUMIFS(BD_PLAN!$I$3:$I$312,BD_PLAN!$B$3:$B$312,E1262,BD_PLAN!$C$3:$C$312,INDEX(BD_CICLO!$F$3:$F$54,MATCH(E1262&amp;"|"&amp;H1262,BD_CICLO!$G$3:$G$54,0))),""))</f>
        <v/>
      </c>
      <c r="L1262" s="9"/>
      <c r="M1262" s="9"/>
      <c r="N1262" s="1" t="str">
        <f aca="false">IF(C1262="","",C1262&amp;"|"&amp;COUNTIF(C$3:C1262,C1262))</f>
        <v/>
      </c>
      <c r="O1262" s="1" t="str">
        <f aca="false">IF(OR(C1262="",M1262=""),"",C1262&amp;"|"&amp;COUNTIFS(C$3:C1262,C1262,M$3:M1262,"&lt;&gt;"))</f>
        <v/>
      </c>
    </row>
    <row r="1263" customFormat="false" ht="15" hidden="false" customHeight="false" outlineLevel="0" collapsed="false">
      <c r="B1263" s="7"/>
      <c r="C1263" s="5"/>
      <c r="D1263" s="9" t="str">
        <f aca="false">IF(C1263="","",IFERROR(VLOOKUP(C1263,EQUIPOS!$B$3:$C$18,2,0),"NO EXISTE"))</f>
        <v/>
      </c>
      <c r="E1263" s="9" t="str">
        <f aca="false">IF(C1263="","",IFERROR(VLOOKUP(C1263,EQUIPOS!$B$3:$F$18,5,0),""))</f>
        <v/>
      </c>
      <c r="F1263" s="5" t="str">
        <f aca="false">IF(C1263="","",IFERROR(VLOOKUP(C1263,EQUIPOS!$B$3:$G$18,6,0),""))</f>
        <v/>
      </c>
      <c r="G1263" s="8"/>
      <c r="H1263" s="5"/>
      <c r="I1263" s="5"/>
      <c r="J1263" s="9"/>
      <c r="K1263" s="17" t="str">
        <f aca="false">IF(H1263="","",IFERROR(SUMIFS(BD_PLAN!$I$3:$I$312,BD_PLAN!$B$3:$B$312,E1263,BD_PLAN!$C$3:$C$312,INDEX(BD_CICLO!$F$3:$F$54,MATCH(E1263&amp;"|"&amp;H1263,BD_CICLO!$G$3:$G$54,0))),""))</f>
        <v/>
      </c>
      <c r="L1263" s="9"/>
      <c r="M1263" s="9"/>
      <c r="N1263" s="1" t="str">
        <f aca="false">IF(C1263="","",C1263&amp;"|"&amp;COUNTIF(C$3:C1263,C1263))</f>
        <v/>
      </c>
      <c r="O1263" s="1" t="str">
        <f aca="false">IF(OR(C1263="",M1263=""),"",C1263&amp;"|"&amp;COUNTIFS(C$3:C1263,C1263,M$3:M1263,"&lt;&gt;"))</f>
        <v/>
      </c>
    </row>
    <row r="1264" customFormat="false" ht="15" hidden="false" customHeight="false" outlineLevel="0" collapsed="false">
      <c r="B1264" s="7"/>
      <c r="C1264" s="5"/>
      <c r="D1264" s="9" t="str">
        <f aca="false">IF(C1264="","",IFERROR(VLOOKUP(C1264,EQUIPOS!$B$3:$C$18,2,0),"NO EXISTE"))</f>
        <v/>
      </c>
      <c r="E1264" s="9" t="str">
        <f aca="false">IF(C1264="","",IFERROR(VLOOKUP(C1264,EQUIPOS!$B$3:$F$18,5,0),""))</f>
        <v/>
      </c>
      <c r="F1264" s="5" t="str">
        <f aca="false">IF(C1264="","",IFERROR(VLOOKUP(C1264,EQUIPOS!$B$3:$G$18,6,0),""))</f>
        <v/>
      </c>
      <c r="G1264" s="8"/>
      <c r="H1264" s="5"/>
      <c r="I1264" s="5"/>
      <c r="J1264" s="9"/>
      <c r="K1264" s="17" t="str">
        <f aca="false">IF(H1264="","",IFERROR(SUMIFS(BD_PLAN!$I$3:$I$312,BD_PLAN!$B$3:$B$312,E1264,BD_PLAN!$C$3:$C$312,INDEX(BD_CICLO!$F$3:$F$54,MATCH(E1264&amp;"|"&amp;H1264,BD_CICLO!$G$3:$G$54,0))),""))</f>
        <v/>
      </c>
      <c r="L1264" s="9"/>
      <c r="M1264" s="9"/>
      <c r="N1264" s="1" t="str">
        <f aca="false">IF(C1264="","",C1264&amp;"|"&amp;COUNTIF(C$3:C1264,C1264))</f>
        <v/>
      </c>
      <c r="O1264" s="1" t="str">
        <f aca="false">IF(OR(C1264="",M1264=""),"",C1264&amp;"|"&amp;COUNTIFS(C$3:C1264,C1264,M$3:M1264,"&lt;&gt;"))</f>
        <v/>
      </c>
    </row>
    <row r="1265" customFormat="false" ht="15" hidden="false" customHeight="false" outlineLevel="0" collapsed="false">
      <c r="B1265" s="7"/>
      <c r="C1265" s="5"/>
      <c r="D1265" s="9" t="str">
        <f aca="false">IF(C1265="","",IFERROR(VLOOKUP(C1265,EQUIPOS!$B$3:$C$18,2,0),"NO EXISTE"))</f>
        <v/>
      </c>
      <c r="E1265" s="9" t="str">
        <f aca="false">IF(C1265="","",IFERROR(VLOOKUP(C1265,EQUIPOS!$B$3:$F$18,5,0),""))</f>
        <v/>
      </c>
      <c r="F1265" s="5" t="str">
        <f aca="false">IF(C1265="","",IFERROR(VLOOKUP(C1265,EQUIPOS!$B$3:$G$18,6,0),""))</f>
        <v/>
      </c>
      <c r="G1265" s="8"/>
      <c r="H1265" s="5"/>
      <c r="I1265" s="5"/>
      <c r="J1265" s="9"/>
      <c r="K1265" s="17" t="str">
        <f aca="false">IF(H1265="","",IFERROR(SUMIFS(BD_PLAN!$I$3:$I$312,BD_PLAN!$B$3:$B$312,E1265,BD_PLAN!$C$3:$C$312,INDEX(BD_CICLO!$F$3:$F$54,MATCH(E1265&amp;"|"&amp;H1265,BD_CICLO!$G$3:$G$54,0))),""))</f>
        <v/>
      </c>
      <c r="L1265" s="9"/>
      <c r="M1265" s="9"/>
      <c r="N1265" s="1" t="str">
        <f aca="false">IF(C1265="","",C1265&amp;"|"&amp;COUNTIF(C$3:C1265,C1265))</f>
        <v/>
      </c>
      <c r="O1265" s="1" t="str">
        <f aca="false">IF(OR(C1265="",M1265=""),"",C1265&amp;"|"&amp;COUNTIFS(C$3:C1265,C1265,M$3:M1265,"&lt;&gt;"))</f>
        <v/>
      </c>
    </row>
    <row r="1266" customFormat="false" ht="15" hidden="false" customHeight="false" outlineLevel="0" collapsed="false">
      <c r="B1266" s="7"/>
      <c r="C1266" s="5"/>
      <c r="D1266" s="9" t="str">
        <f aca="false">IF(C1266="","",IFERROR(VLOOKUP(C1266,EQUIPOS!$B$3:$C$18,2,0),"NO EXISTE"))</f>
        <v/>
      </c>
      <c r="E1266" s="9" t="str">
        <f aca="false">IF(C1266="","",IFERROR(VLOOKUP(C1266,EQUIPOS!$B$3:$F$18,5,0),""))</f>
        <v/>
      </c>
      <c r="F1266" s="5" t="str">
        <f aca="false">IF(C1266="","",IFERROR(VLOOKUP(C1266,EQUIPOS!$B$3:$G$18,6,0),""))</f>
        <v/>
      </c>
      <c r="G1266" s="8"/>
      <c r="H1266" s="5"/>
      <c r="I1266" s="5"/>
      <c r="J1266" s="9"/>
      <c r="K1266" s="17" t="str">
        <f aca="false">IF(H1266="","",IFERROR(SUMIFS(BD_PLAN!$I$3:$I$312,BD_PLAN!$B$3:$B$312,E1266,BD_PLAN!$C$3:$C$312,INDEX(BD_CICLO!$F$3:$F$54,MATCH(E1266&amp;"|"&amp;H1266,BD_CICLO!$G$3:$G$54,0))),""))</f>
        <v/>
      </c>
      <c r="L1266" s="9"/>
      <c r="M1266" s="9"/>
      <c r="N1266" s="1" t="str">
        <f aca="false">IF(C1266="","",C1266&amp;"|"&amp;COUNTIF(C$3:C1266,C1266))</f>
        <v/>
      </c>
      <c r="O1266" s="1" t="str">
        <f aca="false">IF(OR(C1266="",M1266=""),"",C1266&amp;"|"&amp;COUNTIFS(C$3:C1266,C1266,M$3:M1266,"&lt;&gt;"))</f>
        <v/>
      </c>
    </row>
    <row r="1267" customFormat="false" ht="15" hidden="false" customHeight="false" outlineLevel="0" collapsed="false">
      <c r="B1267" s="7"/>
      <c r="C1267" s="5"/>
      <c r="D1267" s="9" t="str">
        <f aca="false">IF(C1267="","",IFERROR(VLOOKUP(C1267,EQUIPOS!$B$3:$C$18,2,0),"NO EXISTE"))</f>
        <v/>
      </c>
      <c r="E1267" s="9" t="str">
        <f aca="false">IF(C1267="","",IFERROR(VLOOKUP(C1267,EQUIPOS!$B$3:$F$18,5,0),""))</f>
        <v/>
      </c>
      <c r="F1267" s="5" t="str">
        <f aca="false">IF(C1267="","",IFERROR(VLOOKUP(C1267,EQUIPOS!$B$3:$G$18,6,0),""))</f>
        <v/>
      </c>
      <c r="G1267" s="8"/>
      <c r="H1267" s="5"/>
      <c r="I1267" s="5"/>
      <c r="J1267" s="9"/>
      <c r="K1267" s="17" t="str">
        <f aca="false">IF(H1267="","",IFERROR(SUMIFS(BD_PLAN!$I$3:$I$312,BD_PLAN!$B$3:$B$312,E1267,BD_PLAN!$C$3:$C$312,INDEX(BD_CICLO!$F$3:$F$54,MATCH(E1267&amp;"|"&amp;H1267,BD_CICLO!$G$3:$G$54,0))),""))</f>
        <v/>
      </c>
      <c r="L1267" s="9"/>
      <c r="M1267" s="9"/>
      <c r="N1267" s="1" t="str">
        <f aca="false">IF(C1267="","",C1267&amp;"|"&amp;COUNTIF(C$3:C1267,C1267))</f>
        <v/>
      </c>
      <c r="O1267" s="1" t="str">
        <f aca="false">IF(OR(C1267="",M1267=""),"",C1267&amp;"|"&amp;COUNTIFS(C$3:C1267,C1267,M$3:M1267,"&lt;&gt;"))</f>
        <v/>
      </c>
    </row>
    <row r="1268" customFormat="false" ht="15" hidden="false" customHeight="false" outlineLevel="0" collapsed="false">
      <c r="B1268" s="7"/>
      <c r="C1268" s="5"/>
      <c r="D1268" s="9" t="str">
        <f aca="false">IF(C1268="","",IFERROR(VLOOKUP(C1268,EQUIPOS!$B$3:$C$18,2,0),"NO EXISTE"))</f>
        <v/>
      </c>
      <c r="E1268" s="9" t="str">
        <f aca="false">IF(C1268="","",IFERROR(VLOOKUP(C1268,EQUIPOS!$B$3:$F$18,5,0),""))</f>
        <v/>
      </c>
      <c r="F1268" s="5" t="str">
        <f aca="false">IF(C1268="","",IFERROR(VLOOKUP(C1268,EQUIPOS!$B$3:$G$18,6,0),""))</f>
        <v/>
      </c>
      <c r="G1268" s="8"/>
      <c r="H1268" s="5"/>
      <c r="I1268" s="5"/>
      <c r="J1268" s="9"/>
      <c r="K1268" s="17" t="str">
        <f aca="false">IF(H1268="","",IFERROR(SUMIFS(BD_PLAN!$I$3:$I$312,BD_PLAN!$B$3:$B$312,E1268,BD_PLAN!$C$3:$C$312,INDEX(BD_CICLO!$F$3:$F$54,MATCH(E1268&amp;"|"&amp;H1268,BD_CICLO!$G$3:$G$54,0))),""))</f>
        <v/>
      </c>
      <c r="L1268" s="9"/>
      <c r="M1268" s="9"/>
      <c r="N1268" s="1" t="str">
        <f aca="false">IF(C1268="","",C1268&amp;"|"&amp;COUNTIF(C$3:C1268,C1268))</f>
        <v/>
      </c>
      <c r="O1268" s="1" t="str">
        <f aca="false">IF(OR(C1268="",M1268=""),"",C1268&amp;"|"&amp;COUNTIFS(C$3:C1268,C1268,M$3:M1268,"&lt;&gt;"))</f>
        <v/>
      </c>
    </row>
    <row r="1269" customFormat="false" ht="15" hidden="false" customHeight="false" outlineLevel="0" collapsed="false">
      <c r="B1269" s="7"/>
      <c r="C1269" s="5"/>
      <c r="D1269" s="9" t="str">
        <f aca="false">IF(C1269="","",IFERROR(VLOOKUP(C1269,EQUIPOS!$B$3:$C$18,2,0),"NO EXISTE"))</f>
        <v/>
      </c>
      <c r="E1269" s="9" t="str">
        <f aca="false">IF(C1269="","",IFERROR(VLOOKUP(C1269,EQUIPOS!$B$3:$F$18,5,0),""))</f>
        <v/>
      </c>
      <c r="F1269" s="5" t="str">
        <f aca="false">IF(C1269="","",IFERROR(VLOOKUP(C1269,EQUIPOS!$B$3:$G$18,6,0),""))</f>
        <v/>
      </c>
      <c r="G1269" s="8"/>
      <c r="H1269" s="5"/>
      <c r="I1269" s="5"/>
      <c r="J1269" s="9"/>
      <c r="K1269" s="17" t="str">
        <f aca="false">IF(H1269="","",IFERROR(SUMIFS(BD_PLAN!$I$3:$I$312,BD_PLAN!$B$3:$B$312,E1269,BD_PLAN!$C$3:$C$312,INDEX(BD_CICLO!$F$3:$F$54,MATCH(E1269&amp;"|"&amp;H1269,BD_CICLO!$G$3:$G$54,0))),""))</f>
        <v/>
      </c>
      <c r="L1269" s="9"/>
      <c r="M1269" s="9"/>
      <c r="N1269" s="1" t="str">
        <f aca="false">IF(C1269="","",C1269&amp;"|"&amp;COUNTIF(C$3:C1269,C1269))</f>
        <v/>
      </c>
      <c r="O1269" s="1" t="str">
        <f aca="false">IF(OR(C1269="",M1269=""),"",C1269&amp;"|"&amp;COUNTIFS(C$3:C1269,C1269,M$3:M1269,"&lt;&gt;"))</f>
        <v/>
      </c>
    </row>
    <row r="1270" customFormat="false" ht="15" hidden="false" customHeight="false" outlineLevel="0" collapsed="false">
      <c r="B1270" s="7"/>
      <c r="C1270" s="5"/>
      <c r="D1270" s="9" t="str">
        <f aca="false">IF(C1270="","",IFERROR(VLOOKUP(C1270,EQUIPOS!$B$3:$C$18,2,0),"NO EXISTE"))</f>
        <v/>
      </c>
      <c r="E1270" s="9" t="str">
        <f aca="false">IF(C1270="","",IFERROR(VLOOKUP(C1270,EQUIPOS!$B$3:$F$18,5,0),""))</f>
        <v/>
      </c>
      <c r="F1270" s="5" t="str">
        <f aca="false">IF(C1270="","",IFERROR(VLOOKUP(C1270,EQUIPOS!$B$3:$G$18,6,0),""))</f>
        <v/>
      </c>
      <c r="G1270" s="8"/>
      <c r="H1270" s="5"/>
      <c r="I1270" s="5"/>
      <c r="J1270" s="9"/>
      <c r="K1270" s="17" t="str">
        <f aca="false">IF(H1270="","",IFERROR(SUMIFS(BD_PLAN!$I$3:$I$312,BD_PLAN!$B$3:$B$312,E1270,BD_PLAN!$C$3:$C$312,INDEX(BD_CICLO!$F$3:$F$54,MATCH(E1270&amp;"|"&amp;H1270,BD_CICLO!$G$3:$G$54,0))),""))</f>
        <v/>
      </c>
      <c r="L1270" s="9"/>
      <c r="M1270" s="9"/>
      <c r="N1270" s="1" t="str">
        <f aca="false">IF(C1270="","",C1270&amp;"|"&amp;COUNTIF(C$3:C1270,C1270))</f>
        <v/>
      </c>
      <c r="O1270" s="1" t="str">
        <f aca="false">IF(OR(C1270="",M1270=""),"",C1270&amp;"|"&amp;COUNTIFS(C$3:C1270,C1270,M$3:M1270,"&lt;&gt;"))</f>
        <v/>
      </c>
    </row>
    <row r="1271" customFormat="false" ht="15" hidden="false" customHeight="false" outlineLevel="0" collapsed="false">
      <c r="B1271" s="7"/>
      <c r="C1271" s="5"/>
      <c r="D1271" s="9" t="str">
        <f aca="false">IF(C1271="","",IFERROR(VLOOKUP(C1271,EQUIPOS!$B$3:$C$18,2,0),"NO EXISTE"))</f>
        <v/>
      </c>
      <c r="E1271" s="9" t="str">
        <f aca="false">IF(C1271="","",IFERROR(VLOOKUP(C1271,EQUIPOS!$B$3:$F$18,5,0),""))</f>
        <v/>
      </c>
      <c r="F1271" s="5" t="str">
        <f aca="false">IF(C1271="","",IFERROR(VLOOKUP(C1271,EQUIPOS!$B$3:$G$18,6,0),""))</f>
        <v/>
      </c>
      <c r="G1271" s="8"/>
      <c r="H1271" s="5"/>
      <c r="I1271" s="5"/>
      <c r="J1271" s="9"/>
      <c r="K1271" s="17" t="str">
        <f aca="false">IF(H1271="","",IFERROR(SUMIFS(BD_PLAN!$I$3:$I$312,BD_PLAN!$B$3:$B$312,E1271,BD_PLAN!$C$3:$C$312,INDEX(BD_CICLO!$F$3:$F$54,MATCH(E1271&amp;"|"&amp;H1271,BD_CICLO!$G$3:$G$54,0))),""))</f>
        <v/>
      </c>
      <c r="L1271" s="9"/>
      <c r="M1271" s="9"/>
      <c r="N1271" s="1" t="str">
        <f aca="false">IF(C1271="","",C1271&amp;"|"&amp;COUNTIF(C$3:C1271,C1271))</f>
        <v/>
      </c>
      <c r="O1271" s="1" t="str">
        <f aca="false">IF(OR(C1271="",M1271=""),"",C1271&amp;"|"&amp;COUNTIFS(C$3:C1271,C1271,M$3:M1271,"&lt;&gt;"))</f>
        <v/>
      </c>
    </row>
    <row r="1272" customFormat="false" ht="15" hidden="false" customHeight="false" outlineLevel="0" collapsed="false">
      <c r="B1272" s="7"/>
      <c r="C1272" s="5"/>
      <c r="D1272" s="9" t="str">
        <f aca="false">IF(C1272="","",IFERROR(VLOOKUP(C1272,EQUIPOS!$B$3:$C$18,2,0),"NO EXISTE"))</f>
        <v/>
      </c>
      <c r="E1272" s="9" t="str">
        <f aca="false">IF(C1272="","",IFERROR(VLOOKUP(C1272,EQUIPOS!$B$3:$F$18,5,0),""))</f>
        <v/>
      </c>
      <c r="F1272" s="5" t="str">
        <f aca="false">IF(C1272="","",IFERROR(VLOOKUP(C1272,EQUIPOS!$B$3:$G$18,6,0),""))</f>
        <v/>
      </c>
      <c r="G1272" s="8"/>
      <c r="H1272" s="5"/>
      <c r="I1272" s="5"/>
      <c r="J1272" s="9"/>
      <c r="K1272" s="17" t="str">
        <f aca="false">IF(H1272="","",IFERROR(SUMIFS(BD_PLAN!$I$3:$I$312,BD_PLAN!$B$3:$B$312,E1272,BD_PLAN!$C$3:$C$312,INDEX(BD_CICLO!$F$3:$F$54,MATCH(E1272&amp;"|"&amp;H1272,BD_CICLO!$G$3:$G$54,0))),""))</f>
        <v/>
      </c>
      <c r="L1272" s="9"/>
      <c r="M1272" s="9"/>
      <c r="N1272" s="1" t="str">
        <f aca="false">IF(C1272="","",C1272&amp;"|"&amp;COUNTIF(C$3:C1272,C1272))</f>
        <v/>
      </c>
      <c r="O1272" s="1" t="str">
        <f aca="false">IF(OR(C1272="",M1272=""),"",C1272&amp;"|"&amp;COUNTIFS(C$3:C1272,C1272,M$3:M1272,"&lt;&gt;"))</f>
        <v/>
      </c>
    </row>
    <row r="1273" customFormat="false" ht="15" hidden="false" customHeight="false" outlineLevel="0" collapsed="false">
      <c r="B1273" s="7"/>
      <c r="C1273" s="5"/>
      <c r="D1273" s="9" t="str">
        <f aca="false">IF(C1273="","",IFERROR(VLOOKUP(C1273,EQUIPOS!$B$3:$C$18,2,0),"NO EXISTE"))</f>
        <v/>
      </c>
      <c r="E1273" s="9" t="str">
        <f aca="false">IF(C1273="","",IFERROR(VLOOKUP(C1273,EQUIPOS!$B$3:$F$18,5,0),""))</f>
        <v/>
      </c>
      <c r="F1273" s="5" t="str">
        <f aca="false">IF(C1273="","",IFERROR(VLOOKUP(C1273,EQUIPOS!$B$3:$G$18,6,0),""))</f>
        <v/>
      </c>
      <c r="G1273" s="8"/>
      <c r="H1273" s="5"/>
      <c r="I1273" s="5"/>
      <c r="J1273" s="9"/>
      <c r="K1273" s="17" t="str">
        <f aca="false">IF(H1273="","",IFERROR(SUMIFS(BD_PLAN!$I$3:$I$312,BD_PLAN!$B$3:$B$312,E1273,BD_PLAN!$C$3:$C$312,INDEX(BD_CICLO!$F$3:$F$54,MATCH(E1273&amp;"|"&amp;H1273,BD_CICLO!$G$3:$G$54,0))),""))</f>
        <v/>
      </c>
      <c r="L1273" s="9"/>
      <c r="M1273" s="9"/>
      <c r="N1273" s="1" t="str">
        <f aca="false">IF(C1273="","",C1273&amp;"|"&amp;COUNTIF(C$3:C1273,C1273))</f>
        <v/>
      </c>
      <c r="O1273" s="1" t="str">
        <f aca="false">IF(OR(C1273="",M1273=""),"",C1273&amp;"|"&amp;COUNTIFS(C$3:C1273,C1273,M$3:M1273,"&lt;&gt;"))</f>
        <v/>
      </c>
    </row>
    <row r="1274" customFormat="false" ht="15" hidden="false" customHeight="false" outlineLevel="0" collapsed="false">
      <c r="B1274" s="7"/>
      <c r="C1274" s="5"/>
      <c r="D1274" s="9" t="str">
        <f aca="false">IF(C1274="","",IFERROR(VLOOKUP(C1274,EQUIPOS!$B$3:$C$18,2,0),"NO EXISTE"))</f>
        <v/>
      </c>
      <c r="E1274" s="9" t="str">
        <f aca="false">IF(C1274="","",IFERROR(VLOOKUP(C1274,EQUIPOS!$B$3:$F$18,5,0),""))</f>
        <v/>
      </c>
      <c r="F1274" s="5" t="str">
        <f aca="false">IF(C1274="","",IFERROR(VLOOKUP(C1274,EQUIPOS!$B$3:$G$18,6,0),""))</f>
        <v/>
      </c>
      <c r="G1274" s="8"/>
      <c r="H1274" s="5"/>
      <c r="I1274" s="5"/>
      <c r="J1274" s="9"/>
      <c r="K1274" s="17" t="str">
        <f aca="false">IF(H1274="","",IFERROR(SUMIFS(BD_PLAN!$I$3:$I$312,BD_PLAN!$B$3:$B$312,E1274,BD_PLAN!$C$3:$C$312,INDEX(BD_CICLO!$F$3:$F$54,MATCH(E1274&amp;"|"&amp;H1274,BD_CICLO!$G$3:$G$54,0))),""))</f>
        <v/>
      </c>
      <c r="L1274" s="9"/>
      <c r="M1274" s="9"/>
      <c r="N1274" s="1" t="str">
        <f aca="false">IF(C1274="","",C1274&amp;"|"&amp;COUNTIF(C$3:C1274,C1274))</f>
        <v/>
      </c>
      <c r="O1274" s="1" t="str">
        <f aca="false">IF(OR(C1274="",M1274=""),"",C1274&amp;"|"&amp;COUNTIFS(C$3:C1274,C1274,M$3:M1274,"&lt;&gt;"))</f>
        <v/>
      </c>
    </row>
    <row r="1275" customFormat="false" ht="15" hidden="false" customHeight="false" outlineLevel="0" collapsed="false">
      <c r="B1275" s="7"/>
      <c r="C1275" s="5"/>
      <c r="D1275" s="9" t="str">
        <f aca="false">IF(C1275="","",IFERROR(VLOOKUP(C1275,EQUIPOS!$B$3:$C$18,2,0),"NO EXISTE"))</f>
        <v/>
      </c>
      <c r="E1275" s="9" t="str">
        <f aca="false">IF(C1275="","",IFERROR(VLOOKUP(C1275,EQUIPOS!$B$3:$F$18,5,0),""))</f>
        <v/>
      </c>
      <c r="F1275" s="5" t="str">
        <f aca="false">IF(C1275="","",IFERROR(VLOOKUP(C1275,EQUIPOS!$B$3:$G$18,6,0),""))</f>
        <v/>
      </c>
      <c r="G1275" s="8"/>
      <c r="H1275" s="5"/>
      <c r="I1275" s="5"/>
      <c r="J1275" s="9"/>
      <c r="K1275" s="17" t="str">
        <f aca="false">IF(H1275="","",IFERROR(SUMIFS(BD_PLAN!$I$3:$I$312,BD_PLAN!$B$3:$B$312,E1275,BD_PLAN!$C$3:$C$312,INDEX(BD_CICLO!$F$3:$F$54,MATCH(E1275&amp;"|"&amp;H1275,BD_CICLO!$G$3:$G$54,0))),""))</f>
        <v/>
      </c>
      <c r="L1275" s="9"/>
      <c r="M1275" s="9"/>
      <c r="N1275" s="1" t="str">
        <f aca="false">IF(C1275="","",C1275&amp;"|"&amp;COUNTIF(C$3:C1275,C1275))</f>
        <v/>
      </c>
      <c r="O1275" s="1" t="str">
        <f aca="false">IF(OR(C1275="",M1275=""),"",C1275&amp;"|"&amp;COUNTIFS(C$3:C1275,C1275,M$3:M1275,"&lt;&gt;"))</f>
        <v/>
      </c>
    </row>
    <row r="1276" customFormat="false" ht="15" hidden="false" customHeight="false" outlineLevel="0" collapsed="false">
      <c r="B1276" s="7"/>
      <c r="C1276" s="5"/>
      <c r="D1276" s="9" t="str">
        <f aca="false">IF(C1276="","",IFERROR(VLOOKUP(C1276,EQUIPOS!$B$3:$C$18,2,0),"NO EXISTE"))</f>
        <v/>
      </c>
      <c r="E1276" s="9" t="str">
        <f aca="false">IF(C1276="","",IFERROR(VLOOKUP(C1276,EQUIPOS!$B$3:$F$18,5,0),""))</f>
        <v/>
      </c>
      <c r="F1276" s="5" t="str">
        <f aca="false">IF(C1276="","",IFERROR(VLOOKUP(C1276,EQUIPOS!$B$3:$G$18,6,0),""))</f>
        <v/>
      </c>
      <c r="G1276" s="8"/>
      <c r="H1276" s="5"/>
      <c r="I1276" s="5"/>
      <c r="J1276" s="9"/>
      <c r="K1276" s="17" t="str">
        <f aca="false">IF(H1276="","",IFERROR(SUMIFS(BD_PLAN!$I$3:$I$312,BD_PLAN!$B$3:$B$312,E1276,BD_PLAN!$C$3:$C$312,INDEX(BD_CICLO!$F$3:$F$54,MATCH(E1276&amp;"|"&amp;H1276,BD_CICLO!$G$3:$G$54,0))),""))</f>
        <v/>
      </c>
      <c r="L1276" s="9"/>
      <c r="M1276" s="9"/>
      <c r="N1276" s="1" t="str">
        <f aca="false">IF(C1276="","",C1276&amp;"|"&amp;COUNTIF(C$3:C1276,C1276))</f>
        <v/>
      </c>
      <c r="O1276" s="1" t="str">
        <f aca="false">IF(OR(C1276="",M1276=""),"",C1276&amp;"|"&amp;COUNTIFS(C$3:C1276,C1276,M$3:M1276,"&lt;&gt;"))</f>
        <v/>
      </c>
    </row>
    <row r="1277" customFormat="false" ht="15" hidden="false" customHeight="false" outlineLevel="0" collapsed="false">
      <c r="B1277" s="7"/>
      <c r="C1277" s="5"/>
      <c r="D1277" s="9" t="str">
        <f aca="false">IF(C1277="","",IFERROR(VLOOKUP(C1277,EQUIPOS!$B$3:$C$18,2,0),"NO EXISTE"))</f>
        <v/>
      </c>
      <c r="E1277" s="9" t="str">
        <f aca="false">IF(C1277="","",IFERROR(VLOOKUP(C1277,EQUIPOS!$B$3:$F$18,5,0),""))</f>
        <v/>
      </c>
      <c r="F1277" s="5" t="str">
        <f aca="false">IF(C1277="","",IFERROR(VLOOKUP(C1277,EQUIPOS!$B$3:$G$18,6,0),""))</f>
        <v/>
      </c>
      <c r="G1277" s="8"/>
      <c r="H1277" s="5"/>
      <c r="I1277" s="5"/>
      <c r="J1277" s="9"/>
      <c r="K1277" s="17" t="str">
        <f aca="false">IF(H1277="","",IFERROR(SUMIFS(BD_PLAN!$I$3:$I$312,BD_PLAN!$B$3:$B$312,E1277,BD_PLAN!$C$3:$C$312,INDEX(BD_CICLO!$F$3:$F$54,MATCH(E1277&amp;"|"&amp;H1277,BD_CICLO!$G$3:$G$54,0))),""))</f>
        <v/>
      </c>
      <c r="L1277" s="9"/>
      <c r="M1277" s="9"/>
      <c r="N1277" s="1" t="str">
        <f aca="false">IF(C1277="","",C1277&amp;"|"&amp;COUNTIF(C$3:C1277,C1277))</f>
        <v/>
      </c>
      <c r="O1277" s="1" t="str">
        <f aca="false">IF(OR(C1277="",M1277=""),"",C1277&amp;"|"&amp;COUNTIFS(C$3:C1277,C1277,M$3:M1277,"&lt;&gt;"))</f>
        <v/>
      </c>
    </row>
    <row r="1278" customFormat="false" ht="15" hidden="false" customHeight="false" outlineLevel="0" collapsed="false">
      <c r="B1278" s="7"/>
      <c r="C1278" s="5"/>
      <c r="D1278" s="9" t="str">
        <f aca="false">IF(C1278="","",IFERROR(VLOOKUP(C1278,EQUIPOS!$B$3:$C$18,2,0),"NO EXISTE"))</f>
        <v/>
      </c>
      <c r="E1278" s="9" t="str">
        <f aca="false">IF(C1278="","",IFERROR(VLOOKUP(C1278,EQUIPOS!$B$3:$F$18,5,0),""))</f>
        <v/>
      </c>
      <c r="F1278" s="5" t="str">
        <f aca="false">IF(C1278="","",IFERROR(VLOOKUP(C1278,EQUIPOS!$B$3:$G$18,6,0),""))</f>
        <v/>
      </c>
      <c r="G1278" s="8"/>
      <c r="H1278" s="5"/>
      <c r="I1278" s="5"/>
      <c r="J1278" s="9"/>
      <c r="K1278" s="17" t="str">
        <f aca="false">IF(H1278="","",IFERROR(SUMIFS(BD_PLAN!$I$3:$I$312,BD_PLAN!$B$3:$B$312,E1278,BD_PLAN!$C$3:$C$312,INDEX(BD_CICLO!$F$3:$F$54,MATCH(E1278&amp;"|"&amp;H1278,BD_CICLO!$G$3:$G$54,0))),""))</f>
        <v/>
      </c>
      <c r="L1278" s="9"/>
      <c r="M1278" s="9"/>
      <c r="N1278" s="1" t="str">
        <f aca="false">IF(C1278="","",C1278&amp;"|"&amp;COUNTIF(C$3:C1278,C1278))</f>
        <v/>
      </c>
      <c r="O1278" s="1" t="str">
        <f aca="false">IF(OR(C1278="",M1278=""),"",C1278&amp;"|"&amp;COUNTIFS(C$3:C1278,C1278,M$3:M1278,"&lt;&gt;"))</f>
        <v/>
      </c>
    </row>
    <row r="1279" customFormat="false" ht="15" hidden="false" customHeight="false" outlineLevel="0" collapsed="false">
      <c r="B1279" s="7"/>
      <c r="C1279" s="5"/>
      <c r="D1279" s="9" t="str">
        <f aca="false">IF(C1279="","",IFERROR(VLOOKUP(C1279,EQUIPOS!$B$3:$C$18,2,0),"NO EXISTE"))</f>
        <v/>
      </c>
      <c r="E1279" s="9" t="str">
        <f aca="false">IF(C1279="","",IFERROR(VLOOKUP(C1279,EQUIPOS!$B$3:$F$18,5,0),""))</f>
        <v/>
      </c>
      <c r="F1279" s="5" t="str">
        <f aca="false">IF(C1279="","",IFERROR(VLOOKUP(C1279,EQUIPOS!$B$3:$G$18,6,0),""))</f>
        <v/>
      </c>
      <c r="G1279" s="8"/>
      <c r="H1279" s="5"/>
      <c r="I1279" s="5"/>
      <c r="J1279" s="9"/>
      <c r="K1279" s="17" t="str">
        <f aca="false">IF(H1279="","",IFERROR(SUMIFS(BD_PLAN!$I$3:$I$312,BD_PLAN!$B$3:$B$312,E1279,BD_PLAN!$C$3:$C$312,INDEX(BD_CICLO!$F$3:$F$54,MATCH(E1279&amp;"|"&amp;H1279,BD_CICLO!$G$3:$G$54,0))),""))</f>
        <v/>
      </c>
      <c r="L1279" s="9"/>
      <c r="M1279" s="9"/>
      <c r="N1279" s="1" t="str">
        <f aca="false">IF(C1279="","",C1279&amp;"|"&amp;COUNTIF(C$3:C1279,C1279))</f>
        <v/>
      </c>
      <c r="O1279" s="1" t="str">
        <f aca="false">IF(OR(C1279="",M1279=""),"",C1279&amp;"|"&amp;COUNTIFS(C$3:C1279,C1279,M$3:M1279,"&lt;&gt;"))</f>
        <v/>
      </c>
    </row>
    <row r="1280" customFormat="false" ht="15" hidden="false" customHeight="false" outlineLevel="0" collapsed="false">
      <c r="B1280" s="7"/>
      <c r="C1280" s="5"/>
      <c r="D1280" s="9" t="str">
        <f aca="false">IF(C1280="","",IFERROR(VLOOKUP(C1280,EQUIPOS!$B$3:$C$18,2,0),"NO EXISTE"))</f>
        <v/>
      </c>
      <c r="E1280" s="9" t="str">
        <f aca="false">IF(C1280="","",IFERROR(VLOOKUP(C1280,EQUIPOS!$B$3:$F$18,5,0),""))</f>
        <v/>
      </c>
      <c r="F1280" s="5" t="str">
        <f aca="false">IF(C1280="","",IFERROR(VLOOKUP(C1280,EQUIPOS!$B$3:$G$18,6,0),""))</f>
        <v/>
      </c>
      <c r="G1280" s="8"/>
      <c r="H1280" s="5"/>
      <c r="I1280" s="5"/>
      <c r="J1280" s="9"/>
      <c r="K1280" s="17" t="str">
        <f aca="false">IF(H1280="","",IFERROR(SUMIFS(BD_PLAN!$I$3:$I$312,BD_PLAN!$B$3:$B$312,E1280,BD_PLAN!$C$3:$C$312,INDEX(BD_CICLO!$F$3:$F$54,MATCH(E1280&amp;"|"&amp;H1280,BD_CICLO!$G$3:$G$54,0))),""))</f>
        <v/>
      </c>
      <c r="L1280" s="9"/>
      <c r="M1280" s="9"/>
      <c r="N1280" s="1" t="str">
        <f aca="false">IF(C1280="","",C1280&amp;"|"&amp;COUNTIF(C$3:C1280,C1280))</f>
        <v/>
      </c>
      <c r="O1280" s="1" t="str">
        <f aca="false">IF(OR(C1280="",M1280=""),"",C1280&amp;"|"&amp;COUNTIFS(C$3:C1280,C1280,M$3:M1280,"&lt;&gt;"))</f>
        <v/>
      </c>
    </row>
    <row r="1281" customFormat="false" ht="15" hidden="false" customHeight="false" outlineLevel="0" collapsed="false">
      <c r="B1281" s="7"/>
      <c r="C1281" s="5"/>
      <c r="D1281" s="9" t="str">
        <f aca="false">IF(C1281="","",IFERROR(VLOOKUP(C1281,EQUIPOS!$B$3:$C$18,2,0),"NO EXISTE"))</f>
        <v/>
      </c>
      <c r="E1281" s="9" t="str">
        <f aca="false">IF(C1281="","",IFERROR(VLOOKUP(C1281,EQUIPOS!$B$3:$F$18,5,0),""))</f>
        <v/>
      </c>
      <c r="F1281" s="5" t="str">
        <f aca="false">IF(C1281="","",IFERROR(VLOOKUP(C1281,EQUIPOS!$B$3:$G$18,6,0),""))</f>
        <v/>
      </c>
      <c r="G1281" s="8"/>
      <c r="H1281" s="5"/>
      <c r="I1281" s="5"/>
      <c r="J1281" s="9"/>
      <c r="K1281" s="17" t="str">
        <f aca="false">IF(H1281="","",IFERROR(SUMIFS(BD_PLAN!$I$3:$I$312,BD_PLAN!$B$3:$B$312,E1281,BD_PLAN!$C$3:$C$312,INDEX(BD_CICLO!$F$3:$F$54,MATCH(E1281&amp;"|"&amp;H1281,BD_CICLO!$G$3:$G$54,0))),""))</f>
        <v/>
      </c>
      <c r="L1281" s="9"/>
      <c r="M1281" s="9"/>
      <c r="N1281" s="1" t="str">
        <f aca="false">IF(C1281="","",C1281&amp;"|"&amp;COUNTIF(C$3:C1281,C1281))</f>
        <v/>
      </c>
      <c r="O1281" s="1" t="str">
        <f aca="false">IF(OR(C1281="",M1281=""),"",C1281&amp;"|"&amp;COUNTIFS(C$3:C1281,C1281,M$3:M1281,"&lt;&gt;"))</f>
        <v/>
      </c>
    </row>
    <row r="1282" customFormat="false" ht="15" hidden="false" customHeight="false" outlineLevel="0" collapsed="false">
      <c r="B1282" s="7"/>
      <c r="C1282" s="5"/>
      <c r="D1282" s="9" t="str">
        <f aca="false">IF(C1282="","",IFERROR(VLOOKUP(C1282,EQUIPOS!$B$3:$C$18,2,0),"NO EXISTE"))</f>
        <v/>
      </c>
      <c r="E1282" s="9" t="str">
        <f aca="false">IF(C1282="","",IFERROR(VLOOKUP(C1282,EQUIPOS!$B$3:$F$18,5,0),""))</f>
        <v/>
      </c>
      <c r="F1282" s="5" t="str">
        <f aca="false">IF(C1282="","",IFERROR(VLOOKUP(C1282,EQUIPOS!$B$3:$G$18,6,0),""))</f>
        <v/>
      </c>
      <c r="G1282" s="8"/>
      <c r="H1282" s="5"/>
      <c r="I1282" s="5"/>
      <c r="J1282" s="9"/>
      <c r="K1282" s="17" t="str">
        <f aca="false">IF(H1282="","",IFERROR(SUMIFS(BD_PLAN!$I$3:$I$312,BD_PLAN!$B$3:$B$312,E1282,BD_PLAN!$C$3:$C$312,INDEX(BD_CICLO!$F$3:$F$54,MATCH(E1282&amp;"|"&amp;H1282,BD_CICLO!$G$3:$G$54,0))),""))</f>
        <v/>
      </c>
      <c r="L1282" s="9"/>
      <c r="M1282" s="9"/>
      <c r="N1282" s="1" t="str">
        <f aca="false">IF(C1282="","",C1282&amp;"|"&amp;COUNTIF(C$3:C1282,C1282))</f>
        <v/>
      </c>
      <c r="O1282" s="1" t="str">
        <f aca="false">IF(OR(C1282="",M1282=""),"",C1282&amp;"|"&amp;COUNTIFS(C$3:C1282,C1282,M$3:M1282,"&lt;&gt;"))</f>
        <v/>
      </c>
    </row>
    <row r="1283" customFormat="false" ht="15" hidden="false" customHeight="false" outlineLevel="0" collapsed="false">
      <c r="B1283" s="7"/>
      <c r="C1283" s="5"/>
      <c r="D1283" s="9" t="str">
        <f aca="false">IF(C1283="","",IFERROR(VLOOKUP(C1283,EQUIPOS!$B$3:$C$18,2,0),"NO EXISTE"))</f>
        <v/>
      </c>
      <c r="E1283" s="9" t="str">
        <f aca="false">IF(C1283="","",IFERROR(VLOOKUP(C1283,EQUIPOS!$B$3:$F$18,5,0),""))</f>
        <v/>
      </c>
      <c r="F1283" s="5" t="str">
        <f aca="false">IF(C1283="","",IFERROR(VLOOKUP(C1283,EQUIPOS!$B$3:$G$18,6,0),""))</f>
        <v/>
      </c>
      <c r="G1283" s="8"/>
      <c r="H1283" s="5"/>
      <c r="I1283" s="5"/>
      <c r="J1283" s="9"/>
      <c r="K1283" s="17" t="str">
        <f aca="false">IF(H1283="","",IFERROR(SUMIFS(BD_PLAN!$I$3:$I$312,BD_PLAN!$B$3:$B$312,E1283,BD_PLAN!$C$3:$C$312,INDEX(BD_CICLO!$F$3:$F$54,MATCH(E1283&amp;"|"&amp;H1283,BD_CICLO!$G$3:$G$54,0))),""))</f>
        <v/>
      </c>
      <c r="L1283" s="9"/>
      <c r="M1283" s="9"/>
      <c r="N1283" s="1" t="str">
        <f aca="false">IF(C1283="","",C1283&amp;"|"&amp;COUNTIF(C$3:C1283,C1283))</f>
        <v/>
      </c>
      <c r="O1283" s="1" t="str">
        <f aca="false">IF(OR(C1283="",M1283=""),"",C1283&amp;"|"&amp;COUNTIFS(C$3:C1283,C1283,M$3:M1283,"&lt;&gt;"))</f>
        <v/>
      </c>
    </row>
    <row r="1284" customFormat="false" ht="15" hidden="false" customHeight="false" outlineLevel="0" collapsed="false">
      <c r="B1284" s="7"/>
      <c r="C1284" s="5"/>
      <c r="D1284" s="9" t="str">
        <f aca="false">IF(C1284="","",IFERROR(VLOOKUP(C1284,EQUIPOS!$B$3:$C$18,2,0),"NO EXISTE"))</f>
        <v/>
      </c>
      <c r="E1284" s="9" t="str">
        <f aca="false">IF(C1284="","",IFERROR(VLOOKUP(C1284,EQUIPOS!$B$3:$F$18,5,0),""))</f>
        <v/>
      </c>
      <c r="F1284" s="5" t="str">
        <f aca="false">IF(C1284="","",IFERROR(VLOOKUP(C1284,EQUIPOS!$B$3:$G$18,6,0),""))</f>
        <v/>
      </c>
      <c r="G1284" s="8"/>
      <c r="H1284" s="5"/>
      <c r="I1284" s="5"/>
      <c r="J1284" s="9"/>
      <c r="K1284" s="17" t="str">
        <f aca="false">IF(H1284="","",IFERROR(SUMIFS(BD_PLAN!$I$3:$I$312,BD_PLAN!$B$3:$B$312,E1284,BD_PLAN!$C$3:$C$312,INDEX(BD_CICLO!$F$3:$F$54,MATCH(E1284&amp;"|"&amp;H1284,BD_CICLO!$G$3:$G$54,0))),""))</f>
        <v/>
      </c>
      <c r="L1284" s="9"/>
      <c r="M1284" s="9"/>
      <c r="N1284" s="1" t="str">
        <f aca="false">IF(C1284="","",C1284&amp;"|"&amp;COUNTIF(C$3:C1284,C1284))</f>
        <v/>
      </c>
      <c r="O1284" s="1" t="str">
        <f aca="false">IF(OR(C1284="",M1284=""),"",C1284&amp;"|"&amp;COUNTIFS(C$3:C1284,C1284,M$3:M1284,"&lt;&gt;"))</f>
        <v/>
      </c>
    </row>
    <row r="1285" customFormat="false" ht="15" hidden="false" customHeight="false" outlineLevel="0" collapsed="false">
      <c r="B1285" s="7"/>
      <c r="C1285" s="5"/>
      <c r="D1285" s="9" t="str">
        <f aca="false">IF(C1285="","",IFERROR(VLOOKUP(C1285,EQUIPOS!$B$3:$C$18,2,0),"NO EXISTE"))</f>
        <v/>
      </c>
      <c r="E1285" s="9" t="str">
        <f aca="false">IF(C1285="","",IFERROR(VLOOKUP(C1285,EQUIPOS!$B$3:$F$18,5,0),""))</f>
        <v/>
      </c>
      <c r="F1285" s="5" t="str">
        <f aca="false">IF(C1285="","",IFERROR(VLOOKUP(C1285,EQUIPOS!$B$3:$G$18,6,0),""))</f>
        <v/>
      </c>
      <c r="G1285" s="8"/>
      <c r="H1285" s="5"/>
      <c r="I1285" s="5"/>
      <c r="J1285" s="9"/>
      <c r="K1285" s="17" t="str">
        <f aca="false">IF(H1285="","",IFERROR(SUMIFS(BD_PLAN!$I$3:$I$312,BD_PLAN!$B$3:$B$312,E1285,BD_PLAN!$C$3:$C$312,INDEX(BD_CICLO!$F$3:$F$54,MATCH(E1285&amp;"|"&amp;H1285,BD_CICLO!$G$3:$G$54,0))),""))</f>
        <v/>
      </c>
      <c r="L1285" s="9"/>
      <c r="M1285" s="9"/>
      <c r="N1285" s="1" t="str">
        <f aca="false">IF(C1285="","",C1285&amp;"|"&amp;COUNTIF(C$3:C1285,C1285))</f>
        <v/>
      </c>
      <c r="O1285" s="1" t="str">
        <f aca="false">IF(OR(C1285="",M1285=""),"",C1285&amp;"|"&amp;COUNTIFS(C$3:C1285,C1285,M$3:M1285,"&lt;&gt;"))</f>
        <v/>
      </c>
    </row>
    <row r="1286" customFormat="false" ht="15" hidden="false" customHeight="false" outlineLevel="0" collapsed="false">
      <c r="B1286" s="7"/>
      <c r="C1286" s="5"/>
      <c r="D1286" s="9" t="str">
        <f aca="false">IF(C1286="","",IFERROR(VLOOKUP(C1286,EQUIPOS!$B$3:$C$18,2,0),"NO EXISTE"))</f>
        <v/>
      </c>
      <c r="E1286" s="9" t="str">
        <f aca="false">IF(C1286="","",IFERROR(VLOOKUP(C1286,EQUIPOS!$B$3:$F$18,5,0),""))</f>
        <v/>
      </c>
      <c r="F1286" s="5" t="str">
        <f aca="false">IF(C1286="","",IFERROR(VLOOKUP(C1286,EQUIPOS!$B$3:$G$18,6,0),""))</f>
        <v/>
      </c>
      <c r="G1286" s="8"/>
      <c r="H1286" s="5"/>
      <c r="I1286" s="5"/>
      <c r="J1286" s="9"/>
      <c r="K1286" s="17" t="str">
        <f aca="false">IF(H1286="","",IFERROR(SUMIFS(BD_PLAN!$I$3:$I$312,BD_PLAN!$B$3:$B$312,E1286,BD_PLAN!$C$3:$C$312,INDEX(BD_CICLO!$F$3:$F$54,MATCH(E1286&amp;"|"&amp;H1286,BD_CICLO!$G$3:$G$54,0))),""))</f>
        <v/>
      </c>
      <c r="L1286" s="9"/>
      <c r="M1286" s="9"/>
      <c r="N1286" s="1" t="str">
        <f aca="false">IF(C1286="","",C1286&amp;"|"&amp;COUNTIF(C$3:C1286,C1286))</f>
        <v/>
      </c>
      <c r="O1286" s="1" t="str">
        <f aca="false">IF(OR(C1286="",M1286=""),"",C1286&amp;"|"&amp;COUNTIFS(C$3:C1286,C1286,M$3:M1286,"&lt;&gt;"))</f>
        <v/>
      </c>
    </row>
    <row r="1287" customFormat="false" ht="15" hidden="false" customHeight="false" outlineLevel="0" collapsed="false">
      <c r="B1287" s="7"/>
      <c r="C1287" s="5"/>
      <c r="D1287" s="9" t="str">
        <f aca="false">IF(C1287="","",IFERROR(VLOOKUP(C1287,EQUIPOS!$B$3:$C$18,2,0),"NO EXISTE"))</f>
        <v/>
      </c>
      <c r="E1287" s="9" t="str">
        <f aca="false">IF(C1287="","",IFERROR(VLOOKUP(C1287,EQUIPOS!$B$3:$F$18,5,0),""))</f>
        <v/>
      </c>
      <c r="F1287" s="5" t="str">
        <f aca="false">IF(C1287="","",IFERROR(VLOOKUP(C1287,EQUIPOS!$B$3:$G$18,6,0),""))</f>
        <v/>
      </c>
      <c r="G1287" s="8"/>
      <c r="H1287" s="5"/>
      <c r="I1287" s="5"/>
      <c r="J1287" s="9"/>
      <c r="K1287" s="17" t="str">
        <f aca="false">IF(H1287="","",IFERROR(SUMIFS(BD_PLAN!$I$3:$I$312,BD_PLAN!$B$3:$B$312,E1287,BD_PLAN!$C$3:$C$312,INDEX(BD_CICLO!$F$3:$F$54,MATCH(E1287&amp;"|"&amp;H1287,BD_CICLO!$G$3:$G$54,0))),""))</f>
        <v/>
      </c>
      <c r="L1287" s="9"/>
      <c r="M1287" s="9"/>
      <c r="N1287" s="1" t="str">
        <f aca="false">IF(C1287="","",C1287&amp;"|"&amp;COUNTIF(C$3:C1287,C1287))</f>
        <v/>
      </c>
      <c r="O1287" s="1" t="str">
        <f aca="false">IF(OR(C1287="",M1287=""),"",C1287&amp;"|"&amp;COUNTIFS(C$3:C1287,C1287,M$3:M1287,"&lt;&gt;"))</f>
        <v/>
      </c>
    </row>
    <row r="1288" customFormat="false" ht="15" hidden="false" customHeight="false" outlineLevel="0" collapsed="false">
      <c r="B1288" s="7"/>
      <c r="C1288" s="5"/>
      <c r="D1288" s="9" t="str">
        <f aca="false">IF(C1288="","",IFERROR(VLOOKUP(C1288,EQUIPOS!$B$3:$C$18,2,0),"NO EXISTE"))</f>
        <v/>
      </c>
      <c r="E1288" s="9" t="str">
        <f aca="false">IF(C1288="","",IFERROR(VLOOKUP(C1288,EQUIPOS!$B$3:$F$18,5,0),""))</f>
        <v/>
      </c>
      <c r="F1288" s="5" t="str">
        <f aca="false">IF(C1288="","",IFERROR(VLOOKUP(C1288,EQUIPOS!$B$3:$G$18,6,0),""))</f>
        <v/>
      </c>
      <c r="G1288" s="8"/>
      <c r="H1288" s="5"/>
      <c r="I1288" s="5"/>
      <c r="J1288" s="9"/>
      <c r="K1288" s="17" t="str">
        <f aca="false">IF(H1288="","",IFERROR(SUMIFS(BD_PLAN!$I$3:$I$312,BD_PLAN!$B$3:$B$312,E1288,BD_PLAN!$C$3:$C$312,INDEX(BD_CICLO!$F$3:$F$54,MATCH(E1288&amp;"|"&amp;H1288,BD_CICLO!$G$3:$G$54,0))),""))</f>
        <v/>
      </c>
      <c r="L1288" s="9"/>
      <c r="M1288" s="9"/>
      <c r="N1288" s="1" t="str">
        <f aca="false">IF(C1288="","",C1288&amp;"|"&amp;COUNTIF(C$3:C1288,C1288))</f>
        <v/>
      </c>
      <c r="O1288" s="1" t="str">
        <f aca="false">IF(OR(C1288="",M1288=""),"",C1288&amp;"|"&amp;COUNTIFS(C$3:C1288,C1288,M$3:M1288,"&lt;&gt;"))</f>
        <v/>
      </c>
    </row>
    <row r="1289" customFormat="false" ht="15" hidden="false" customHeight="false" outlineLevel="0" collapsed="false">
      <c r="B1289" s="7"/>
      <c r="C1289" s="5"/>
      <c r="D1289" s="9" t="str">
        <f aca="false">IF(C1289="","",IFERROR(VLOOKUP(C1289,EQUIPOS!$B$3:$C$18,2,0),"NO EXISTE"))</f>
        <v/>
      </c>
      <c r="E1289" s="9" t="str">
        <f aca="false">IF(C1289="","",IFERROR(VLOOKUP(C1289,EQUIPOS!$B$3:$F$18,5,0),""))</f>
        <v/>
      </c>
      <c r="F1289" s="5" t="str">
        <f aca="false">IF(C1289="","",IFERROR(VLOOKUP(C1289,EQUIPOS!$B$3:$G$18,6,0),""))</f>
        <v/>
      </c>
      <c r="G1289" s="8"/>
      <c r="H1289" s="5"/>
      <c r="I1289" s="5"/>
      <c r="J1289" s="9"/>
      <c r="K1289" s="17" t="str">
        <f aca="false">IF(H1289="","",IFERROR(SUMIFS(BD_PLAN!$I$3:$I$312,BD_PLAN!$B$3:$B$312,E1289,BD_PLAN!$C$3:$C$312,INDEX(BD_CICLO!$F$3:$F$54,MATCH(E1289&amp;"|"&amp;H1289,BD_CICLO!$G$3:$G$54,0))),""))</f>
        <v/>
      </c>
      <c r="L1289" s="9"/>
      <c r="M1289" s="9"/>
      <c r="N1289" s="1" t="str">
        <f aca="false">IF(C1289="","",C1289&amp;"|"&amp;COUNTIF(C$3:C1289,C1289))</f>
        <v/>
      </c>
      <c r="O1289" s="1" t="str">
        <f aca="false">IF(OR(C1289="",M1289=""),"",C1289&amp;"|"&amp;COUNTIFS(C$3:C1289,C1289,M$3:M1289,"&lt;&gt;"))</f>
        <v/>
      </c>
    </row>
    <row r="1290" customFormat="false" ht="15" hidden="false" customHeight="false" outlineLevel="0" collapsed="false">
      <c r="B1290" s="7"/>
      <c r="C1290" s="5"/>
      <c r="D1290" s="9" t="str">
        <f aca="false">IF(C1290="","",IFERROR(VLOOKUP(C1290,EQUIPOS!$B$3:$C$18,2,0),"NO EXISTE"))</f>
        <v/>
      </c>
      <c r="E1290" s="9" t="str">
        <f aca="false">IF(C1290="","",IFERROR(VLOOKUP(C1290,EQUIPOS!$B$3:$F$18,5,0),""))</f>
        <v/>
      </c>
      <c r="F1290" s="5" t="str">
        <f aca="false">IF(C1290="","",IFERROR(VLOOKUP(C1290,EQUIPOS!$B$3:$G$18,6,0),""))</f>
        <v/>
      </c>
      <c r="G1290" s="8"/>
      <c r="H1290" s="5"/>
      <c r="I1290" s="5"/>
      <c r="J1290" s="9"/>
      <c r="K1290" s="17" t="str">
        <f aca="false">IF(H1290="","",IFERROR(SUMIFS(BD_PLAN!$I$3:$I$312,BD_PLAN!$B$3:$B$312,E1290,BD_PLAN!$C$3:$C$312,INDEX(BD_CICLO!$F$3:$F$54,MATCH(E1290&amp;"|"&amp;H1290,BD_CICLO!$G$3:$G$54,0))),""))</f>
        <v/>
      </c>
      <c r="L1290" s="9"/>
      <c r="M1290" s="9"/>
      <c r="N1290" s="1" t="str">
        <f aca="false">IF(C1290="","",C1290&amp;"|"&amp;COUNTIF(C$3:C1290,C1290))</f>
        <v/>
      </c>
      <c r="O1290" s="1" t="str">
        <f aca="false">IF(OR(C1290="",M1290=""),"",C1290&amp;"|"&amp;COUNTIFS(C$3:C1290,C1290,M$3:M1290,"&lt;&gt;"))</f>
        <v/>
      </c>
    </row>
    <row r="1291" customFormat="false" ht="15" hidden="false" customHeight="false" outlineLevel="0" collapsed="false">
      <c r="B1291" s="7"/>
      <c r="C1291" s="5"/>
      <c r="D1291" s="9" t="str">
        <f aca="false">IF(C1291="","",IFERROR(VLOOKUP(C1291,EQUIPOS!$B$3:$C$18,2,0),"NO EXISTE"))</f>
        <v/>
      </c>
      <c r="E1291" s="9" t="str">
        <f aca="false">IF(C1291="","",IFERROR(VLOOKUP(C1291,EQUIPOS!$B$3:$F$18,5,0),""))</f>
        <v/>
      </c>
      <c r="F1291" s="5" t="str">
        <f aca="false">IF(C1291="","",IFERROR(VLOOKUP(C1291,EQUIPOS!$B$3:$G$18,6,0),""))</f>
        <v/>
      </c>
      <c r="G1291" s="8"/>
      <c r="H1291" s="5"/>
      <c r="I1291" s="5"/>
      <c r="J1291" s="9"/>
      <c r="K1291" s="17" t="str">
        <f aca="false">IF(H1291="","",IFERROR(SUMIFS(BD_PLAN!$I$3:$I$312,BD_PLAN!$B$3:$B$312,E1291,BD_PLAN!$C$3:$C$312,INDEX(BD_CICLO!$F$3:$F$54,MATCH(E1291&amp;"|"&amp;H1291,BD_CICLO!$G$3:$G$54,0))),""))</f>
        <v/>
      </c>
      <c r="L1291" s="9"/>
      <c r="M1291" s="9"/>
      <c r="N1291" s="1" t="str">
        <f aca="false">IF(C1291="","",C1291&amp;"|"&amp;COUNTIF(C$3:C1291,C1291))</f>
        <v/>
      </c>
      <c r="O1291" s="1" t="str">
        <f aca="false">IF(OR(C1291="",M1291=""),"",C1291&amp;"|"&amp;COUNTIFS(C$3:C1291,C1291,M$3:M1291,"&lt;&gt;"))</f>
        <v/>
      </c>
    </row>
    <row r="1292" customFormat="false" ht="15" hidden="false" customHeight="false" outlineLevel="0" collapsed="false">
      <c r="B1292" s="7"/>
      <c r="C1292" s="5"/>
      <c r="D1292" s="9" t="str">
        <f aca="false">IF(C1292="","",IFERROR(VLOOKUP(C1292,EQUIPOS!$B$3:$C$18,2,0),"NO EXISTE"))</f>
        <v/>
      </c>
      <c r="E1292" s="9" t="str">
        <f aca="false">IF(C1292="","",IFERROR(VLOOKUP(C1292,EQUIPOS!$B$3:$F$18,5,0),""))</f>
        <v/>
      </c>
      <c r="F1292" s="5" t="str">
        <f aca="false">IF(C1292="","",IFERROR(VLOOKUP(C1292,EQUIPOS!$B$3:$G$18,6,0),""))</f>
        <v/>
      </c>
      <c r="G1292" s="8"/>
      <c r="H1292" s="5"/>
      <c r="I1292" s="5"/>
      <c r="J1292" s="9"/>
      <c r="K1292" s="17" t="str">
        <f aca="false">IF(H1292="","",IFERROR(SUMIFS(BD_PLAN!$I$3:$I$312,BD_PLAN!$B$3:$B$312,E1292,BD_PLAN!$C$3:$C$312,INDEX(BD_CICLO!$F$3:$F$54,MATCH(E1292&amp;"|"&amp;H1292,BD_CICLO!$G$3:$G$54,0))),""))</f>
        <v/>
      </c>
      <c r="L1292" s="9"/>
      <c r="M1292" s="9"/>
      <c r="N1292" s="1" t="str">
        <f aca="false">IF(C1292="","",C1292&amp;"|"&amp;COUNTIF(C$3:C1292,C1292))</f>
        <v/>
      </c>
      <c r="O1292" s="1" t="str">
        <f aca="false">IF(OR(C1292="",M1292=""),"",C1292&amp;"|"&amp;COUNTIFS(C$3:C1292,C1292,M$3:M1292,"&lt;&gt;"))</f>
        <v/>
      </c>
    </row>
    <row r="1293" customFormat="false" ht="15" hidden="false" customHeight="false" outlineLevel="0" collapsed="false">
      <c r="B1293" s="7"/>
      <c r="C1293" s="5"/>
      <c r="D1293" s="9" t="str">
        <f aca="false">IF(C1293="","",IFERROR(VLOOKUP(C1293,EQUIPOS!$B$3:$C$18,2,0),"NO EXISTE"))</f>
        <v/>
      </c>
      <c r="E1293" s="9" t="str">
        <f aca="false">IF(C1293="","",IFERROR(VLOOKUP(C1293,EQUIPOS!$B$3:$F$18,5,0),""))</f>
        <v/>
      </c>
      <c r="F1293" s="5" t="str">
        <f aca="false">IF(C1293="","",IFERROR(VLOOKUP(C1293,EQUIPOS!$B$3:$G$18,6,0),""))</f>
        <v/>
      </c>
      <c r="G1293" s="8"/>
      <c r="H1293" s="5"/>
      <c r="I1293" s="5"/>
      <c r="J1293" s="9"/>
      <c r="K1293" s="17" t="str">
        <f aca="false">IF(H1293="","",IFERROR(SUMIFS(BD_PLAN!$I$3:$I$312,BD_PLAN!$B$3:$B$312,E1293,BD_PLAN!$C$3:$C$312,INDEX(BD_CICLO!$F$3:$F$54,MATCH(E1293&amp;"|"&amp;H1293,BD_CICLO!$G$3:$G$54,0))),""))</f>
        <v/>
      </c>
      <c r="L1293" s="9"/>
      <c r="M1293" s="9"/>
      <c r="N1293" s="1" t="str">
        <f aca="false">IF(C1293="","",C1293&amp;"|"&amp;COUNTIF(C$3:C1293,C1293))</f>
        <v/>
      </c>
      <c r="O1293" s="1" t="str">
        <f aca="false">IF(OR(C1293="",M1293=""),"",C1293&amp;"|"&amp;COUNTIFS(C$3:C1293,C1293,M$3:M1293,"&lt;&gt;"))</f>
        <v/>
      </c>
    </row>
    <row r="1294" customFormat="false" ht="15" hidden="false" customHeight="false" outlineLevel="0" collapsed="false">
      <c r="B1294" s="7"/>
      <c r="C1294" s="5"/>
      <c r="D1294" s="9" t="str">
        <f aca="false">IF(C1294="","",IFERROR(VLOOKUP(C1294,EQUIPOS!$B$3:$C$18,2,0),"NO EXISTE"))</f>
        <v/>
      </c>
      <c r="E1294" s="9" t="str">
        <f aca="false">IF(C1294="","",IFERROR(VLOOKUP(C1294,EQUIPOS!$B$3:$F$18,5,0),""))</f>
        <v/>
      </c>
      <c r="F1294" s="5" t="str">
        <f aca="false">IF(C1294="","",IFERROR(VLOOKUP(C1294,EQUIPOS!$B$3:$G$18,6,0),""))</f>
        <v/>
      </c>
      <c r="G1294" s="8"/>
      <c r="H1294" s="5"/>
      <c r="I1294" s="5"/>
      <c r="J1294" s="9"/>
      <c r="K1294" s="17" t="str">
        <f aca="false">IF(H1294="","",IFERROR(SUMIFS(BD_PLAN!$I$3:$I$312,BD_PLAN!$B$3:$B$312,E1294,BD_PLAN!$C$3:$C$312,INDEX(BD_CICLO!$F$3:$F$54,MATCH(E1294&amp;"|"&amp;H1294,BD_CICLO!$G$3:$G$54,0))),""))</f>
        <v/>
      </c>
      <c r="L1294" s="9"/>
      <c r="M1294" s="9"/>
      <c r="N1294" s="1" t="str">
        <f aca="false">IF(C1294="","",C1294&amp;"|"&amp;COUNTIF(C$3:C1294,C1294))</f>
        <v/>
      </c>
      <c r="O1294" s="1" t="str">
        <f aca="false">IF(OR(C1294="",M1294=""),"",C1294&amp;"|"&amp;COUNTIFS(C$3:C1294,C1294,M$3:M1294,"&lt;&gt;"))</f>
        <v/>
      </c>
    </row>
    <row r="1295" customFormat="false" ht="15" hidden="false" customHeight="false" outlineLevel="0" collapsed="false">
      <c r="B1295" s="7"/>
      <c r="C1295" s="5"/>
      <c r="D1295" s="9" t="str">
        <f aca="false">IF(C1295="","",IFERROR(VLOOKUP(C1295,EQUIPOS!$B$3:$C$18,2,0),"NO EXISTE"))</f>
        <v/>
      </c>
      <c r="E1295" s="9" t="str">
        <f aca="false">IF(C1295="","",IFERROR(VLOOKUP(C1295,EQUIPOS!$B$3:$F$18,5,0),""))</f>
        <v/>
      </c>
      <c r="F1295" s="5" t="str">
        <f aca="false">IF(C1295="","",IFERROR(VLOOKUP(C1295,EQUIPOS!$B$3:$G$18,6,0),""))</f>
        <v/>
      </c>
      <c r="G1295" s="8"/>
      <c r="H1295" s="5"/>
      <c r="I1295" s="5"/>
      <c r="J1295" s="9"/>
      <c r="K1295" s="17" t="str">
        <f aca="false">IF(H1295="","",IFERROR(SUMIFS(BD_PLAN!$I$3:$I$312,BD_PLAN!$B$3:$B$312,E1295,BD_PLAN!$C$3:$C$312,INDEX(BD_CICLO!$F$3:$F$54,MATCH(E1295&amp;"|"&amp;H1295,BD_CICLO!$G$3:$G$54,0))),""))</f>
        <v/>
      </c>
      <c r="L1295" s="9"/>
      <c r="M1295" s="9"/>
      <c r="N1295" s="1" t="str">
        <f aca="false">IF(C1295="","",C1295&amp;"|"&amp;COUNTIF(C$3:C1295,C1295))</f>
        <v/>
      </c>
      <c r="O1295" s="1" t="str">
        <f aca="false">IF(OR(C1295="",M1295=""),"",C1295&amp;"|"&amp;COUNTIFS(C$3:C1295,C1295,M$3:M1295,"&lt;&gt;"))</f>
        <v/>
      </c>
    </row>
    <row r="1296" customFormat="false" ht="15" hidden="false" customHeight="false" outlineLevel="0" collapsed="false">
      <c r="B1296" s="7"/>
      <c r="C1296" s="5"/>
      <c r="D1296" s="9" t="str">
        <f aca="false">IF(C1296="","",IFERROR(VLOOKUP(C1296,EQUIPOS!$B$3:$C$18,2,0),"NO EXISTE"))</f>
        <v/>
      </c>
      <c r="E1296" s="9" t="str">
        <f aca="false">IF(C1296="","",IFERROR(VLOOKUP(C1296,EQUIPOS!$B$3:$F$18,5,0),""))</f>
        <v/>
      </c>
      <c r="F1296" s="5" t="str">
        <f aca="false">IF(C1296="","",IFERROR(VLOOKUP(C1296,EQUIPOS!$B$3:$G$18,6,0),""))</f>
        <v/>
      </c>
      <c r="G1296" s="8"/>
      <c r="H1296" s="5"/>
      <c r="I1296" s="5"/>
      <c r="J1296" s="9"/>
      <c r="K1296" s="17" t="str">
        <f aca="false">IF(H1296="","",IFERROR(SUMIFS(BD_PLAN!$I$3:$I$312,BD_PLAN!$B$3:$B$312,E1296,BD_PLAN!$C$3:$C$312,INDEX(BD_CICLO!$F$3:$F$54,MATCH(E1296&amp;"|"&amp;H1296,BD_CICLO!$G$3:$G$54,0))),""))</f>
        <v/>
      </c>
      <c r="L1296" s="9"/>
      <c r="M1296" s="9"/>
      <c r="N1296" s="1" t="str">
        <f aca="false">IF(C1296="","",C1296&amp;"|"&amp;COUNTIF(C$3:C1296,C1296))</f>
        <v/>
      </c>
      <c r="O1296" s="1" t="str">
        <f aca="false">IF(OR(C1296="",M1296=""),"",C1296&amp;"|"&amp;COUNTIFS(C$3:C1296,C1296,M$3:M1296,"&lt;&gt;"))</f>
        <v/>
      </c>
    </row>
    <row r="1297" customFormat="false" ht="15" hidden="false" customHeight="false" outlineLevel="0" collapsed="false">
      <c r="B1297" s="7"/>
      <c r="C1297" s="5"/>
      <c r="D1297" s="9" t="str">
        <f aca="false">IF(C1297="","",IFERROR(VLOOKUP(C1297,EQUIPOS!$B$3:$C$18,2,0),"NO EXISTE"))</f>
        <v/>
      </c>
      <c r="E1297" s="9" t="str">
        <f aca="false">IF(C1297="","",IFERROR(VLOOKUP(C1297,EQUIPOS!$B$3:$F$18,5,0),""))</f>
        <v/>
      </c>
      <c r="F1297" s="5" t="str">
        <f aca="false">IF(C1297="","",IFERROR(VLOOKUP(C1297,EQUIPOS!$B$3:$G$18,6,0),""))</f>
        <v/>
      </c>
      <c r="G1297" s="8"/>
      <c r="H1297" s="5"/>
      <c r="I1297" s="5"/>
      <c r="J1297" s="9"/>
      <c r="K1297" s="17" t="str">
        <f aca="false">IF(H1297="","",IFERROR(SUMIFS(BD_PLAN!$I$3:$I$312,BD_PLAN!$B$3:$B$312,E1297,BD_PLAN!$C$3:$C$312,INDEX(BD_CICLO!$F$3:$F$54,MATCH(E1297&amp;"|"&amp;H1297,BD_CICLO!$G$3:$G$54,0))),""))</f>
        <v/>
      </c>
      <c r="L1297" s="9"/>
      <c r="M1297" s="9"/>
      <c r="N1297" s="1" t="str">
        <f aca="false">IF(C1297="","",C1297&amp;"|"&amp;COUNTIF(C$3:C1297,C1297))</f>
        <v/>
      </c>
      <c r="O1297" s="1" t="str">
        <f aca="false">IF(OR(C1297="",M1297=""),"",C1297&amp;"|"&amp;COUNTIFS(C$3:C1297,C1297,M$3:M1297,"&lt;&gt;"))</f>
        <v/>
      </c>
    </row>
    <row r="1298" customFormat="false" ht="15" hidden="false" customHeight="false" outlineLevel="0" collapsed="false">
      <c r="B1298" s="7"/>
      <c r="C1298" s="5"/>
      <c r="D1298" s="9" t="str">
        <f aca="false">IF(C1298="","",IFERROR(VLOOKUP(C1298,EQUIPOS!$B$3:$C$18,2,0),"NO EXISTE"))</f>
        <v/>
      </c>
      <c r="E1298" s="9" t="str">
        <f aca="false">IF(C1298="","",IFERROR(VLOOKUP(C1298,EQUIPOS!$B$3:$F$18,5,0),""))</f>
        <v/>
      </c>
      <c r="F1298" s="5" t="str">
        <f aca="false">IF(C1298="","",IFERROR(VLOOKUP(C1298,EQUIPOS!$B$3:$G$18,6,0),""))</f>
        <v/>
      </c>
      <c r="G1298" s="8"/>
      <c r="H1298" s="5"/>
      <c r="I1298" s="5"/>
      <c r="J1298" s="9"/>
      <c r="K1298" s="17" t="str">
        <f aca="false">IF(H1298="","",IFERROR(SUMIFS(BD_PLAN!$I$3:$I$312,BD_PLAN!$B$3:$B$312,E1298,BD_PLAN!$C$3:$C$312,INDEX(BD_CICLO!$F$3:$F$54,MATCH(E1298&amp;"|"&amp;H1298,BD_CICLO!$G$3:$G$54,0))),""))</f>
        <v/>
      </c>
      <c r="L1298" s="9"/>
      <c r="M1298" s="9"/>
      <c r="N1298" s="1" t="str">
        <f aca="false">IF(C1298="","",C1298&amp;"|"&amp;COUNTIF(C$3:C1298,C1298))</f>
        <v/>
      </c>
      <c r="O1298" s="1" t="str">
        <f aca="false">IF(OR(C1298="",M1298=""),"",C1298&amp;"|"&amp;COUNTIFS(C$3:C1298,C1298,M$3:M1298,"&lt;&gt;"))</f>
        <v/>
      </c>
    </row>
    <row r="1299" customFormat="false" ht="15" hidden="false" customHeight="false" outlineLevel="0" collapsed="false">
      <c r="B1299" s="7"/>
      <c r="C1299" s="5"/>
      <c r="D1299" s="9" t="str">
        <f aca="false">IF(C1299="","",IFERROR(VLOOKUP(C1299,EQUIPOS!$B$3:$C$18,2,0),"NO EXISTE"))</f>
        <v/>
      </c>
      <c r="E1299" s="9" t="str">
        <f aca="false">IF(C1299="","",IFERROR(VLOOKUP(C1299,EQUIPOS!$B$3:$F$18,5,0),""))</f>
        <v/>
      </c>
      <c r="F1299" s="5" t="str">
        <f aca="false">IF(C1299="","",IFERROR(VLOOKUP(C1299,EQUIPOS!$B$3:$G$18,6,0),""))</f>
        <v/>
      </c>
      <c r="G1299" s="8"/>
      <c r="H1299" s="5"/>
      <c r="I1299" s="5"/>
      <c r="J1299" s="9"/>
      <c r="K1299" s="17" t="str">
        <f aca="false">IF(H1299="","",IFERROR(SUMIFS(BD_PLAN!$I$3:$I$312,BD_PLAN!$B$3:$B$312,E1299,BD_PLAN!$C$3:$C$312,INDEX(BD_CICLO!$F$3:$F$54,MATCH(E1299&amp;"|"&amp;H1299,BD_CICLO!$G$3:$G$54,0))),""))</f>
        <v/>
      </c>
      <c r="L1299" s="9"/>
      <c r="M1299" s="9"/>
      <c r="N1299" s="1" t="str">
        <f aca="false">IF(C1299="","",C1299&amp;"|"&amp;COUNTIF(C$3:C1299,C1299))</f>
        <v/>
      </c>
      <c r="O1299" s="1" t="str">
        <f aca="false">IF(OR(C1299="",M1299=""),"",C1299&amp;"|"&amp;COUNTIFS(C$3:C1299,C1299,M$3:M1299,"&lt;&gt;"))</f>
        <v/>
      </c>
    </row>
    <row r="1300" customFormat="false" ht="15" hidden="false" customHeight="false" outlineLevel="0" collapsed="false">
      <c r="B1300" s="7"/>
      <c r="C1300" s="5"/>
      <c r="D1300" s="9" t="str">
        <f aca="false">IF(C1300="","",IFERROR(VLOOKUP(C1300,EQUIPOS!$B$3:$C$18,2,0),"NO EXISTE"))</f>
        <v/>
      </c>
      <c r="E1300" s="9" t="str">
        <f aca="false">IF(C1300="","",IFERROR(VLOOKUP(C1300,EQUIPOS!$B$3:$F$18,5,0),""))</f>
        <v/>
      </c>
      <c r="F1300" s="5" t="str">
        <f aca="false">IF(C1300="","",IFERROR(VLOOKUP(C1300,EQUIPOS!$B$3:$G$18,6,0),""))</f>
        <v/>
      </c>
      <c r="G1300" s="8"/>
      <c r="H1300" s="5"/>
      <c r="I1300" s="5"/>
      <c r="J1300" s="9"/>
      <c r="K1300" s="17" t="str">
        <f aca="false">IF(H1300="","",IFERROR(SUMIFS(BD_PLAN!$I$3:$I$312,BD_PLAN!$B$3:$B$312,E1300,BD_PLAN!$C$3:$C$312,INDEX(BD_CICLO!$F$3:$F$54,MATCH(E1300&amp;"|"&amp;H1300,BD_CICLO!$G$3:$G$54,0))),""))</f>
        <v/>
      </c>
      <c r="L1300" s="9"/>
      <c r="M1300" s="9"/>
      <c r="N1300" s="1" t="str">
        <f aca="false">IF(C1300="","",C1300&amp;"|"&amp;COUNTIF(C$3:C1300,C1300))</f>
        <v/>
      </c>
      <c r="O1300" s="1" t="str">
        <f aca="false">IF(OR(C1300="",M1300=""),"",C1300&amp;"|"&amp;COUNTIFS(C$3:C1300,C1300,M$3:M1300,"&lt;&gt;"))</f>
        <v/>
      </c>
    </row>
    <row r="1301" customFormat="false" ht="15" hidden="false" customHeight="false" outlineLevel="0" collapsed="false">
      <c r="B1301" s="7"/>
      <c r="C1301" s="5"/>
      <c r="D1301" s="9" t="str">
        <f aca="false">IF(C1301="","",IFERROR(VLOOKUP(C1301,EQUIPOS!$B$3:$C$18,2,0),"NO EXISTE"))</f>
        <v/>
      </c>
      <c r="E1301" s="9" t="str">
        <f aca="false">IF(C1301="","",IFERROR(VLOOKUP(C1301,EQUIPOS!$B$3:$F$18,5,0),""))</f>
        <v/>
      </c>
      <c r="F1301" s="5" t="str">
        <f aca="false">IF(C1301="","",IFERROR(VLOOKUP(C1301,EQUIPOS!$B$3:$G$18,6,0),""))</f>
        <v/>
      </c>
      <c r="G1301" s="8"/>
      <c r="H1301" s="5"/>
      <c r="I1301" s="5"/>
      <c r="J1301" s="9"/>
      <c r="K1301" s="17" t="str">
        <f aca="false">IF(H1301="","",IFERROR(SUMIFS(BD_PLAN!$I$3:$I$312,BD_PLAN!$B$3:$B$312,E1301,BD_PLAN!$C$3:$C$312,INDEX(BD_CICLO!$F$3:$F$54,MATCH(E1301&amp;"|"&amp;H1301,BD_CICLO!$G$3:$G$54,0))),""))</f>
        <v/>
      </c>
      <c r="L1301" s="9"/>
      <c r="M1301" s="9"/>
      <c r="N1301" s="1" t="str">
        <f aca="false">IF(C1301="","",C1301&amp;"|"&amp;COUNTIF(C$3:C1301,C1301))</f>
        <v/>
      </c>
      <c r="O1301" s="1" t="str">
        <f aca="false">IF(OR(C1301="",M1301=""),"",C1301&amp;"|"&amp;COUNTIFS(C$3:C1301,C1301,M$3:M1301,"&lt;&gt;"))</f>
        <v/>
      </c>
    </row>
    <row r="1302" customFormat="false" ht="15" hidden="false" customHeight="false" outlineLevel="0" collapsed="false">
      <c r="B1302" s="7"/>
      <c r="C1302" s="5"/>
      <c r="D1302" s="9" t="str">
        <f aca="false">IF(C1302="","",IFERROR(VLOOKUP(C1302,EQUIPOS!$B$3:$C$18,2,0),"NO EXISTE"))</f>
        <v/>
      </c>
      <c r="E1302" s="9" t="str">
        <f aca="false">IF(C1302="","",IFERROR(VLOOKUP(C1302,EQUIPOS!$B$3:$F$18,5,0),""))</f>
        <v/>
      </c>
      <c r="F1302" s="5" t="str">
        <f aca="false">IF(C1302="","",IFERROR(VLOOKUP(C1302,EQUIPOS!$B$3:$G$18,6,0),""))</f>
        <v/>
      </c>
      <c r="G1302" s="8"/>
      <c r="H1302" s="5"/>
      <c r="I1302" s="5"/>
      <c r="J1302" s="9"/>
      <c r="K1302" s="17" t="str">
        <f aca="false">IF(H1302="","",IFERROR(SUMIFS(BD_PLAN!$I$3:$I$312,BD_PLAN!$B$3:$B$312,E1302,BD_PLAN!$C$3:$C$312,INDEX(BD_CICLO!$F$3:$F$54,MATCH(E1302&amp;"|"&amp;H1302,BD_CICLO!$G$3:$G$54,0))),""))</f>
        <v/>
      </c>
      <c r="L1302" s="9"/>
      <c r="M1302" s="9"/>
      <c r="N1302" s="1" t="str">
        <f aca="false">IF(C1302="","",C1302&amp;"|"&amp;COUNTIF(C$3:C1302,C1302))</f>
        <v/>
      </c>
      <c r="O1302" s="1" t="str">
        <f aca="false">IF(OR(C1302="",M1302=""),"",C1302&amp;"|"&amp;COUNTIFS(C$3:C1302,C1302,M$3:M1302,"&lt;&gt;"))</f>
        <v/>
      </c>
    </row>
    <row r="1303" customFormat="false" ht="15" hidden="false" customHeight="false" outlineLevel="0" collapsed="false">
      <c r="B1303" s="7"/>
      <c r="C1303" s="5"/>
      <c r="D1303" s="9" t="str">
        <f aca="false">IF(C1303="","",IFERROR(VLOOKUP(C1303,EQUIPOS!$B$3:$C$18,2,0),"NO EXISTE"))</f>
        <v/>
      </c>
      <c r="E1303" s="9" t="str">
        <f aca="false">IF(C1303="","",IFERROR(VLOOKUP(C1303,EQUIPOS!$B$3:$F$18,5,0),""))</f>
        <v/>
      </c>
      <c r="F1303" s="5" t="str">
        <f aca="false">IF(C1303="","",IFERROR(VLOOKUP(C1303,EQUIPOS!$B$3:$G$18,6,0),""))</f>
        <v/>
      </c>
      <c r="G1303" s="8"/>
      <c r="H1303" s="5"/>
      <c r="I1303" s="5"/>
      <c r="J1303" s="9"/>
      <c r="K1303" s="17" t="str">
        <f aca="false">IF(H1303="","",IFERROR(SUMIFS(BD_PLAN!$I$3:$I$312,BD_PLAN!$B$3:$B$312,E1303,BD_PLAN!$C$3:$C$312,INDEX(BD_CICLO!$F$3:$F$54,MATCH(E1303&amp;"|"&amp;H1303,BD_CICLO!$G$3:$G$54,0))),""))</f>
        <v/>
      </c>
      <c r="L1303" s="9"/>
      <c r="M1303" s="9"/>
      <c r="N1303" s="1" t="str">
        <f aca="false">IF(C1303="","",C1303&amp;"|"&amp;COUNTIF(C$3:C1303,C1303))</f>
        <v/>
      </c>
      <c r="O1303" s="1" t="str">
        <f aca="false">IF(OR(C1303="",M1303=""),"",C1303&amp;"|"&amp;COUNTIFS(C$3:C1303,C1303,M$3:M1303,"&lt;&gt;"))</f>
        <v/>
      </c>
    </row>
    <row r="1304" customFormat="false" ht="15" hidden="false" customHeight="false" outlineLevel="0" collapsed="false">
      <c r="B1304" s="7"/>
      <c r="C1304" s="5"/>
      <c r="D1304" s="9" t="str">
        <f aca="false">IF(C1304="","",IFERROR(VLOOKUP(C1304,EQUIPOS!$B$3:$C$18,2,0),"NO EXISTE"))</f>
        <v/>
      </c>
      <c r="E1304" s="9" t="str">
        <f aca="false">IF(C1304="","",IFERROR(VLOOKUP(C1304,EQUIPOS!$B$3:$F$18,5,0),""))</f>
        <v/>
      </c>
      <c r="F1304" s="5" t="str">
        <f aca="false">IF(C1304="","",IFERROR(VLOOKUP(C1304,EQUIPOS!$B$3:$G$18,6,0),""))</f>
        <v/>
      </c>
      <c r="G1304" s="8"/>
      <c r="H1304" s="5"/>
      <c r="I1304" s="5"/>
      <c r="J1304" s="9"/>
      <c r="K1304" s="17" t="str">
        <f aca="false">IF(H1304="","",IFERROR(SUMIFS(BD_PLAN!$I$3:$I$312,BD_PLAN!$B$3:$B$312,E1304,BD_PLAN!$C$3:$C$312,INDEX(BD_CICLO!$F$3:$F$54,MATCH(E1304&amp;"|"&amp;H1304,BD_CICLO!$G$3:$G$54,0))),""))</f>
        <v/>
      </c>
      <c r="L1304" s="9"/>
      <c r="M1304" s="9"/>
      <c r="N1304" s="1" t="str">
        <f aca="false">IF(C1304="","",C1304&amp;"|"&amp;COUNTIF(C$3:C1304,C1304))</f>
        <v/>
      </c>
      <c r="O1304" s="1" t="str">
        <f aca="false">IF(OR(C1304="",M1304=""),"",C1304&amp;"|"&amp;COUNTIFS(C$3:C1304,C1304,M$3:M1304,"&lt;&gt;"))</f>
        <v/>
      </c>
    </row>
    <row r="1305" customFormat="false" ht="15" hidden="false" customHeight="false" outlineLevel="0" collapsed="false">
      <c r="B1305" s="7"/>
      <c r="C1305" s="5"/>
      <c r="D1305" s="9" t="str">
        <f aca="false">IF(C1305="","",IFERROR(VLOOKUP(C1305,EQUIPOS!$B$3:$C$18,2,0),"NO EXISTE"))</f>
        <v/>
      </c>
      <c r="E1305" s="9" t="str">
        <f aca="false">IF(C1305="","",IFERROR(VLOOKUP(C1305,EQUIPOS!$B$3:$F$18,5,0),""))</f>
        <v/>
      </c>
      <c r="F1305" s="5" t="str">
        <f aca="false">IF(C1305="","",IFERROR(VLOOKUP(C1305,EQUIPOS!$B$3:$G$18,6,0),""))</f>
        <v/>
      </c>
      <c r="G1305" s="8"/>
      <c r="H1305" s="5"/>
      <c r="I1305" s="5"/>
      <c r="J1305" s="9"/>
      <c r="K1305" s="17" t="str">
        <f aca="false">IF(H1305="","",IFERROR(SUMIFS(BD_PLAN!$I$3:$I$312,BD_PLAN!$B$3:$B$312,E1305,BD_PLAN!$C$3:$C$312,INDEX(BD_CICLO!$F$3:$F$54,MATCH(E1305&amp;"|"&amp;H1305,BD_CICLO!$G$3:$G$54,0))),""))</f>
        <v/>
      </c>
      <c r="L1305" s="9"/>
      <c r="M1305" s="9"/>
      <c r="N1305" s="1" t="str">
        <f aca="false">IF(C1305="","",C1305&amp;"|"&amp;COUNTIF(C$3:C1305,C1305))</f>
        <v/>
      </c>
      <c r="O1305" s="1" t="str">
        <f aca="false">IF(OR(C1305="",M1305=""),"",C1305&amp;"|"&amp;COUNTIFS(C$3:C1305,C1305,M$3:M1305,"&lt;&gt;"))</f>
        <v/>
      </c>
    </row>
    <row r="1306" customFormat="false" ht="15" hidden="false" customHeight="false" outlineLevel="0" collapsed="false">
      <c r="B1306" s="7"/>
      <c r="C1306" s="5"/>
      <c r="D1306" s="9" t="str">
        <f aca="false">IF(C1306="","",IFERROR(VLOOKUP(C1306,EQUIPOS!$B$3:$C$18,2,0),"NO EXISTE"))</f>
        <v/>
      </c>
      <c r="E1306" s="9" t="str">
        <f aca="false">IF(C1306="","",IFERROR(VLOOKUP(C1306,EQUIPOS!$B$3:$F$18,5,0),""))</f>
        <v/>
      </c>
      <c r="F1306" s="5" t="str">
        <f aca="false">IF(C1306="","",IFERROR(VLOOKUP(C1306,EQUIPOS!$B$3:$G$18,6,0),""))</f>
        <v/>
      </c>
      <c r="G1306" s="8"/>
      <c r="H1306" s="5"/>
      <c r="I1306" s="5"/>
      <c r="J1306" s="9"/>
      <c r="K1306" s="17" t="str">
        <f aca="false">IF(H1306="","",IFERROR(SUMIFS(BD_PLAN!$I$3:$I$312,BD_PLAN!$B$3:$B$312,E1306,BD_PLAN!$C$3:$C$312,INDEX(BD_CICLO!$F$3:$F$54,MATCH(E1306&amp;"|"&amp;H1306,BD_CICLO!$G$3:$G$54,0))),""))</f>
        <v/>
      </c>
      <c r="L1306" s="9"/>
      <c r="M1306" s="9"/>
      <c r="N1306" s="1" t="str">
        <f aca="false">IF(C1306="","",C1306&amp;"|"&amp;COUNTIF(C$3:C1306,C1306))</f>
        <v/>
      </c>
      <c r="O1306" s="1" t="str">
        <f aca="false">IF(OR(C1306="",M1306=""),"",C1306&amp;"|"&amp;COUNTIFS(C$3:C1306,C1306,M$3:M1306,"&lt;&gt;"))</f>
        <v/>
      </c>
    </row>
    <row r="1307" customFormat="false" ht="15" hidden="false" customHeight="false" outlineLevel="0" collapsed="false">
      <c r="B1307" s="7"/>
      <c r="C1307" s="5"/>
      <c r="D1307" s="9" t="str">
        <f aca="false">IF(C1307="","",IFERROR(VLOOKUP(C1307,EQUIPOS!$B$3:$C$18,2,0),"NO EXISTE"))</f>
        <v/>
      </c>
      <c r="E1307" s="9" t="str">
        <f aca="false">IF(C1307="","",IFERROR(VLOOKUP(C1307,EQUIPOS!$B$3:$F$18,5,0),""))</f>
        <v/>
      </c>
      <c r="F1307" s="5" t="str">
        <f aca="false">IF(C1307="","",IFERROR(VLOOKUP(C1307,EQUIPOS!$B$3:$G$18,6,0),""))</f>
        <v/>
      </c>
      <c r="G1307" s="8"/>
      <c r="H1307" s="5"/>
      <c r="I1307" s="5"/>
      <c r="J1307" s="9"/>
      <c r="K1307" s="17" t="str">
        <f aca="false">IF(H1307="","",IFERROR(SUMIFS(BD_PLAN!$I$3:$I$312,BD_PLAN!$B$3:$B$312,E1307,BD_PLAN!$C$3:$C$312,INDEX(BD_CICLO!$F$3:$F$54,MATCH(E1307&amp;"|"&amp;H1307,BD_CICLO!$G$3:$G$54,0))),""))</f>
        <v/>
      </c>
      <c r="L1307" s="9"/>
      <c r="M1307" s="9"/>
      <c r="N1307" s="1" t="str">
        <f aca="false">IF(C1307="","",C1307&amp;"|"&amp;COUNTIF(C$3:C1307,C1307))</f>
        <v/>
      </c>
      <c r="O1307" s="1" t="str">
        <f aca="false">IF(OR(C1307="",M1307=""),"",C1307&amp;"|"&amp;COUNTIFS(C$3:C1307,C1307,M$3:M1307,"&lt;&gt;"))</f>
        <v/>
      </c>
    </row>
    <row r="1308" customFormat="false" ht="15" hidden="false" customHeight="false" outlineLevel="0" collapsed="false">
      <c r="B1308" s="7"/>
      <c r="C1308" s="5"/>
      <c r="D1308" s="9" t="str">
        <f aca="false">IF(C1308="","",IFERROR(VLOOKUP(C1308,EQUIPOS!$B$3:$C$18,2,0),"NO EXISTE"))</f>
        <v/>
      </c>
      <c r="E1308" s="9" t="str">
        <f aca="false">IF(C1308="","",IFERROR(VLOOKUP(C1308,EQUIPOS!$B$3:$F$18,5,0),""))</f>
        <v/>
      </c>
      <c r="F1308" s="5" t="str">
        <f aca="false">IF(C1308="","",IFERROR(VLOOKUP(C1308,EQUIPOS!$B$3:$G$18,6,0),""))</f>
        <v/>
      </c>
      <c r="G1308" s="8"/>
      <c r="H1308" s="5"/>
      <c r="I1308" s="5"/>
      <c r="J1308" s="9"/>
      <c r="K1308" s="17" t="str">
        <f aca="false">IF(H1308="","",IFERROR(SUMIFS(BD_PLAN!$I$3:$I$312,BD_PLAN!$B$3:$B$312,E1308,BD_PLAN!$C$3:$C$312,INDEX(BD_CICLO!$F$3:$F$54,MATCH(E1308&amp;"|"&amp;H1308,BD_CICLO!$G$3:$G$54,0))),""))</f>
        <v/>
      </c>
      <c r="L1308" s="9"/>
      <c r="M1308" s="9"/>
      <c r="N1308" s="1" t="str">
        <f aca="false">IF(C1308="","",C1308&amp;"|"&amp;COUNTIF(C$3:C1308,C1308))</f>
        <v/>
      </c>
      <c r="O1308" s="1" t="str">
        <f aca="false">IF(OR(C1308="",M1308=""),"",C1308&amp;"|"&amp;COUNTIFS(C$3:C1308,C1308,M$3:M1308,"&lt;&gt;"))</f>
        <v/>
      </c>
    </row>
    <row r="1309" customFormat="false" ht="15" hidden="false" customHeight="false" outlineLevel="0" collapsed="false">
      <c r="B1309" s="7"/>
      <c r="C1309" s="5"/>
      <c r="D1309" s="9" t="str">
        <f aca="false">IF(C1309="","",IFERROR(VLOOKUP(C1309,EQUIPOS!$B$3:$C$18,2,0),"NO EXISTE"))</f>
        <v/>
      </c>
      <c r="E1309" s="9" t="str">
        <f aca="false">IF(C1309="","",IFERROR(VLOOKUP(C1309,EQUIPOS!$B$3:$F$18,5,0),""))</f>
        <v/>
      </c>
      <c r="F1309" s="5" t="str">
        <f aca="false">IF(C1309="","",IFERROR(VLOOKUP(C1309,EQUIPOS!$B$3:$G$18,6,0),""))</f>
        <v/>
      </c>
      <c r="G1309" s="8"/>
      <c r="H1309" s="5"/>
      <c r="I1309" s="5"/>
      <c r="J1309" s="9"/>
      <c r="K1309" s="17" t="str">
        <f aca="false">IF(H1309="","",IFERROR(SUMIFS(BD_PLAN!$I$3:$I$312,BD_PLAN!$B$3:$B$312,E1309,BD_PLAN!$C$3:$C$312,INDEX(BD_CICLO!$F$3:$F$54,MATCH(E1309&amp;"|"&amp;H1309,BD_CICLO!$G$3:$G$54,0))),""))</f>
        <v/>
      </c>
      <c r="L1309" s="9"/>
      <c r="M1309" s="9"/>
      <c r="N1309" s="1" t="str">
        <f aca="false">IF(C1309="","",C1309&amp;"|"&amp;COUNTIF(C$3:C1309,C1309))</f>
        <v/>
      </c>
      <c r="O1309" s="1" t="str">
        <f aca="false">IF(OR(C1309="",M1309=""),"",C1309&amp;"|"&amp;COUNTIFS(C$3:C1309,C1309,M$3:M1309,"&lt;&gt;"))</f>
        <v/>
      </c>
    </row>
    <row r="1310" customFormat="false" ht="15" hidden="false" customHeight="false" outlineLevel="0" collapsed="false">
      <c r="B1310" s="7"/>
      <c r="C1310" s="5"/>
      <c r="D1310" s="9" t="str">
        <f aca="false">IF(C1310="","",IFERROR(VLOOKUP(C1310,EQUIPOS!$B$3:$C$18,2,0),"NO EXISTE"))</f>
        <v/>
      </c>
      <c r="E1310" s="9" t="str">
        <f aca="false">IF(C1310="","",IFERROR(VLOOKUP(C1310,EQUIPOS!$B$3:$F$18,5,0),""))</f>
        <v/>
      </c>
      <c r="F1310" s="5" t="str">
        <f aca="false">IF(C1310="","",IFERROR(VLOOKUP(C1310,EQUIPOS!$B$3:$G$18,6,0),""))</f>
        <v/>
      </c>
      <c r="G1310" s="8"/>
      <c r="H1310" s="5"/>
      <c r="I1310" s="5"/>
      <c r="J1310" s="9"/>
      <c r="K1310" s="17" t="str">
        <f aca="false">IF(H1310="","",IFERROR(SUMIFS(BD_PLAN!$I$3:$I$312,BD_PLAN!$B$3:$B$312,E1310,BD_PLAN!$C$3:$C$312,INDEX(BD_CICLO!$F$3:$F$54,MATCH(E1310&amp;"|"&amp;H1310,BD_CICLO!$G$3:$G$54,0))),""))</f>
        <v/>
      </c>
      <c r="L1310" s="9"/>
      <c r="M1310" s="9"/>
      <c r="N1310" s="1" t="str">
        <f aca="false">IF(C1310="","",C1310&amp;"|"&amp;COUNTIF(C$3:C1310,C1310))</f>
        <v/>
      </c>
      <c r="O1310" s="1" t="str">
        <f aca="false">IF(OR(C1310="",M1310=""),"",C1310&amp;"|"&amp;COUNTIFS(C$3:C1310,C1310,M$3:M1310,"&lt;&gt;"))</f>
        <v/>
      </c>
    </row>
    <row r="1311" customFormat="false" ht="15" hidden="false" customHeight="false" outlineLevel="0" collapsed="false">
      <c r="B1311" s="7"/>
      <c r="C1311" s="5"/>
      <c r="D1311" s="9" t="str">
        <f aca="false">IF(C1311="","",IFERROR(VLOOKUP(C1311,EQUIPOS!$B$3:$C$18,2,0),"NO EXISTE"))</f>
        <v/>
      </c>
      <c r="E1311" s="9" t="str">
        <f aca="false">IF(C1311="","",IFERROR(VLOOKUP(C1311,EQUIPOS!$B$3:$F$18,5,0),""))</f>
        <v/>
      </c>
      <c r="F1311" s="5" t="str">
        <f aca="false">IF(C1311="","",IFERROR(VLOOKUP(C1311,EQUIPOS!$B$3:$G$18,6,0),""))</f>
        <v/>
      </c>
      <c r="G1311" s="8"/>
      <c r="H1311" s="5"/>
      <c r="I1311" s="5"/>
      <c r="J1311" s="9"/>
      <c r="K1311" s="17" t="str">
        <f aca="false">IF(H1311="","",IFERROR(SUMIFS(BD_PLAN!$I$3:$I$312,BD_PLAN!$B$3:$B$312,E1311,BD_PLAN!$C$3:$C$312,INDEX(BD_CICLO!$F$3:$F$54,MATCH(E1311&amp;"|"&amp;H1311,BD_CICLO!$G$3:$G$54,0))),""))</f>
        <v/>
      </c>
      <c r="L1311" s="9"/>
      <c r="M1311" s="9"/>
      <c r="N1311" s="1" t="str">
        <f aca="false">IF(C1311="","",C1311&amp;"|"&amp;COUNTIF(C$3:C1311,C1311))</f>
        <v/>
      </c>
      <c r="O1311" s="1" t="str">
        <f aca="false">IF(OR(C1311="",M1311=""),"",C1311&amp;"|"&amp;COUNTIFS(C$3:C1311,C1311,M$3:M1311,"&lt;&gt;"))</f>
        <v/>
      </c>
    </row>
    <row r="1312" customFormat="false" ht="15" hidden="false" customHeight="false" outlineLevel="0" collapsed="false">
      <c r="B1312" s="7"/>
      <c r="C1312" s="5"/>
      <c r="D1312" s="9" t="str">
        <f aca="false">IF(C1312="","",IFERROR(VLOOKUP(C1312,EQUIPOS!$B$3:$C$18,2,0),"NO EXISTE"))</f>
        <v/>
      </c>
      <c r="E1312" s="9" t="str">
        <f aca="false">IF(C1312="","",IFERROR(VLOOKUP(C1312,EQUIPOS!$B$3:$F$18,5,0),""))</f>
        <v/>
      </c>
      <c r="F1312" s="5" t="str">
        <f aca="false">IF(C1312="","",IFERROR(VLOOKUP(C1312,EQUIPOS!$B$3:$G$18,6,0),""))</f>
        <v/>
      </c>
      <c r="G1312" s="8"/>
      <c r="H1312" s="5"/>
      <c r="I1312" s="5"/>
      <c r="J1312" s="9"/>
      <c r="K1312" s="17" t="str">
        <f aca="false">IF(H1312="","",IFERROR(SUMIFS(BD_PLAN!$I$3:$I$312,BD_PLAN!$B$3:$B$312,E1312,BD_PLAN!$C$3:$C$312,INDEX(BD_CICLO!$F$3:$F$54,MATCH(E1312&amp;"|"&amp;H1312,BD_CICLO!$G$3:$G$54,0))),""))</f>
        <v/>
      </c>
      <c r="L1312" s="9"/>
      <c r="M1312" s="9"/>
      <c r="N1312" s="1" t="str">
        <f aca="false">IF(C1312="","",C1312&amp;"|"&amp;COUNTIF(C$3:C1312,C1312))</f>
        <v/>
      </c>
      <c r="O1312" s="1" t="str">
        <f aca="false">IF(OR(C1312="",M1312=""),"",C1312&amp;"|"&amp;COUNTIFS(C$3:C1312,C1312,M$3:M1312,"&lt;&gt;"))</f>
        <v/>
      </c>
    </row>
    <row r="1313" customFormat="false" ht="15" hidden="false" customHeight="false" outlineLevel="0" collapsed="false">
      <c r="B1313" s="7"/>
      <c r="C1313" s="5"/>
      <c r="D1313" s="9" t="str">
        <f aca="false">IF(C1313="","",IFERROR(VLOOKUP(C1313,EQUIPOS!$B$3:$C$18,2,0),"NO EXISTE"))</f>
        <v/>
      </c>
      <c r="E1313" s="9" t="str">
        <f aca="false">IF(C1313="","",IFERROR(VLOOKUP(C1313,EQUIPOS!$B$3:$F$18,5,0),""))</f>
        <v/>
      </c>
      <c r="F1313" s="5" t="str">
        <f aca="false">IF(C1313="","",IFERROR(VLOOKUP(C1313,EQUIPOS!$B$3:$G$18,6,0),""))</f>
        <v/>
      </c>
      <c r="G1313" s="8"/>
      <c r="H1313" s="5"/>
      <c r="I1313" s="5"/>
      <c r="J1313" s="9"/>
      <c r="K1313" s="17" t="str">
        <f aca="false">IF(H1313="","",IFERROR(SUMIFS(BD_PLAN!$I$3:$I$312,BD_PLAN!$B$3:$B$312,E1313,BD_PLAN!$C$3:$C$312,INDEX(BD_CICLO!$F$3:$F$54,MATCH(E1313&amp;"|"&amp;H1313,BD_CICLO!$G$3:$G$54,0))),""))</f>
        <v/>
      </c>
      <c r="L1313" s="9"/>
      <c r="M1313" s="9"/>
      <c r="N1313" s="1" t="str">
        <f aca="false">IF(C1313="","",C1313&amp;"|"&amp;COUNTIF(C$3:C1313,C1313))</f>
        <v/>
      </c>
      <c r="O1313" s="1" t="str">
        <f aca="false">IF(OR(C1313="",M1313=""),"",C1313&amp;"|"&amp;COUNTIFS(C$3:C1313,C1313,M$3:M1313,"&lt;&gt;"))</f>
        <v/>
      </c>
    </row>
    <row r="1314" customFormat="false" ht="15" hidden="false" customHeight="false" outlineLevel="0" collapsed="false">
      <c r="B1314" s="7"/>
      <c r="C1314" s="5"/>
      <c r="D1314" s="9" t="str">
        <f aca="false">IF(C1314="","",IFERROR(VLOOKUP(C1314,EQUIPOS!$B$3:$C$18,2,0),"NO EXISTE"))</f>
        <v/>
      </c>
      <c r="E1314" s="9" t="str">
        <f aca="false">IF(C1314="","",IFERROR(VLOOKUP(C1314,EQUIPOS!$B$3:$F$18,5,0),""))</f>
        <v/>
      </c>
      <c r="F1314" s="5" t="str">
        <f aca="false">IF(C1314="","",IFERROR(VLOOKUP(C1314,EQUIPOS!$B$3:$G$18,6,0),""))</f>
        <v/>
      </c>
      <c r="G1314" s="8"/>
      <c r="H1314" s="5"/>
      <c r="I1314" s="5"/>
      <c r="J1314" s="9"/>
      <c r="K1314" s="17" t="str">
        <f aca="false">IF(H1314="","",IFERROR(SUMIFS(BD_PLAN!$I$3:$I$312,BD_PLAN!$B$3:$B$312,E1314,BD_PLAN!$C$3:$C$312,INDEX(BD_CICLO!$F$3:$F$54,MATCH(E1314&amp;"|"&amp;H1314,BD_CICLO!$G$3:$G$54,0))),""))</f>
        <v/>
      </c>
      <c r="L1314" s="9"/>
      <c r="M1314" s="9"/>
      <c r="N1314" s="1" t="str">
        <f aca="false">IF(C1314="","",C1314&amp;"|"&amp;COUNTIF(C$3:C1314,C1314))</f>
        <v/>
      </c>
      <c r="O1314" s="1" t="str">
        <f aca="false">IF(OR(C1314="",M1314=""),"",C1314&amp;"|"&amp;COUNTIFS(C$3:C1314,C1314,M$3:M1314,"&lt;&gt;"))</f>
        <v/>
      </c>
    </row>
    <row r="1315" customFormat="false" ht="15" hidden="false" customHeight="false" outlineLevel="0" collapsed="false">
      <c r="B1315" s="7"/>
      <c r="C1315" s="5"/>
      <c r="D1315" s="9" t="str">
        <f aca="false">IF(C1315="","",IFERROR(VLOOKUP(C1315,EQUIPOS!$B$3:$C$18,2,0),"NO EXISTE"))</f>
        <v/>
      </c>
      <c r="E1315" s="9" t="str">
        <f aca="false">IF(C1315="","",IFERROR(VLOOKUP(C1315,EQUIPOS!$B$3:$F$18,5,0),""))</f>
        <v/>
      </c>
      <c r="F1315" s="5" t="str">
        <f aca="false">IF(C1315="","",IFERROR(VLOOKUP(C1315,EQUIPOS!$B$3:$G$18,6,0),""))</f>
        <v/>
      </c>
      <c r="G1315" s="8"/>
      <c r="H1315" s="5"/>
      <c r="I1315" s="5"/>
      <c r="J1315" s="9"/>
      <c r="K1315" s="17" t="str">
        <f aca="false">IF(H1315="","",IFERROR(SUMIFS(BD_PLAN!$I$3:$I$312,BD_PLAN!$B$3:$B$312,E1315,BD_PLAN!$C$3:$C$312,INDEX(BD_CICLO!$F$3:$F$54,MATCH(E1315&amp;"|"&amp;H1315,BD_CICLO!$G$3:$G$54,0))),""))</f>
        <v/>
      </c>
      <c r="L1315" s="9"/>
      <c r="M1315" s="9"/>
      <c r="N1315" s="1" t="str">
        <f aca="false">IF(C1315="","",C1315&amp;"|"&amp;COUNTIF(C$3:C1315,C1315))</f>
        <v/>
      </c>
      <c r="O1315" s="1" t="str">
        <f aca="false">IF(OR(C1315="",M1315=""),"",C1315&amp;"|"&amp;COUNTIFS(C$3:C1315,C1315,M$3:M1315,"&lt;&gt;"))</f>
        <v/>
      </c>
    </row>
    <row r="1316" customFormat="false" ht="15" hidden="false" customHeight="false" outlineLevel="0" collapsed="false">
      <c r="B1316" s="7"/>
      <c r="C1316" s="5"/>
      <c r="D1316" s="9" t="str">
        <f aca="false">IF(C1316="","",IFERROR(VLOOKUP(C1316,EQUIPOS!$B$3:$C$18,2,0),"NO EXISTE"))</f>
        <v/>
      </c>
      <c r="E1316" s="9" t="str">
        <f aca="false">IF(C1316="","",IFERROR(VLOOKUP(C1316,EQUIPOS!$B$3:$F$18,5,0),""))</f>
        <v/>
      </c>
      <c r="F1316" s="5" t="str">
        <f aca="false">IF(C1316="","",IFERROR(VLOOKUP(C1316,EQUIPOS!$B$3:$G$18,6,0),""))</f>
        <v/>
      </c>
      <c r="G1316" s="8"/>
      <c r="H1316" s="5"/>
      <c r="I1316" s="5"/>
      <c r="J1316" s="9"/>
      <c r="K1316" s="17" t="str">
        <f aca="false">IF(H1316="","",IFERROR(SUMIFS(BD_PLAN!$I$3:$I$312,BD_PLAN!$B$3:$B$312,E1316,BD_PLAN!$C$3:$C$312,INDEX(BD_CICLO!$F$3:$F$54,MATCH(E1316&amp;"|"&amp;H1316,BD_CICLO!$G$3:$G$54,0))),""))</f>
        <v/>
      </c>
      <c r="L1316" s="9"/>
      <c r="M1316" s="9"/>
      <c r="N1316" s="1" t="str">
        <f aca="false">IF(C1316="","",C1316&amp;"|"&amp;COUNTIF(C$3:C1316,C1316))</f>
        <v/>
      </c>
      <c r="O1316" s="1" t="str">
        <f aca="false">IF(OR(C1316="",M1316=""),"",C1316&amp;"|"&amp;COUNTIFS(C$3:C1316,C1316,M$3:M1316,"&lt;&gt;"))</f>
        <v/>
      </c>
    </row>
    <row r="1317" customFormat="false" ht="15" hidden="false" customHeight="false" outlineLevel="0" collapsed="false">
      <c r="B1317" s="7"/>
      <c r="C1317" s="5"/>
      <c r="D1317" s="9" t="str">
        <f aca="false">IF(C1317="","",IFERROR(VLOOKUP(C1317,EQUIPOS!$B$3:$C$18,2,0),"NO EXISTE"))</f>
        <v/>
      </c>
      <c r="E1317" s="9" t="str">
        <f aca="false">IF(C1317="","",IFERROR(VLOOKUP(C1317,EQUIPOS!$B$3:$F$18,5,0),""))</f>
        <v/>
      </c>
      <c r="F1317" s="5" t="str">
        <f aca="false">IF(C1317="","",IFERROR(VLOOKUP(C1317,EQUIPOS!$B$3:$G$18,6,0),""))</f>
        <v/>
      </c>
      <c r="G1317" s="8"/>
      <c r="H1317" s="5"/>
      <c r="I1317" s="5"/>
      <c r="J1317" s="9"/>
      <c r="K1317" s="17" t="str">
        <f aca="false">IF(H1317="","",IFERROR(SUMIFS(BD_PLAN!$I$3:$I$312,BD_PLAN!$B$3:$B$312,E1317,BD_PLAN!$C$3:$C$312,INDEX(BD_CICLO!$F$3:$F$54,MATCH(E1317&amp;"|"&amp;H1317,BD_CICLO!$G$3:$G$54,0))),""))</f>
        <v/>
      </c>
      <c r="L1317" s="9"/>
      <c r="M1317" s="9"/>
      <c r="N1317" s="1" t="str">
        <f aca="false">IF(C1317="","",C1317&amp;"|"&amp;COUNTIF(C$3:C1317,C1317))</f>
        <v/>
      </c>
      <c r="O1317" s="1" t="str">
        <f aca="false">IF(OR(C1317="",M1317=""),"",C1317&amp;"|"&amp;COUNTIFS(C$3:C1317,C1317,M$3:M1317,"&lt;&gt;"))</f>
        <v/>
      </c>
    </row>
    <row r="1318" customFormat="false" ht="15" hidden="false" customHeight="false" outlineLevel="0" collapsed="false">
      <c r="B1318" s="7"/>
      <c r="C1318" s="5"/>
      <c r="D1318" s="9" t="str">
        <f aca="false">IF(C1318="","",IFERROR(VLOOKUP(C1318,EQUIPOS!$B$3:$C$18,2,0),"NO EXISTE"))</f>
        <v/>
      </c>
      <c r="E1318" s="9" t="str">
        <f aca="false">IF(C1318="","",IFERROR(VLOOKUP(C1318,EQUIPOS!$B$3:$F$18,5,0),""))</f>
        <v/>
      </c>
      <c r="F1318" s="5" t="str">
        <f aca="false">IF(C1318="","",IFERROR(VLOOKUP(C1318,EQUIPOS!$B$3:$G$18,6,0),""))</f>
        <v/>
      </c>
      <c r="G1318" s="8"/>
      <c r="H1318" s="5"/>
      <c r="I1318" s="5"/>
      <c r="J1318" s="9"/>
      <c r="K1318" s="17" t="str">
        <f aca="false">IF(H1318="","",IFERROR(SUMIFS(BD_PLAN!$I$3:$I$312,BD_PLAN!$B$3:$B$312,E1318,BD_PLAN!$C$3:$C$312,INDEX(BD_CICLO!$F$3:$F$54,MATCH(E1318&amp;"|"&amp;H1318,BD_CICLO!$G$3:$G$54,0))),""))</f>
        <v/>
      </c>
      <c r="L1318" s="9"/>
      <c r="M1318" s="9"/>
      <c r="N1318" s="1" t="str">
        <f aca="false">IF(C1318="","",C1318&amp;"|"&amp;COUNTIF(C$3:C1318,C1318))</f>
        <v/>
      </c>
      <c r="O1318" s="1" t="str">
        <f aca="false">IF(OR(C1318="",M1318=""),"",C1318&amp;"|"&amp;COUNTIFS(C$3:C1318,C1318,M$3:M1318,"&lt;&gt;"))</f>
        <v/>
      </c>
    </row>
    <row r="1319" customFormat="false" ht="15" hidden="false" customHeight="false" outlineLevel="0" collapsed="false">
      <c r="B1319" s="7"/>
      <c r="C1319" s="5"/>
      <c r="D1319" s="9" t="str">
        <f aca="false">IF(C1319="","",IFERROR(VLOOKUP(C1319,EQUIPOS!$B$3:$C$18,2,0),"NO EXISTE"))</f>
        <v/>
      </c>
      <c r="E1319" s="9" t="str">
        <f aca="false">IF(C1319="","",IFERROR(VLOOKUP(C1319,EQUIPOS!$B$3:$F$18,5,0),""))</f>
        <v/>
      </c>
      <c r="F1319" s="5" t="str">
        <f aca="false">IF(C1319="","",IFERROR(VLOOKUP(C1319,EQUIPOS!$B$3:$G$18,6,0),""))</f>
        <v/>
      </c>
      <c r="G1319" s="8"/>
      <c r="H1319" s="5"/>
      <c r="I1319" s="5"/>
      <c r="J1319" s="9"/>
      <c r="K1319" s="17" t="str">
        <f aca="false">IF(H1319="","",IFERROR(SUMIFS(BD_PLAN!$I$3:$I$312,BD_PLAN!$B$3:$B$312,E1319,BD_PLAN!$C$3:$C$312,INDEX(BD_CICLO!$F$3:$F$54,MATCH(E1319&amp;"|"&amp;H1319,BD_CICLO!$G$3:$G$54,0))),""))</f>
        <v/>
      </c>
      <c r="L1319" s="9"/>
      <c r="M1319" s="9"/>
      <c r="N1319" s="1" t="str">
        <f aca="false">IF(C1319="","",C1319&amp;"|"&amp;COUNTIF(C$3:C1319,C1319))</f>
        <v/>
      </c>
      <c r="O1319" s="1" t="str">
        <f aca="false">IF(OR(C1319="",M1319=""),"",C1319&amp;"|"&amp;COUNTIFS(C$3:C1319,C1319,M$3:M1319,"&lt;&gt;"))</f>
        <v/>
      </c>
    </row>
    <row r="1320" customFormat="false" ht="15" hidden="false" customHeight="false" outlineLevel="0" collapsed="false">
      <c r="B1320" s="7"/>
      <c r="C1320" s="5"/>
      <c r="D1320" s="9" t="str">
        <f aca="false">IF(C1320="","",IFERROR(VLOOKUP(C1320,EQUIPOS!$B$3:$C$18,2,0),"NO EXISTE"))</f>
        <v/>
      </c>
      <c r="E1320" s="9" t="str">
        <f aca="false">IF(C1320="","",IFERROR(VLOOKUP(C1320,EQUIPOS!$B$3:$F$18,5,0),""))</f>
        <v/>
      </c>
      <c r="F1320" s="5" t="str">
        <f aca="false">IF(C1320="","",IFERROR(VLOOKUP(C1320,EQUIPOS!$B$3:$G$18,6,0),""))</f>
        <v/>
      </c>
      <c r="G1320" s="8"/>
      <c r="H1320" s="5"/>
      <c r="I1320" s="5"/>
      <c r="J1320" s="9"/>
      <c r="K1320" s="17" t="str">
        <f aca="false">IF(H1320="","",IFERROR(SUMIFS(BD_PLAN!$I$3:$I$312,BD_PLAN!$B$3:$B$312,E1320,BD_PLAN!$C$3:$C$312,INDEX(BD_CICLO!$F$3:$F$54,MATCH(E1320&amp;"|"&amp;H1320,BD_CICLO!$G$3:$G$54,0))),""))</f>
        <v/>
      </c>
      <c r="L1320" s="9"/>
      <c r="M1320" s="9"/>
      <c r="N1320" s="1" t="str">
        <f aca="false">IF(C1320="","",C1320&amp;"|"&amp;COUNTIF(C$3:C1320,C1320))</f>
        <v/>
      </c>
      <c r="O1320" s="1" t="str">
        <f aca="false">IF(OR(C1320="",M1320=""),"",C1320&amp;"|"&amp;COUNTIFS(C$3:C1320,C1320,M$3:M1320,"&lt;&gt;"))</f>
        <v/>
      </c>
    </row>
    <row r="1321" customFormat="false" ht="15" hidden="false" customHeight="false" outlineLevel="0" collapsed="false">
      <c r="B1321" s="7"/>
      <c r="C1321" s="5"/>
      <c r="D1321" s="9" t="str">
        <f aca="false">IF(C1321="","",IFERROR(VLOOKUP(C1321,EQUIPOS!$B$3:$C$18,2,0),"NO EXISTE"))</f>
        <v/>
      </c>
      <c r="E1321" s="9" t="str">
        <f aca="false">IF(C1321="","",IFERROR(VLOOKUP(C1321,EQUIPOS!$B$3:$F$18,5,0),""))</f>
        <v/>
      </c>
      <c r="F1321" s="5" t="str">
        <f aca="false">IF(C1321="","",IFERROR(VLOOKUP(C1321,EQUIPOS!$B$3:$G$18,6,0),""))</f>
        <v/>
      </c>
      <c r="G1321" s="8"/>
      <c r="H1321" s="5"/>
      <c r="I1321" s="5"/>
      <c r="J1321" s="9"/>
      <c r="K1321" s="17" t="str">
        <f aca="false">IF(H1321="","",IFERROR(SUMIFS(BD_PLAN!$I$3:$I$312,BD_PLAN!$B$3:$B$312,E1321,BD_PLAN!$C$3:$C$312,INDEX(BD_CICLO!$F$3:$F$54,MATCH(E1321&amp;"|"&amp;H1321,BD_CICLO!$G$3:$G$54,0))),""))</f>
        <v/>
      </c>
      <c r="L1321" s="9"/>
      <c r="M1321" s="9"/>
      <c r="N1321" s="1" t="str">
        <f aca="false">IF(C1321="","",C1321&amp;"|"&amp;COUNTIF(C$3:C1321,C1321))</f>
        <v/>
      </c>
      <c r="O1321" s="1" t="str">
        <f aca="false">IF(OR(C1321="",M1321=""),"",C1321&amp;"|"&amp;COUNTIFS(C$3:C1321,C1321,M$3:M1321,"&lt;&gt;"))</f>
        <v/>
      </c>
    </row>
    <row r="1322" customFormat="false" ht="15" hidden="false" customHeight="false" outlineLevel="0" collapsed="false">
      <c r="B1322" s="7"/>
      <c r="C1322" s="5"/>
      <c r="D1322" s="9" t="str">
        <f aca="false">IF(C1322="","",IFERROR(VLOOKUP(C1322,EQUIPOS!$B$3:$C$18,2,0),"NO EXISTE"))</f>
        <v/>
      </c>
      <c r="E1322" s="9" t="str">
        <f aca="false">IF(C1322="","",IFERROR(VLOOKUP(C1322,EQUIPOS!$B$3:$F$18,5,0),""))</f>
        <v/>
      </c>
      <c r="F1322" s="5" t="str">
        <f aca="false">IF(C1322="","",IFERROR(VLOOKUP(C1322,EQUIPOS!$B$3:$G$18,6,0),""))</f>
        <v/>
      </c>
      <c r="G1322" s="8"/>
      <c r="H1322" s="5"/>
      <c r="I1322" s="5"/>
      <c r="J1322" s="9"/>
      <c r="K1322" s="17" t="str">
        <f aca="false">IF(H1322="","",IFERROR(SUMIFS(BD_PLAN!$I$3:$I$312,BD_PLAN!$B$3:$B$312,E1322,BD_PLAN!$C$3:$C$312,INDEX(BD_CICLO!$F$3:$F$54,MATCH(E1322&amp;"|"&amp;H1322,BD_CICLO!$G$3:$G$54,0))),""))</f>
        <v/>
      </c>
      <c r="L1322" s="9"/>
      <c r="M1322" s="9"/>
      <c r="N1322" s="1" t="str">
        <f aca="false">IF(C1322="","",C1322&amp;"|"&amp;COUNTIF(C$3:C1322,C1322))</f>
        <v/>
      </c>
      <c r="O1322" s="1" t="str">
        <f aca="false">IF(OR(C1322="",M1322=""),"",C1322&amp;"|"&amp;COUNTIFS(C$3:C1322,C1322,M$3:M1322,"&lt;&gt;"))</f>
        <v/>
      </c>
    </row>
    <row r="1323" customFormat="false" ht="15" hidden="false" customHeight="false" outlineLevel="0" collapsed="false">
      <c r="B1323" s="7"/>
      <c r="C1323" s="5"/>
      <c r="D1323" s="9" t="str">
        <f aca="false">IF(C1323="","",IFERROR(VLOOKUP(C1323,EQUIPOS!$B$3:$C$18,2,0),"NO EXISTE"))</f>
        <v/>
      </c>
      <c r="E1323" s="9" t="str">
        <f aca="false">IF(C1323="","",IFERROR(VLOOKUP(C1323,EQUIPOS!$B$3:$F$18,5,0),""))</f>
        <v/>
      </c>
      <c r="F1323" s="5" t="str">
        <f aca="false">IF(C1323="","",IFERROR(VLOOKUP(C1323,EQUIPOS!$B$3:$G$18,6,0),""))</f>
        <v/>
      </c>
      <c r="G1323" s="8"/>
      <c r="H1323" s="5"/>
      <c r="I1323" s="5"/>
      <c r="J1323" s="9"/>
      <c r="K1323" s="17" t="str">
        <f aca="false">IF(H1323="","",IFERROR(SUMIFS(BD_PLAN!$I$3:$I$312,BD_PLAN!$B$3:$B$312,E1323,BD_PLAN!$C$3:$C$312,INDEX(BD_CICLO!$F$3:$F$54,MATCH(E1323&amp;"|"&amp;H1323,BD_CICLO!$G$3:$G$54,0))),""))</f>
        <v/>
      </c>
      <c r="L1323" s="9"/>
      <c r="M1323" s="9"/>
      <c r="N1323" s="1" t="str">
        <f aca="false">IF(C1323="","",C1323&amp;"|"&amp;COUNTIF(C$3:C1323,C1323))</f>
        <v/>
      </c>
      <c r="O1323" s="1" t="str">
        <f aca="false">IF(OR(C1323="",M1323=""),"",C1323&amp;"|"&amp;COUNTIFS(C$3:C1323,C1323,M$3:M1323,"&lt;&gt;"))</f>
        <v/>
      </c>
    </row>
    <row r="1324" customFormat="false" ht="15" hidden="false" customHeight="false" outlineLevel="0" collapsed="false">
      <c r="B1324" s="7"/>
      <c r="C1324" s="5"/>
      <c r="D1324" s="9" t="str">
        <f aca="false">IF(C1324="","",IFERROR(VLOOKUP(C1324,EQUIPOS!$B$3:$C$18,2,0),"NO EXISTE"))</f>
        <v/>
      </c>
      <c r="E1324" s="9" t="str">
        <f aca="false">IF(C1324="","",IFERROR(VLOOKUP(C1324,EQUIPOS!$B$3:$F$18,5,0),""))</f>
        <v/>
      </c>
      <c r="F1324" s="5" t="str">
        <f aca="false">IF(C1324="","",IFERROR(VLOOKUP(C1324,EQUIPOS!$B$3:$G$18,6,0),""))</f>
        <v/>
      </c>
      <c r="G1324" s="8"/>
      <c r="H1324" s="5"/>
      <c r="I1324" s="5"/>
      <c r="J1324" s="9"/>
      <c r="K1324" s="17" t="str">
        <f aca="false">IF(H1324="","",IFERROR(SUMIFS(BD_PLAN!$I$3:$I$312,BD_PLAN!$B$3:$B$312,E1324,BD_PLAN!$C$3:$C$312,INDEX(BD_CICLO!$F$3:$F$54,MATCH(E1324&amp;"|"&amp;H1324,BD_CICLO!$G$3:$G$54,0))),""))</f>
        <v/>
      </c>
      <c r="L1324" s="9"/>
      <c r="M1324" s="9"/>
      <c r="N1324" s="1" t="str">
        <f aca="false">IF(C1324="","",C1324&amp;"|"&amp;COUNTIF(C$3:C1324,C1324))</f>
        <v/>
      </c>
      <c r="O1324" s="1" t="str">
        <f aca="false">IF(OR(C1324="",M1324=""),"",C1324&amp;"|"&amp;COUNTIFS(C$3:C1324,C1324,M$3:M1324,"&lt;&gt;"))</f>
        <v/>
      </c>
    </row>
    <row r="1325" customFormat="false" ht="15" hidden="false" customHeight="false" outlineLevel="0" collapsed="false">
      <c r="B1325" s="7"/>
      <c r="C1325" s="5"/>
      <c r="D1325" s="9" t="str">
        <f aca="false">IF(C1325="","",IFERROR(VLOOKUP(C1325,EQUIPOS!$B$3:$C$18,2,0),"NO EXISTE"))</f>
        <v/>
      </c>
      <c r="E1325" s="9" t="str">
        <f aca="false">IF(C1325="","",IFERROR(VLOOKUP(C1325,EQUIPOS!$B$3:$F$18,5,0),""))</f>
        <v/>
      </c>
      <c r="F1325" s="5" t="str">
        <f aca="false">IF(C1325="","",IFERROR(VLOOKUP(C1325,EQUIPOS!$B$3:$G$18,6,0),""))</f>
        <v/>
      </c>
      <c r="G1325" s="8"/>
      <c r="H1325" s="5"/>
      <c r="I1325" s="5"/>
      <c r="J1325" s="9"/>
      <c r="K1325" s="17" t="str">
        <f aca="false">IF(H1325="","",IFERROR(SUMIFS(BD_PLAN!$I$3:$I$312,BD_PLAN!$B$3:$B$312,E1325,BD_PLAN!$C$3:$C$312,INDEX(BD_CICLO!$F$3:$F$54,MATCH(E1325&amp;"|"&amp;H1325,BD_CICLO!$G$3:$G$54,0))),""))</f>
        <v/>
      </c>
      <c r="L1325" s="9"/>
      <c r="M1325" s="9"/>
      <c r="N1325" s="1" t="str">
        <f aca="false">IF(C1325="","",C1325&amp;"|"&amp;COUNTIF(C$3:C1325,C1325))</f>
        <v/>
      </c>
      <c r="O1325" s="1" t="str">
        <f aca="false">IF(OR(C1325="",M1325=""),"",C1325&amp;"|"&amp;COUNTIFS(C$3:C1325,C1325,M$3:M1325,"&lt;&gt;"))</f>
        <v/>
      </c>
    </row>
    <row r="1326" customFormat="false" ht="15" hidden="false" customHeight="false" outlineLevel="0" collapsed="false">
      <c r="B1326" s="7"/>
      <c r="C1326" s="5"/>
      <c r="D1326" s="9" t="str">
        <f aca="false">IF(C1326="","",IFERROR(VLOOKUP(C1326,EQUIPOS!$B$3:$C$18,2,0),"NO EXISTE"))</f>
        <v/>
      </c>
      <c r="E1326" s="9" t="str">
        <f aca="false">IF(C1326="","",IFERROR(VLOOKUP(C1326,EQUIPOS!$B$3:$F$18,5,0),""))</f>
        <v/>
      </c>
      <c r="F1326" s="5" t="str">
        <f aca="false">IF(C1326="","",IFERROR(VLOOKUP(C1326,EQUIPOS!$B$3:$G$18,6,0),""))</f>
        <v/>
      </c>
      <c r="G1326" s="8"/>
      <c r="H1326" s="5"/>
      <c r="I1326" s="5"/>
      <c r="J1326" s="9"/>
      <c r="K1326" s="17" t="str">
        <f aca="false">IF(H1326="","",IFERROR(SUMIFS(BD_PLAN!$I$3:$I$312,BD_PLAN!$B$3:$B$312,E1326,BD_PLAN!$C$3:$C$312,INDEX(BD_CICLO!$F$3:$F$54,MATCH(E1326&amp;"|"&amp;H1326,BD_CICLO!$G$3:$G$54,0))),""))</f>
        <v/>
      </c>
      <c r="L1326" s="9"/>
      <c r="M1326" s="9"/>
      <c r="N1326" s="1" t="str">
        <f aca="false">IF(C1326="","",C1326&amp;"|"&amp;COUNTIF(C$3:C1326,C1326))</f>
        <v/>
      </c>
      <c r="O1326" s="1" t="str">
        <f aca="false">IF(OR(C1326="",M1326=""),"",C1326&amp;"|"&amp;COUNTIFS(C$3:C1326,C1326,M$3:M1326,"&lt;&gt;"))</f>
        <v/>
      </c>
    </row>
    <row r="1327" customFormat="false" ht="15" hidden="false" customHeight="false" outlineLevel="0" collapsed="false">
      <c r="B1327" s="7"/>
      <c r="C1327" s="5"/>
      <c r="D1327" s="9" t="str">
        <f aca="false">IF(C1327="","",IFERROR(VLOOKUP(C1327,EQUIPOS!$B$3:$C$18,2,0),"NO EXISTE"))</f>
        <v/>
      </c>
      <c r="E1327" s="9" t="str">
        <f aca="false">IF(C1327="","",IFERROR(VLOOKUP(C1327,EQUIPOS!$B$3:$F$18,5,0),""))</f>
        <v/>
      </c>
      <c r="F1327" s="5" t="str">
        <f aca="false">IF(C1327="","",IFERROR(VLOOKUP(C1327,EQUIPOS!$B$3:$G$18,6,0),""))</f>
        <v/>
      </c>
      <c r="G1327" s="8"/>
      <c r="H1327" s="5"/>
      <c r="I1327" s="5"/>
      <c r="J1327" s="9"/>
      <c r="K1327" s="17" t="str">
        <f aca="false">IF(H1327="","",IFERROR(SUMIFS(BD_PLAN!$I$3:$I$312,BD_PLAN!$B$3:$B$312,E1327,BD_PLAN!$C$3:$C$312,INDEX(BD_CICLO!$F$3:$F$54,MATCH(E1327&amp;"|"&amp;H1327,BD_CICLO!$G$3:$G$54,0))),""))</f>
        <v/>
      </c>
      <c r="L1327" s="9"/>
      <c r="M1327" s="9"/>
      <c r="N1327" s="1" t="str">
        <f aca="false">IF(C1327="","",C1327&amp;"|"&amp;COUNTIF(C$3:C1327,C1327))</f>
        <v/>
      </c>
      <c r="O1327" s="1" t="str">
        <f aca="false">IF(OR(C1327="",M1327=""),"",C1327&amp;"|"&amp;COUNTIFS(C$3:C1327,C1327,M$3:M1327,"&lt;&gt;"))</f>
        <v/>
      </c>
    </row>
    <row r="1328" customFormat="false" ht="15" hidden="false" customHeight="false" outlineLevel="0" collapsed="false">
      <c r="B1328" s="7"/>
      <c r="C1328" s="5"/>
      <c r="D1328" s="9" t="str">
        <f aca="false">IF(C1328="","",IFERROR(VLOOKUP(C1328,EQUIPOS!$B$3:$C$18,2,0),"NO EXISTE"))</f>
        <v/>
      </c>
      <c r="E1328" s="9" t="str">
        <f aca="false">IF(C1328="","",IFERROR(VLOOKUP(C1328,EQUIPOS!$B$3:$F$18,5,0),""))</f>
        <v/>
      </c>
      <c r="F1328" s="5" t="str">
        <f aca="false">IF(C1328="","",IFERROR(VLOOKUP(C1328,EQUIPOS!$B$3:$G$18,6,0),""))</f>
        <v/>
      </c>
      <c r="G1328" s="8"/>
      <c r="H1328" s="5"/>
      <c r="I1328" s="5"/>
      <c r="J1328" s="9"/>
      <c r="K1328" s="17" t="str">
        <f aca="false">IF(H1328="","",IFERROR(SUMIFS(BD_PLAN!$I$3:$I$312,BD_PLAN!$B$3:$B$312,E1328,BD_PLAN!$C$3:$C$312,INDEX(BD_CICLO!$F$3:$F$54,MATCH(E1328&amp;"|"&amp;H1328,BD_CICLO!$G$3:$G$54,0))),""))</f>
        <v/>
      </c>
      <c r="L1328" s="9"/>
      <c r="M1328" s="9"/>
      <c r="N1328" s="1" t="str">
        <f aca="false">IF(C1328="","",C1328&amp;"|"&amp;COUNTIF(C$3:C1328,C1328))</f>
        <v/>
      </c>
      <c r="O1328" s="1" t="str">
        <f aca="false">IF(OR(C1328="",M1328=""),"",C1328&amp;"|"&amp;COUNTIFS(C$3:C1328,C1328,M$3:M1328,"&lt;&gt;"))</f>
        <v/>
      </c>
    </row>
    <row r="1329" customFormat="false" ht="15" hidden="false" customHeight="false" outlineLevel="0" collapsed="false">
      <c r="B1329" s="7"/>
      <c r="C1329" s="5"/>
      <c r="D1329" s="9" t="str">
        <f aca="false">IF(C1329="","",IFERROR(VLOOKUP(C1329,EQUIPOS!$B$3:$C$18,2,0),"NO EXISTE"))</f>
        <v/>
      </c>
      <c r="E1329" s="9" t="str">
        <f aca="false">IF(C1329="","",IFERROR(VLOOKUP(C1329,EQUIPOS!$B$3:$F$18,5,0),""))</f>
        <v/>
      </c>
      <c r="F1329" s="5" t="str">
        <f aca="false">IF(C1329="","",IFERROR(VLOOKUP(C1329,EQUIPOS!$B$3:$G$18,6,0),""))</f>
        <v/>
      </c>
      <c r="G1329" s="8"/>
      <c r="H1329" s="5"/>
      <c r="I1329" s="5"/>
      <c r="J1329" s="9"/>
      <c r="K1329" s="17" t="str">
        <f aca="false">IF(H1329="","",IFERROR(SUMIFS(BD_PLAN!$I$3:$I$312,BD_PLAN!$B$3:$B$312,E1329,BD_PLAN!$C$3:$C$312,INDEX(BD_CICLO!$F$3:$F$54,MATCH(E1329&amp;"|"&amp;H1329,BD_CICLO!$G$3:$G$54,0))),""))</f>
        <v/>
      </c>
      <c r="L1329" s="9"/>
      <c r="M1329" s="9"/>
      <c r="N1329" s="1" t="str">
        <f aca="false">IF(C1329="","",C1329&amp;"|"&amp;COUNTIF(C$3:C1329,C1329))</f>
        <v/>
      </c>
      <c r="O1329" s="1" t="str">
        <f aca="false">IF(OR(C1329="",M1329=""),"",C1329&amp;"|"&amp;COUNTIFS(C$3:C1329,C1329,M$3:M1329,"&lt;&gt;"))</f>
        <v/>
      </c>
    </row>
    <row r="1330" customFormat="false" ht="15" hidden="false" customHeight="false" outlineLevel="0" collapsed="false">
      <c r="B1330" s="7"/>
      <c r="C1330" s="5"/>
      <c r="D1330" s="9" t="str">
        <f aca="false">IF(C1330="","",IFERROR(VLOOKUP(C1330,EQUIPOS!$B$3:$C$18,2,0),"NO EXISTE"))</f>
        <v/>
      </c>
      <c r="E1330" s="9" t="str">
        <f aca="false">IF(C1330="","",IFERROR(VLOOKUP(C1330,EQUIPOS!$B$3:$F$18,5,0),""))</f>
        <v/>
      </c>
      <c r="F1330" s="5" t="str">
        <f aca="false">IF(C1330="","",IFERROR(VLOOKUP(C1330,EQUIPOS!$B$3:$G$18,6,0),""))</f>
        <v/>
      </c>
      <c r="G1330" s="8"/>
      <c r="H1330" s="5"/>
      <c r="I1330" s="5"/>
      <c r="J1330" s="9"/>
      <c r="K1330" s="17" t="str">
        <f aca="false">IF(H1330="","",IFERROR(SUMIFS(BD_PLAN!$I$3:$I$312,BD_PLAN!$B$3:$B$312,E1330,BD_PLAN!$C$3:$C$312,INDEX(BD_CICLO!$F$3:$F$54,MATCH(E1330&amp;"|"&amp;H1330,BD_CICLO!$G$3:$G$54,0))),""))</f>
        <v/>
      </c>
      <c r="L1330" s="9"/>
      <c r="M1330" s="9"/>
      <c r="N1330" s="1" t="str">
        <f aca="false">IF(C1330="","",C1330&amp;"|"&amp;COUNTIF(C$3:C1330,C1330))</f>
        <v/>
      </c>
      <c r="O1330" s="1" t="str">
        <f aca="false">IF(OR(C1330="",M1330=""),"",C1330&amp;"|"&amp;COUNTIFS(C$3:C1330,C1330,M$3:M1330,"&lt;&gt;"))</f>
        <v/>
      </c>
    </row>
    <row r="1331" customFormat="false" ht="15" hidden="false" customHeight="false" outlineLevel="0" collapsed="false">
      <c r="B1331" s="7"/>
      <c r="C1331" s="5"/>
      <c r="D1331" s="9" t="str">
        <f aca="false">IF(C1331="","",IFERROR(VLOOKUP(C1331,EQUIPOS!$B$3:$C$18,2,0),"NO EXISTE"))</f>
        <v/>
      </c>
      <c r="E1331" s="9" t="str">
        <f aca="false">IF(C1331="","",IFERROR(VLOOKUP(C1331,EQUIPOS!$B$3:$F$18,5,0),""))</f>
        <v/>
      </c>
      <c r="F1331" s="5" t="str">
        <f aca="false">IF(C1331="","",IFERROR(VLOOKUP(C1331,EQUIPOS!$B$3:$G$18,6,0),""))</f>
        <v/>
      </c>
      <c r="G1331" s="8"/>
      <c r="H1331" s="5"/>
      <c r="I1331" s="5"/>
      <c r="J1331" s="9"/>
      <c r="K1331" s="17" t="str">
        <f aca="false">IF(H1331="","",IFERROR(SUMIFS(BD_PLAN!$I$3:$I$312,BD_PLAN!$B$3:$B$312,E1331,BD_PLAN!$C$3:$C$312,INDEX(BD_CICLO!$F$3:$F$54,MATCH(E1331&amp;"|"&amp;H1331,BD_CICLO!$G$3:$G$54,0))),""))</f>
        <v/>
      </c>
      <c r="L1331" s="9"/>
      <c r="M1331" s="9"/>
      <c r="N1331" s="1" t="str">
        <f aca="false">IF(C1331="","",C1331&amp;"|"&amp;COUNTIF(C$3:C1331,C1331))</f>
        <v/>
      </c>
      <c r="O1331" s="1" t="str">
        <f aca="false">IF(OR(C1331="",M1331=""),"",C1331&amp;"|"&amp;COUNTIFS(C$3:C1331,C1331,M$3:M1331,"&lt;&gt;"))</f>
        <v/>
      </c>
    </row>
    <row r="1332" customFormat="false" ht="15" hidden="false" customHeight="false" outlineLevel="0" collapsed="false">
      <c r="B1332" s="7"/>
      <c r="C1332" s="5"/>
      <c r="D1332" s="9" t="str">
        <f aca="false">IF(C1332="","",IFERROR(VLOOKUP(C1332,EQUIPOS!$B$3:$C$18,2,0),"NO EXISTE"))</f>
        <v/>
      </c>
      <c r="E1332" s="9" t="str">
        <f aca="false">IF(C1332="","",IFERROR(VLOOKUP(C1332,EQUIPOS!$B$3:$F$18,5,0),""))</f>
        <v/>
      </c>
      <c r="F1332" s="5" t="str">
        <f aca="false">IF(C1332="","",IFERROR(VLOOKUP(C1332,EQUIPOS!$B$3:$G$18,6,0),""))</f>
        <v/>
      </c>
      <c r="G1332" s="8"/>
      <c r="H1332" s="5"/>
      <c r="I1332" s="5"/>
      <c r="J1332" s="9"/>
      <c r="K1332" s="17" t="str">
        <f aca="false">IF(H1332="","",IFERROR(SUMIFS(BD_PLAN!$I$3:$I$312,BD_PLAN!$B$3:$B$312,E1332,BD_PLAN!$C$3:$C$312,INDEX(BD_CICLO!$F$3:$F$54,MATCH(E1332&amp;"|"&amp;H1332,BD_CICLO!$G$3:$G$54,0))),""))</f>
        <v/>
      </c>
      <c r="L1332" s="9"/>
      <c r="M1332" s="9"/>
      <c r="N1332" s="1" t="str">
        <f aca="false">IF(C1332="","",C1332&amp;"|"&amp;COUNTIF(C$3:C1332,C1332))</f>
        <v/>
      </c>
      <c r="O1332" s="1" t="str">
        <f aca="false">IF(OR(C1332="",M1332=""),"",C1332&amp;"|"&amp;COUNTIFS(C$3:C1332,C1332,M$3:M1332,"&lt;&gt;"))</f>
        <v/>
      </c>
    </row>
    <row r="1333" customFormat="false" ht="15" hidden="false" customHeight="false" outlineLevel="0" collapsed="false">
      <c r="B1333" s="7"/>
      <c r="C1333" s="5"/>
      <c r="D1333" s="9" t="str">
        <f aca="false">IF(C1333="","",IFERROR(VLOOKUP(C1333,EQUIPOS!$B$3:$C$18,2,0),"NO EXISTE"))</f>
        <v/>
      </c>
      <c r="E1333" s="9" t="str">
        <f aca="false">IF(C1333="","",IFERROR(VLOOKUP(C1333,EQUIPOS!$B$3:$F$18,5,0),""))</f>
        <v/>
      </c>
      <c r="F1333" s="5" t="str">
        <f aca="false">IF(C1333="","",IFERROR(VLOOKUP(C1333,EQUIPOS!$B$3:$G$18,6,0),""))</f>
        <v/>
      </c>
      <c r="G1333" s="8"/>
      <c r="H1333" s="5"/>
      <c r="I1333" s="5"/>
      <c r="J1333" s="9"/>
      <c r="K1333" s="17" t="str">
        <f aca="false">IF(H1333="","",IFERROR(SUMIFS(BD_PLAN!$I$3:$I$312,BD_PLAN!$B$3:$B$312,E1333,BD_PLAN!$C$3:$C$312,INDEX(BD_CICLO!$F$3:$F$54,MATCH(E1333&amp;"|"&amp;H1333,BD_CICLO!$G$3:$G$54,0))),""))</f>
        <v/>
      </c>
      <c r="L1333" s="9"/>
      <c r="M1333" s="9"/>
      <c r="N1333" s="1" t="str">
        <f aca="false">IF(C1333="","",C1333&amp;"|"&amp;COUNTIF(C$3:C1333,C1333))</f>
        <v/>
      </c>
      <c r="O1333" s="1" t="str">
        <f aca="false">IF(OR(C1333="",M1333=""),"",C1333&amp;"|"&amp;COUNTIFS(C$3:C1333,C1333,M$3:M1333,"&lt;&gt;"))</f>
        <v/>
      </c>
    </row>
    <row r="1334" customFormat="false" ht="15" hidden="false" customHeight="false" outlineLevel="0" collapsed="false">
      <c r="B1334" s="7"/>
      <c r="C1334" s="5"/>
      <c r="D1334" s="9" t="str">
        <f aca="false">IF(C1334="","",IFERROR(VLOOKUP(C1334,EQUIPOS!$B$3:$C$18,2,0),"NO EXISTE"))</f>
        <v/>
      </c>
      <c r="E1334" s="9" t="str">
        <f aca="false">IF(C1334="","",IFERROR(VLOOKUP(C1334,EQUIPOS!$B$3:$F$18,5,0),""))</f>
        <v/>
      </c>
      <c r="F1334" s="5" t="str">
        <f aca="false">IF(C1334="","",IFERROR(VLOOKUP(C1334,EQUIPOS!$B$3:$G$18,6,0),""))</f>
        <v/>
      </c>
      <c r="G1334" s="8"/>
      <c r="H1334" s="5"/>
      <c r="I1334" s="5"/>
      <c r="J1334" s="9"/>
      <c r="K1334" s="17" t="str">
        <f aca="false">IF(H1334="","",IFERROR(SUMIFS(BD_PLAN!$I$3:$I$312,BD_PLAN!$B$3:$B$312,E1334,BD_PLAN!$C$3:$C$312,INDEX(BD_CICLO!$F$3:$F$54,MATCH(E1334&amp;"|"&amp;H1334,BD_CICLO!$G$3:$G$54,0))),""))</f>
        <v/>
      </c>
      <c r="L1334" s="9"/>
      <c r="M1334" s="9"/>
      <c r="N1334" s="1" t="str">
        <f aca="false">IF(C1334="","",C1334&amp;"|"&amp;COUNTIF(C$3:C1334,C1334))</f>
        <v/>
      </c>
      <c r="O1334" s="1" t="str">
        <f aca="false">IF(OR(C1334="",M1334=""),"",C1334&amp;"|"&amp;COUNTIFS(C$3:C1334,C1334,M$3:M1334,"&lt;&gt;"))</f>
        <v/>
      </c>
    </row>
    <row r="1335" customFormat="false" ht="15" hidden="false" customHeight="false" outlineLevel="0" collapsed="false">
      <c r="B1335" s="7"/>
      <c r="C1335" s="5"/>
      <c r="D1335" s="9" t="str">
        <f aca="false">IF(C1335="","",IFERROR(VLOOKUP(C1335,EQUIPOS!$B$3:$C$18,2,0),"NO EXISTE"))</f>
        <v/>
      </c>
      <c r="E1335" s="9" t="str">
        <f aca="false">IF(C1335="","",IFERROR(VLOOKUP(C1335,EQUIPOS!$B$3:$F$18,5,0),""))</f>
        <v/>
      </c>
      <c r="F1335" s="5" t="str">
        <f aca="false">IF(C1335="","",IFERROR(VLOOKUP(C1335,EQUIPOS!$B$3:$G$18,6,0),""))</f>
        <v/>
      </c>
      <c r="G1335" s="8"/>
      <c r="H1335" s="5"/>
      <c r="I1335" s="5"/>
      <c r="J1335" s="9"/>
      <c r="K1335" s="17" t="str">
        <f aca="false">IF(H1335="","",IFERROR(SUMIFS(BD_PLAN!$I$3:$I$312,BD_PLAN!$B$3:$B$312,E1335,BD_PLAN!$C$3:$C$312,INDEX(BD_CICLO!$F$3:$F$54,MATCH(E1335&amp;"|"&amp;H1335,BD_CICLO!$G$3:$G$54,0))),""))</f>
        <v/>
      </c>
      <c r="L1335" s="9"/>
      <c r="M1335" s="9"/>
      <c r="N1335" s="1" t="str">
        <f aca="false">IF(C1335="","",C1335&amp;"|"&amp;COUNTIF(C$3:C1335,C1335))</f>
        <v/>
      </c>
      <c r="O1335" s="1" t="str">
        <f aca="false">IF(OR(C1335="",M1335=""),"",C1335&amp;"|"&amp;COUNTIFS(C$3:C1335,C1335,M$3:M1335,"&lt;&gt;"))</f>
        <v/>
      </c>
    </row>
    <row r="1336" customFormat="false" ht="15" hidden="false" customHeight="false" outlineLevel="0" collapsed="false">
      <c r="B1336" s="7"/>
      <c r="C1336" s="5"/>
      <c r="D1336" s="9" t="str">
        <f aca="false">IF(C1336="","",IFERROR(VLOOKUP(C1336,EQUIPOS!$B$3:$C$18,2,0),"NO EXISTE"))</f>
        <v/>
      </c>
      <c r="E1336" s="9" t="str">
        <f aca="false">IF(C1336="","",IFERROR(VLOOKUP(C1336,EQUIPOS!$B$3:$F$18,5,0),""))</f>
        <v/>
      </c>
      <c r="F1336" s="5" t="str">
        <f aca="false">IF(C1336="","",IFERROR(VLOOKUP(C1336,EQUIPOS!$B$3:$G$18,6,0),""))</f>
        <v/>
      </c>
      <c r="G1336" s="8"/>
      <c r="H1336" s="5"/>
      <c r="I1336" s="5"/>
      <c r="J1336" s="9"/>
      <c r="K1336" s="17" t="str">
        <f aca="false">IF(H1336="","",IFERROR(SUMIFS(BD_PLAN!$I$3:$I$312,BD_PLAN!$B$3:$B$312,E1336,BD_PLAN!$C$3:$C$312,INDEX(BD_CICLO!$F$3:$F$54,MATCH(E1336&amp;"|"&amp;H1336,BD_CICLO!$G$3:$G$54,0))),""))</f>
        <v/>
      </c>
      <c r="L1336" s="9"/>
      <c r="M1336" s="9"/>
      <c r="N1336" s="1" t="str">
        <f aca="false">IF(C1336="","",C1336&amp;"|"&amp;COUNTIF(C$3:C1336,C1336))</f>
        <v/>
      </c>
      <c r="O1336" s="1" t="str">
        <f aca="false">IF(OR(C1336="",M1336=""),"",C1336&amp;"|"&amp;COUNTIFS(C$3:C1336,C1336,M$3:M1336,"&lt;&gt;"))</f>
        <v/>
      </c>
    </row>
    <row r="1337" customFormat="false" ht="15" hidden="false" customHeight="false" outlineLevel="0" collapsed="false">
      <c r="B1337" s="7"/>
      <c r="C1337" s="5"/>
      <c r="D1337" s="9" t="str">
        <f aca="false">IF(C1337="","",IFERROR(VLOOKUP(C1337,EQUIPOS!$B$3:$C$18,2,0),"NO EXISTE"))</f>
        <v/>
      </c>
      <c r="E1337" s="9" t="str">
        <f aca="false">IF(C1337="","",IFERROR(VLOOKUP(C1337,EQUIPOS!$B$3:$F$18,5,0),""))</f>
        <v/>
      </c>
      <c r="F1337" s="5" t="str">
        <f aca="false">IF(C1337="","",IFERROR(VLOOKUP(C1337,EQUIPOS!$B$3:$G$18,6,0),""))</f>
        <v/>
      </c>
      <c r="G1337" s="8"/>
      <c r="H1337" s="5"/>
      <c r="I1337" s="5"/>
      <c r="J1337" s="9"/>
      <c r="K1337" s="17" t="str">
        <f aca="false">IF(H1337="","",IFERROR(SUMIFS(BD_PLAN!$I$3:$I$312,BD_PLAN!$B$3:$B$312,E1337,BD_PLAN!$C$3:$C$312,INDEX(BD_CICLO!$F$3:$F$54,MATCH(E1337&amp;"|"&amp;H1337,BD_CICLO!$G$3:$G$54,0))),""))</f>
        <v/>
      </c>
      <c r="L1337" s="9"/>
      <c r="M1337" s="9"/>
      <c r="N1337" s="1" t="str">
        <f aca="false">IF(C1337="","",C1337&amp;"|"&amp;COUNTIF(C$3:C1337,C1337))</f>
        <v/>
      </c>
      <c r="O1337" s="1" t="str">
        <f aca="false">IF(OR(C1337="",M1337=""),"",C1337&amp;"|"&amp;COUNTIFS(C$3:C1337,C1337,M$3:M1337,"&lt;&gt;"))</f>
        <v/>
      </c>
    </row>
    <row r="1338" customFormat="false" ht="15" hidden="false" customHeight="false" outlineLevel="0" collapsed="false">
      <c r="B1338" s="7"/>
      <c r="C1338" s="5"/>
      <c r="D1338" s="9" t="str">
        <f aca="false">IF(C1338="","",IFERROR(VLOOKUP(C1338,EQUIPOS!$B$3:$C$18,2,0),"NO EXISTE"))</f>
        <v/>
      </c>
      <c r="E1338" s="9" t="str">
        <f aca="false">IF(C1338="","",IFERROR(VLOOKUP(C1338,EQUIPOS!$B$3:$F$18,5,0),""))</f>
        <v/>
      </c>
      <c r="F1338" s="5" t="str">
        <f aca="false">IF(C1338="","",IFERROR(VLOOKUP(C1338,EQUIPOS!$B$3:$G$18,6,0),""))</f>
        <v/>
      </c>
      <c r="G1338" s="8"/>
      <c r="H1338" s="5"/>
      <c r="I1338" s="5"/>
      <c r="J1338" s="9"/>
      <c r="K1338" s="17" t="str">
        <f aca="false">IF(H1338="","",IFERROR(SUMIFS(BD_PLAN!$I$3:$I$312,BD_PLAN!$B$3:$B$312,E1338,BD_PLAN!$C$3:$C$312,INDEX(BD_CICLO!$F$3:$F$54,MATCH(E1338&amp;"|"&amp;H1338,BD_CICLO!$G$3:$G$54,0))),""))</f>
        <v/>
      </c>
      <c r="L1338" s="9"/>
      <c r="M1338" s="9"/>
      <c r="N1338" s="1" t="str">
        <f aca="false">IF(C1338="","",C1338&amp;"|"&amp;COUNTIF(C$3:C1338,C1338))</f>
        <v/>
      </c>
      <c r="O1338" s="1" t="str">
        <f aca="false">IF(OR(C1338="",M1338=""),"",C1338&amp;"|"&amp;COUNTIFS(C$3:C1338,C1338,M$3:M1338,"&lt;&gt;"))</f>
        <v/>
      </c>
    </row>
    <row r="1339" customFormat="false" ht="15" hidden="false" customHeight="false" outlineLevel="0" collapsed="false">
      <c r="B1339" s="7"/>
      <c r="C1339" s="5"/>
      <c r="D1339" s="9" t="str">
        <f aca="false">IF(C1339="","",IFERROR(VLOOKUP(C1339,EQUIPOS!$B$3:$C$18,2,0),"NO EXISTE"))</f>
        <v/>
      </c>
      <c r="E1339" s="9" t="str">
        <f aca="false">IF(C1339="","",IFERROR(VLOOKUP(C1339,EQUIPOS!$B$3:$F$18,5,0),""))</f>
        <v/>
      </c>
      <c r="F1339" s="5" t="str">
        <f aca="false">IF(C1339="","",IFERROR(VLOOKUP(C1339,EQUIPOS!$B$3:$G$18,6,0),""))</f>
        <v/>
      </c>
      <c r="G1339" s="8"/>
      <c r="H1339" s="5"/>
      <c r="I1339" s="5"/>
      <c r="J1339" s="9"/>
      <c r="K1339" s="17" t="str">
        <f aca="false">IF(H1339="","",IFERROR(SUMIFS(BD_PLAN!$I$3:$I$312,BD_PLAN!$B$3:$B$312,E1339,BD_PLAN!$C$3:$C$312,INDEX(BD_CICLO!$F$3:$F$54,MATCH(E1339&amp;"|"&amp;H1339,BD_CICLO!$G$3:$G$54,0))),""))</f>
        <v/>
      </c>
      <c r="L1339" s="9"/>
      <c r="M1339" s="9"/>
      <c r="N1339" s="1" t="str">
        <f aca="false">IF(C1339="","",C1339&amp;"|"&amp;COUNTIF(C$3:C1339,C1339))</f>
        <v/>
      </c>
      <c r="O1339" s="1" t="str">
        <f aca="false">IF(OR(C1339="",M1339=""),"",C1339&amp;"|"&amp;COUNTIFS(C$3:C1339,C1339,M$3:M1339,"&lt;&gt;"))</f>
        <v/>
      </c>
    </row>
    <row r="1340" customFormat="false" ht="15" hidden="false" customHeight="false" outlineLevel="0" collapsed="false">
      <c r="B1340" s="7"/>
      <c r="C1340" s="5"/>
      <c r="D1340" s="9" t="str">
        <f aca="false">IF(C1340="","",IFERROR(VLOOKUP(C1340,EQUIPOS!$B$3:$C$18,2,0),"NO EXISTE"))</f>
        <v/>
      </c>
      <c r="E1340" s="9" t="str">
        <f aca="false">IF(C1340="","",IFERROR(VLOOKUP(C1340,EQUIPOS!$B$3:$F$18,5,0),""))</f>
        <v/>
      </c>
      <c r="F1340" s="5" t="str">
        <f aca="false">IF(C1340="","",IFERROR(VLOOKUP(C1340,EQUIPOS!$B$3:$G$18,6,0),""))</f>
        <v/>
      </c>
      <c r="G1340" s="8"/>
      <c r="H1340" s="5"/>
      <c r="I1340" s="5"/>
      <c r="J1340" s="9"/>
      <c r="K1340" s="17" t="str">
        <f aca="false">IF(H1340="","",IFERROR(SUMIFS(BD_PLAN!$I$3:$I$312,BD_PLAN!$B$3:$B$312,E1340,BD_PLAN!$C$3:$C$312,INDEX(BD_CICLO!$F$3:$F$54,MATCH(E1340&amp;"|"&amp;H1340,BD_CICLO!$G$3:$G$54,0))),""))</f>
        <v/>
      </c>
      <c r="L1340" s="9"/>
      <c r="M1340" s="9"/>
      <c r="N1340" s="1" t="str">
        <f aca="false">IF(C1340="","",C1340&amp;"|"&amp;COUNTIF(C$3:C1340,C1340))</f>
        <v/>
      </c>
      <c r="O1340" s="1" t="str">
        <f aca="false">IF(OR(C1340="",M1340=""),"",C1340&amp;"|"&amp;COUNTIFS(C$3:C1340,C1340,M$3:M1340,"&lt;&gt;"))</f>
        <v/>
      </c>
    </row>
    <row r="1341" customFormat="false" ht="15" hidden="false" customHeight="false" outlineLevel="0" collapsed="false">
      <c r="B1341" s="7"/>
      <c r="C1341" s="5"/>
      <c r="D1341" s="9" t="str">
        <f aca="false">IF(C1341="","",IFERROR(VLOOKUP(C1341,EQUIPOS!$B$3:$C$18,2,0),"NO EXISTE"))</f>
        <v/>
      </c>
      <c r="E1341" s="9" t="str">
        <f aca="false">IF(C1341="","",IFERROR(VLOOKUP(C1341,EQUIPOS!$B$3:$F$18,5,0),""))</f>
        <v/>
      </c>
      <c r="F1341" s="5" t="str">
        <f aca="false">IF(C1341="","",IFERROR(VLOOKUP(C1341,EQUIPOS!$B$3:$G$18,6,0),""))</f>
        <v/>
      </c>
      <c r="G1341" s="8"/>
      <c r="H1341" s="5"/>
      <c r="I1341" s="5"/>
      <c r="J1341" s="9"/>
      <c r="K1341" s="17" t="str">
        <f aca="false">IF(H1341="","",IFERROR(SUMIFS(BD_PLAN!$I$3:$I$312,BD_PLAN!$B$3:$B$312,E1341,BD_PLAN!$C$3:$C$312,INDEX(BD_CICLO!$F$3:$F$54,MATCH(E1341&amp;"|"&amp;H1341,BD_CICLO!$G$3:$G$54,0))),""))</f>
        <v/>
      </c>
      <c r="L1341" s="9"/>
      <c r="M1341" s="9"/>
      <c r="N1341" s="1" t="str">
        <f aca="false">IF(C1341="","",C1341&amp;"|"&amp;COUNTIF(C$3:C1341,C1341))</f>
        <v/>
      </c>
      <c r="O1341" s="1" t="str">
        <f aca="false">IF(OR(C1341="",M1341=""),"",C1341&amp;"|"&amp;COUNTIFS(C$3:C1341,C1341,M$3:M1341,"&lt;&gt;"))</f>
        <v/>
      </c>
    </row>
    <row r="1342" customFormat="false" ht="15" hidden="false" customHeight="false" outlineLevel="0" collapsed="false">
      <c r="B1342" s="7"/>
      <c r="C1342" s="5"/>
      <c r="D1342" s="9" t="str">
        <f aca="false">IF(C1342="","",IFERROR(VLOOKUP(C1342,EQUIPOS!$B$3:$C$18,2,0),"NO EXISTE"))</f>
        <v/>
      </c>
      <c r="E1342" s="9" t="str">
        <f aca="false">IF(C1342="","",IFERROR(VLOOKUP(C1342,EQUIPOS!$B$3:$F$18,5,0),""))</f>
        <v/>
      </c>
      <c r="F1342" s="5" t="str">
        <f aca="false">IF(C1342="","",IFERROR(VLOOKUP(C1342,EQUIPOS!$B$3:$G$18,6,0),""))</f>
        <v/>
      </c>
      <c r="G1342" s="8"/>
      <c r="H1342" s="5"/>
      <c r="I1342" s="5"/>
      <c r="J1342" s="9"/>
      <c r="K1342" s="17" t="str">
        <f aca="false">IF(H1342="","",IFERROR(SUMIFS(BD_PLAN!$I$3:$I$312,BD_PLAN!$B$3:$B$312,E1342,BD_PLAN!$C$3:$C$312,INDEX(BD_CICLO!$F$3:$F$54,MATCH(E1342&amp;"|"&amp;H1342,BD_CICLO!$G$3:$G$54,0))),""))</f>
        <v/>
      </c>
      <c r="L1342" s="9"/>
      <c r="M1342" s="9"/>
      <c r="N1342" s="1" t="str">
        <f aca="false">IF(C1342="","",C1342&amp;"|"&amp;COUNTIF(C$3:C1342,C1342))</f>
        <v/>
      </c>
      <c r="O1342" s="1" t="str">
        <f aca="false">IF(OR(C1342="",M1342=""),"",C1342&amp;"|"&amp;COUNTIFS(C$3:C1342,C1342,M$3:M1342,"&lt;&gt;"))</f>
        <v/>
      </c>
    </row>
    <row r="1343" customFormat="false" ht="15" hidden="false" customHeight="false" outlineLevel="0" collapsed="false">
      <c r="B1343" s="7"/>
      <c r="C1343" s="5"/>
      <c r="D1343" s="9" t="str">
        <f aca="false">IF(C1343="","",IFERROR(VLOOKUP(C1343,EQUIPOS!$B$3:$C$18,2,0),"NO EXISTE"))</f>
        <v/>
      </c>
      <c r="E1343" s="9" t="str">
        <f aca="false">IF(C1343="","",IFERROR(VLOOKUP(C1343,EQUIPOS!$B$3:$F$18,5,0),""))</f>
        <v/>
      </c>
      <c r="F1343" s="5" t="str">
        <f aca="false">IF(C1343="","",IFERROR(VLOOKUP(C1343,EQUIPOS!$B$3:$G$18,6,0),""))</f>
        <v/>
      </c>
      <c r="G1343" s="8"/>
      <c r="H1343" s="5"/>
      <c r="I1343" s="5"/>
      <c r="J1343" s="9"/>
      <c r="K1343" s="17" t="str">
        <f aca="false">IF(H1343="","",IFERROR(SUMIFS(BD_PLAN!$I$3:$I$312,BD_PLAN!$B$3:$B$312,E1343,BD_PLAN!$C$3:$C$312,INDEX(BD_CICLO!$F$3:$F$54,MATCH(E1343&amp;"|"&amp;H1343,BD_CICLO!$G$3:$G$54,0))),""))</f>
        <v/>
      </c>
      <c r="L1343" s="9"/>
      <c r="M1343" s="9"/>
      <c r="N1343" s="1" t="str">
        <f aca="false">IF(C1343="","",C1343&amp;"|"&amp;COUNTIF(C$3:C1343,C1343))</f>
        <v/>
      </c>
      <c r="O1343" s="1" t="str">
        <f aca="false">IF(OR(C1343="",M1343=""),"",C1343&amp;"|"&amp;COUNTIFS(C$3:C1343,C1343,M$3:M1343,"&lt;&gt;"))</f>
        <v/>
      </c>
    </row>
    <row r="1344" customFormat="false" ht="15" hidden="false" customHeight="false" outlineLevel="0" collapsed="false">
      <c r="B1344" s="7"/>
      <c r="C1344" s="5"/>
      <c r="D1344" s="9" t="str">
        <f aca="false">IF(C1344="","",IFERROR(VLOOKUP(C1344,EQUIPOS!$B$3:$C$18,2,0),"NO EXISTE"))</f>
        <v/>
      </c>
      <c r="E1344" s="9" t="str">
        <f aca="false">IF(C1344="","",IFERROR(VLOOKUP(C1344,EQUIPOS!$B$3:$F$18,5,0),""))</f>
        <v/>
      </c>
      <c r="F1344" s="5" t="str">
        <f aca="false">IF(C1344="","",IFERROR(VLOOKUP(C1344,EQUIPOS!$B$3:$G$18,6,0),""))</f>
        <v/>
      </c>
      <c r="G1344" s="8"/>
      <c r="H1344" s="5"/>
      <c r="I1344" s="5"/>
      <c r="J1344" s="9"/>
      <c r="K1344" s="17" t="str">
        <f aca="false">IF(H1344="","",IFERROR(SUMIFS(BD_PLAN!$I$3:$I$312,BD_PLAN!$B$3:$B$312,E1344,BD_PLAN!$C$3:$C$312,INDEX(BD_CICLO!$F$3:$F$54,MATCH(E1344&amp;"|"&amp;H1344,BD_CICLO!$G$3:$G$54,0))),""))</f>
        <v/>
      </c>
      <c r="L1344" s="9"/>
      <c r="M1344" s="9"/>
      <c r="N1344" s="1" t="str">
        <f aca="false">IF(C1344="","",C1344&amp;"|"&amp;COUNTIF(C$3:C1344,C1344))</f>
        <v/>
      </c>
      <c r="O1344" s="1" t="str">
        <f aca="false">IF(OR(C1344="",M1344=""),"",C1344&amp;"|"&amp;COUNTIFS(C$3:C1344,C1344,M$3:M1344,"&lt;&gt;"))</f>
        <v/>
      </c>
    </row>
    <row r="1345" customFormat="false" ht="15" hidden="false" customHeight="false" outlineLevel="0" collapsed="false">
      <c r="B1345" s="7"/>
      <c r="C1345" s="5"/>
      <c r="D1345" s="9" t="str">
        <f aca="false">IF(C1345="","",IFERROR(VLOOKUP(C1345,EQUIPOS!$B$3:$C$18,2,0),"NO EXISTE"))</f>
        <v/>
      </c>
      <c r="E1345" s="9" t="str">
        <f aca="false">IF(C1345="","",IFERROR(VLOOKUP(C1345,EQUIPOS!$B$3:$F$18,5,0),""))</f>
        <v/>
      </c>
      <c r="F1345" s="5" t="str">
        <f aca="false">IF(C1345="","",IFERROR(VLOOKUP(C1345,EQUIPOS!$B$3:$G$18,6,0),""))</f>
        <v/>
      </c>
      <c r="G1345" s="8"/>
      <c r="H1345" s="5"/>
      <c r="I1345" s="5"/>
      <c r="J1345" s="9"/>
      <c r="K1345" s="17" t="str">
        <f aca="false">IF(H1345="","",IFERROR(SUMIFS(BD_PLAN!$I$3:$I$312,BD_PLAN!$B$3:$B$312,E1345,BD_PLAN!$C$3:$C$312,INDEX(BD_CICLO!$F$3:$F$54,MATCH(E1345&amp;"|"&amp;H1345,BD_CICLO!$G$3:$G$54,0))),""))</f>
        <v/>
      </c>
      <c r="L1345" s="9"/>
      <c r="M1345" s="9"/>
      <c r="N1345" s="1" t="str">
        <f aca="false">IF(C1345="","",C1345&amp;"|"&amp;COUNTIF(C$3:C1345,C1345))</f>
        <v/>
      </c>
      <c r="O1345" s="1" t="str">
        <f aca="false">IF(OR(C1345="",M1345=""),"",C1345&amp;"|"&amp;COUNTIFS(C$3:C1345,C1345,M$3:M1345,"&lt;&gt;"))</f>
        <v/>
      </c>
    </row>
    <row r="1346" customFormat="false" ht="15" hidden="false" customHeight="false" outlineLevel="0" collapsed="false">
      <c r="B1346" s="7"/>
      <c r="C1346" s="5"/>
      <c r="D1346" s="9" t="str">
        <f aca="false">IF(C1346="","",IFERROR(VLOOKUP(C1346,EQUIPOS!$B$3:$C$18,2,0),"NO EXISTE"))</f>
        <v/>
      </c>
      <c r="E1346" s="9" t="str">
        <f aca="false">IF(C1346="","",IFERROR(VLOOKUP(C1346,EQUIPOS!$B$3:$F$18,5,0),""))</f>
        <v/>
      </c>
      <c r="F1346" s="5" t="str">
        <f aca="false">IF(C1346="","",IFERROR(VLOOKUP(C1346,EQUIPOS!$B$3:$G$18,6,0),""))</f>
        <v/>
      </c>
      <c r="G1346" s="8"/>
      <c r="H1346" s="5"/>
      <c r="I1346" s="5"/>
      <c r="J1346" s="9"/>
      <c r="K1346" s="17" t="str">
        <f aca="false">IF(H1346="","",IFERROR(SUMIFS(BD_PLAN!$I$3:$I$312,BD_PLAN!$B$3:$B$312,E1346,BD_PLAN!$C$3:$C$312,INDEX(BD_CICLO!$F$3:$F$54,MATCH(E1346&amp;"|"&amp;H1346,BD_CICLO!$G$3:$G$54,0))),""))</f>
        <v/>
      </c>
      <c r="L1346" s="9"/>
      <c r="M1346" s="9"/>
      <c r="N1346" s="1" t="str">
        <f aca="false">IF(C1346="","",C1346&amp;"|"&amp;COUNTIF(C$3:C1346,C1346))</f>
        <v/>
      </c>
      <c r="O1346" s="1" t="str">
        <f aca="false">IF(OR(C1346="",M1346=""),"",C1346&amp;"|"&amp;COUNTIFS(C$3:C1346,C1346,M$3:M1346,"&lt;&gt;"))</f>
        <v/>
      </c>
    </row>
    <row r="1347" customFormat="false" ht="15" hidden="false" customHeight="false" outlineLevel="0" collapsed="false">
      <c r="B1347" s="7"/>
      <c r="C1347" s="5"/>
      <c r="D1347" s="9" t="str">
        <f aca="false">IF(C1347="","",IFERROR(VLOOKUP(C1347,EQUIPOS!$B$3:$C$18,2,0),"NO EXISTE"))</f>
        <v/>
      </c>
      <c r="E1347" s="9" t="str">
        <f aca="false">IF(C1347="","",IFERROR(VLOOKUP(C1347,EQUIPOS!$B$3:$F$18,5,0),""))</f>
        <v/>
      </c>
      <c r="F1347" s="5" t="str">
        <f aca="false">IF(C1347="","",IFERROR(VLOOKUP(C1347,EQUIPOS!$B$3:$G$18,6,0),""))</f>
        <v/>
      </c>
      <c r="G1347" s="8"/>
      <c r="H1347" s="5"/>
      <c r="I1347" s="5"/>
      <c r="J1347" s="9"/>
      <c r="K1347" s="17" t="str">
        <f aca="false">IF(H1347="","",IFERROR(SUMIFS(BD_PLAN!$I$3:$I$312,BD_PLAN!$B$3:$B$312,E1347,BD_PLAN!$C$3:$C$312,INDEX(BD_CICLO!$F$3:$F$54,MATCH(E1347&amp;"|"&amp;H1347,BD_CICLO!$G$3:$G$54,0))),""))</f>
        <v/>
      </c>
      <c r="L1347" s="9"/>
      <c r="M1347" s="9"/>
      <c r="N1347" s="1" t="str">
        <f aca="false">IF(C1347="","",C1347&amp;"|"&amp;COUNTIF(C$3:C1347,C1347))</f>
        <v/>
      </c>
      <c r="O1347" s="1" t="str">
        <f aca="false">IF(OR(C1347="",M1347=""),"",C1347&amp;"|"&amp;COUNTIFS(C$3:C1347,C1347,M$3:M1347,"&lt;&gt;"))</f>
        <v/>
      </c>
    </row>
    <row r="1348" customFormat="false" ht="15" hidden="false" customHeight="false" outlineLevel="0" collapsed="false">
      <c r="B1348" s="7"/>
      <c r="C1348" s="5"/>
      <c r="D1348" s="9" t="str">
        <f aca="false">IF(C1348="","",IFERROR(VLOOKUP(C1348,EQUIPOS!$B$3:$C$18,2,0),"NO EXISTE"))</f>
        <v/>
      </c>
      <c r="E1348" s="9" t="str">
        <f aca="false">IF(C1348="","",IFERROR(VLOOKUP(C1348,EQUIPOS!$B$3:$F$18,5,0),""))</f>
        <v/>
      </c>
      <c r="F1348" s="5" t="str">
        <f aca="false">IF(C1348="","",IFERROR(VLOOKUP(C1348,EQUIPOS!$B$3:$G$18,6,0),""))</f>
        <v/>
      </c>
      <c r="G1348" s="8"/>
      <c r="H1348" s="5"/>
      <c r="I1348" s="5"/>
      <c r="J1348" s="9"/>
      <c r="K1348" s="17" t="str">
        <f aca="false">IF(H1348="","",IFERROR(SUMIFS(BD_PLAN!$I$3:$I$312,BD_PLAN!$B$3:$B$312,E1348,BD_PLAN!$C$3:$C$312,INDEX(BD_CICLO!$F$3:$F$54,MATCH(E1348&amp;"|"&amp;H1348,BD_CICLO!$G$3:$G$54,0))),""))</f>
        <v/>
      </c>
      <c r="L1348" s="9"/>
      <c r="M1348" s="9"/>
      <c r="N1348" s="1" t="str">
        <f aca="false">IF(C1348="","",C1348&amp;"|"&amp;COUNTIF(C$3:C1348,C1348))</f>
        <v/>
      </c>
      <c r="O1348" s="1" t="str">
        <f aca="false">IF(OR(C1348="",M1348=""),"",C1348&amp;"|"&amp;COUNTIFS(C$3:C1348,C1348,M$3:M1348,"&lt;&gt;"))</f>
        <v/>
      </c>
    </row>
    <row r="1349" customFormat="false" ht="15" hidden="false" customHeight="false" outlineLevel="0" collapsed="false">
      <c r="B1349" s="7"/>
      <c r="C1349" s="5"/>
      <c r="D1349" s="9" t="str">
        <f aca="false">IF(C1349="","",IFERROR(VLOOKUP(C1349,EQUIPOS!$B$3:$C$18,2,0),"NO EXISTE"))</f>
        <v/>
      </c>
      <c r="E1349" s="9" t="str">
        <f aca="false">IF(C1349="","",IFERROR(VLOOKUP(C1349,EQUIPOS!$B$3:$F$18,5,0),""))</f>
        <v/>
      </c>
      <c r="F1349" s="5" t="str">
        <f aca="false">IF(C1349="","",IFERROR(VLOOKUP(C1349,EQUIPOS!$B$3:$G$18,6,0),""))</f>
        <v/>
      </c>
      <c r="G1349" s="8"/>
      <c r="H1349" s="5"/>
      <c r="I1349" s="5"/>
      <c r="J1349" s="9"/>
      <c r="K1349" s="17" t="str">
        <f aca="false">IF(H1349="","",IFERROR(SUMIFS(BD_PLAN!$I$3:$I$312,BD_PLAN!$B$3:$B$312,E1349,BD_PLAN!$C$3:$C$312,INDEX(BD_CICLO!$F$3:$F$54,MATCH(E1349&amp;"|"&amp;H1349,BD_CICLO!$G$3:$G$54,0))),""))</f>
        <v/>
      </c>
      <c r="L1349" s="9"/>
      <c r="M1349" s="9"/>
      <c r="N1349" s="1" t="str">
        <f aca="false">IF(C1349="","",C1349&amp;"|"&amp;COUNTIF(C$3:C1349,C1349))</f>
        <v/>
      </c>
      <c r="O1349" s="1" t="str">
        <f aca="false">IF(OR(C1349="",M1349=""),"",C1349&amp;"|"&amp;COUNTIFS(C$3:C1349,C1349,M$3:M1349,"&lt;&gt;"))</f>
        <v/>
      </c>
    </row>
    <row r="1350" customFormat="false" ht="15" hidden="false" customHeight="false" outlineLevel="0" collapsed="false">
      <c r="B1350" s="7"/>
      <c r="C1350" s="5"/>
      <c r="D1350" s="9" t="str">
        <f aca="false">IF(C1350="","",IFERROR(VLOOKUP(C1350,EQUIPOS!$B$3:$C$18,2,0),"NO EXISTE"))</f>
        <v/>
      </c>
      <c r="E1350" s="9" t="str">
        <f aca="false">IF(C1350="","",IFERROR(VLOOKUP(C1350,EQUIPOS!$B$3:$F$18,5,0),""))</f>
        <v/>
      </c>
      <c r="F1350" s="5" t="str">
        <f aca="false">IF(C1350="","",IFERROR(VLOOKUP(C1350,EQUIPOS!$B$3:$G$18,6,0),""))</f>
        <v/>
      </c>
      <c r="G1350" s="8"/>
      <c r="H1350" s="5"/>
      <c r="I1350" s="5"/>
      <c r="J1350" s="9"/>
      <c r="K1350" s="17" t="str">
        <f aca="false">IF(H1350="","",IFERROR(SUMIFS(BD_PLAN!$I$3:$I$312,BD_PLAN!$B$3:$B$312,E1350,BD_PLAN!$C$3:$C$312,INDEX(BD_CICLO!$F$3:$F$54,MATCH(E1350&amp;"|"&amp;H1350,BD_CICLO!$G$3:$G$54,0))),""))</f>
        <v/>
      </c>
      <c r="L1350" s="9"/>
      <c r="M1350" s="9"/>
      <c r="N1350" s="1" t="str">
        <f aca="false">IF(C1350="","",C1350&amp;"|"&amp;COUNTIF(C$3:C1350,C1350))</f>
        <v/>
      </c>
      <c r="O1350" s="1" t="str">
        <f aca="false">IF(OR(C1350="",M1350=""),"",C1350&amp;"|"&amp;COUNTIFS(C$3:C1350,C1350,M$3:M1350,"&lt;&gt;"))</f>
        <v/>
      </c>
    </row>
    <row r="1351" customFormat="false" ht="15" hidden="false" customHeight="false" outlineLevel="0" collapsed="false">
      <c r="B1351" s="7"/>
      <c r="C1351" s="5"/>
      <c r="D1351" s="9" t="str">
        <f aca="false">IF(C1351="","",IFERROR(VLOOKUP(C1351,EQUIPOS!$B$3:$C$18,2,0),"NO EXISTE"))</f>
        <v/>
      </c>
      <c r="E1351" s="9" t="str">
        <f aca="false">IF(C1351="","",IFERROR(VLOOKUP(C1351,EQUIPOS!$B$3:$F$18,5,0),""))</f>
        <v/>
      </c>
      <c r="F1351" s="5" t="str">
        <f aca="false">IF(C1351="","",IFERROR(VLOOKUP(C1351,EQUIPOS!$B$3:$G$18,6,0),""))</f>
        <v/>
      </c>
      <c r="G1351" s="8"/>
      <c r="H1351" s="5"/>
      <c r="I1351" s="5"/>
      <c r="J1351" s="9"/>
      <c r="K1351" s="17" t="str">
        <f aca="false">IF(H1351="","",IFERROR(SUMIFS(BD_PLAN!$I$3:$I$312,BD_PLAN!$B$3:$B$312,E1351,BD_PLAN!$C$3:$C$312,INDEX(BD_CICLO!$F$3:$F$54,MATCH(E1351&amp;"|"&amp;H1351,BD_CICLO!$G$3:$G$54,0))),""))</f>
        <v/>
      </c>
      <c r="L1351" s="9"/>
      <c r="M1351" s="9"/>
      <c r="N1351" s="1" t="str">
        <f aca="false">IF(C1351="","",C1351&amp;"|"&amp;COUNTIF(C$3:C1351,C1351))</f>
        <v/>
      </c>
      <c r="O1351" s="1" t="str">
        <f aca="false">IF(OR(C1351="",M1351=""),"",C1351&amp;"|"&amp;COUNTIFS(C$3:C1351,C1351,M$3:M1351,"&lt;&gt;"))</f>
        <v/>
      </c>
    </row>
    <row r="1352" customFormat="false" ht="15" hidden="false" customHeight="false" outlineLevel="0" collapsed="false">
      <c r="B1352" s="7"/>
      <c r="C1352" s="5"/>
      <c r="D1352" s="9" t="str">
        <f aca="false">IF(C1352="","",IFERROR(VLOOKUP(C1352,EQUIPOS!$B$3:$C$18,2,0),"NO EXISTE"))</f>
        <v/>
      </c>
      <c r="E1352" s="9" t="str">
        <f aca="false">IF(C1352="","",IFERROR(VLOOKUP(C1352,EQUIPOS!$B$3:$F$18,5,0),""))</f>
        <v/>
      </c>
      <c r="F1352" s="5" t="str">
        <f aca="false">IF(C1352="","",IFERROR(VLOOKUP(C1352,EQUIPOS!$B$3:$G$18,6,0),""))</f>
        <v/>
      </c>
      <c r="G1352" s="8"/>
      <c r="H1352" s="5"/>
      <c r="I1352" s="5"/>
      <c r="J1352" s="9"/>
      <c r="K1352" s="17" t="str">
        <f aca="false">IF(H1352="","",IFERROR(SUMIFS(BD_PLAN!$I$3:$I$312,BD_PLAN!$B$3:$B$312,E1352,BD_PLAN!$C$3:$C$312,INDEX(BD_CICLO!$F$3:$F$54,MATCH(E1352&amp;"|"&amp;H1352,BD_CICLO!$G$3:$G$54,0))),""))</f>
        <v/>
      </c>
      <c r="L1352" s="9"/>
      <c r="M1352" s="9"/>
      <c r="N1352" s="1" t="str">
        <f aca="false">IF(C1352="","",C1352&amp;"|"&amp;COUNTIF(C$3:C1352,C1352))</f>
        <v/>
      </c>
      <c r="O1352" s="1" t="str">
        <f aca="false">IF(OR(C1352="",M1352=""),"",C1352&amp;"|"&amp;COUNTIFS(C$3:C1352,C1352,M$3:M1352,"&lt;&gt;"))</f>
        <v/>
      </c>
    </row>
    <row r="1353" customFormat="false" ht="15" hidden="false" customHeight="false" outlineLevel="0" collapsed="false">
      <c r="B1353" s="7"/>
      <c r="C1353" s="5"/>
      <c r="D1353" s="9" t="str">
        <f aca="false">IF(C1353="","",IFERROR(VLOOKUP(C1353,EQUIPOS!$B$3:$C$18,2,0),"NO EXISTE"))</f>
        <v/>
      </c>
      <c r="E1353" s="9" t="str">
        <f aca="false">IF(C1353="","",IFERROR(VLOOKUP(C1353,EQUIPOS!$B$3:$F$18,5,0),""))</f>
        <v/>
      </c>
      <c r="F1353" s="5" t="str">
        <f aca="false">IF(C1353="","",IFERROR(VLOOKUP(C1353,EQUIPOS!$B$3:$G$18,6,0),""))</f>
        <v/>
      </c>
      <c r="G1353" s="8"/>
      <c r="H1353" s="5"/>
      <c r="I1353" s="5"/>
      <c r="J1353" s="9"/>
      <c r="K1353" s="17" t="str">
        <f aca="false">IF(H1353="","",IFERROR(SUMIFS(BD_PLAN!$I$3:$I$312,BD_PLAN!$B$3:$B$312,E1353,BD_PLAN!$C$3:$C$312,INDEX(BD_CICLO!$F$3:$F$54,MATCH(E1353&amp;"|"&amp;H1353,BD_CICLO!$G$3:$G$54,0))),""))</f>
        <v/>
      </c>
      <c r="L1353" s="9"/>
      <c r="M1353" s="9"/>
      <c r="N1353" s="1" t="str">
        <f aca="false">IF(C1353="","",C1353&amp;"|"&amp;COUNTIF(C$3:C1353,C1353))</f>
        <v/>
      </c>
      <c r="O1353" s="1" t="str">
        <f aca="false">IF(OR(C1353="",M1353=""),"",C1353&amp;"|"&amp;COUNTIFS(C$3:C1353,C1353,M$3:M1353,"&lt;&gt;"))</f>
        <v/>
      </c>
    </row>
    <row r="1354" customFormat="false" ht="15" hidden="false" customHeight="false" outlineLevel="0" collapsed="false">
      <c r="B1354" s="7"/>
      <c r="C1354" s="5"/>
      <c r="D1354" s="9" t="str">
        <f aca="false">IF(C1354="","",IFERROR(VLOOKUP(C1354,EQUIPOS!$B$3:$C$18,2,0),"NO EXISTE"))</f>
        <v/>
      </c>
      <c r="E1354" s="9" t="str">
        <f aca="false">IF(C1354="","",IFERROR(VLOOKUP(C1354,EQUIPOS!$B$3:$F$18,5,0),""))</f>
        <v/>
      </c>
      <c r="F1354" s="5" t="str">
        <f aca="false">IF(C1354="","",IFERROR(VLOOKUP(C1354,EQUIPOS!$B$3:$G$18,6,0),""))</f>
        <v/>
      </c>
      <c r="G1354" s="8"/>
      <c r="H1354" s="5"/>
      <c r="I1354" s="5"/>
      <c r="J1354" s="9"/>
      <c r="K1354" s="17" t="str">
        <f aca="false">IF(H1354="","",IFERROR(SUMIFS(BD_PLAN!$I$3:$I$312,BD_PLAN!$B$3:$B$312,E1354,BD_PLAN!$C$3:$C$312,INDEX(BD_CICLO!$F$3:$F$54,MATCH(E1354&amp;"|"&amp;H1354,BD_CICLO!$G$3:$G$54,0))),""))</f>
        <v/>
      </c>
      <c r="L1354" s="9"/>
      <c r="M1354" s="9"/>
      <c r="N1354" s="1" t="str">
        <f aca="false">IF(C1354="","",C1354&amp;"|"&amp;COUNTIF(C$3:C1354,C1354))</f>
        <v/>
      </c>
      <c r="O1354" s="1" t="str">
        <f aca="false">IF(OR(C1354="",M1354=""),"",C1354&amp;"|"&amp;COUNTIFS(C$3:C1354,C1354,M$3:M1354,"&lt;&gt;"))</f>
        <v/>
      </c>
    </row>
    <row r="1355" customFormat="false" ht="15" hidden="false" customHeight="false" outlineLevel="0" collapsed="false">
      <c r="B1355" s="7"/>
      <c r="C1355" s="5"/>
      <c r="D1355" s="9" t="str">
        <f aca="false">IF(C1355="","",IFERROR(VLOOKUP(C1355,EQUIPOS!$B$3:$C$18,2,0),"NO EXISTE"))</f>
        <v/>
      </c>
      <c r="E1355" s="9" t="str">
        <f aca="false">IF(C1355="","",IFERROR(VLOOKUP(C1355,EQUIPOS!$B$3:$F$18,5,0),""))</f>
        <v/>
      </c>
      <c r="F1355" s="5" t="str">
        <f aca="false">IF(C1355="","",IFERROR(VLOOKUP(C1355,EQUIPOS!$B$3:$G$18,6,0),""))</f>
        <v/>
      </c>
      <c r="G1355" s="8"/>
      <c r="H1355" s="5"/>
      <c r="I1355" s="5"/>
      <c r="J1355" s="9"/>
      <c r="K1355" s="17" t="str">
        <f aca="false">IF(H1355="","",IFERROR(SUMIFS(BD_PLAN!$I$3:$I$312,BD_PLAN!$B$3:$B$312,E1355,BD_PLAN!$C$3:$C$312,INDEX(BD_CICLO!$F$3:$F$54,MATCH(E1355&amp;"|"&amp;H1355,BD_CICLO!$G$3:$G$54,0))),""))</f>
        <v/>
      </c>
      <c r="L1355" s="9"/>
      <c r="M1355" s="9"/>
      <c r="N1355" s="1" t="str">
        <f aca="false">IF(C1355="","",C1355&amp;"|"&amp;COUNTIF(C$3:C1355,C1355))</f>
        <v/>
      </c>
      <c r="O1355" s="1" t="str">
        <f aca="false">IF(OR(C1355="",M1355=""),"",C1355&amp;"|"&amp;COUNTIFS(C$3:C1355,C1355,M$3:M1355,"&lt;&gt;"))</f>
        <v/>
      </c>
    </row>
    <row r="1356" customFormat="false" ht="15" hidden="false" customHeight="false" outlineLevel="0" collapsed="false">
      <c r="B1356" s="7"/>
      <c r="C1356" s="5"/>
      <c r="D1356" s="9" t="str">
        <f aca="false">IF(C1356="","",IFERROR(VLOOKUP(C1356,EQUIPOS!$B$3:$C$18,2,0),"NO EXISTE"))</f>
        <v/>
      </c>
      <c r="E1356" s="9" t="str">
        <f aca="false">IF(C1356="","",IFERROR(VLOOKUP(C1356,EQUIPOS!$B$3:$F$18,5,0),""))</f>
        <v/>
      </c>
      <c r="F1356" s="5" t="str">
        <f aca="false">IF(C1356="","",IFERROR(VLOOKUP(C1356,EQUIPOS!$B$3:$G$18,6,0),""))</f>
        <v/>
      </c>
      <c r="G1356" s="8"/>
      <c r="H1356" s="5"/>
      <c r="I1356" s="5"/>
      <c r="J1356" s="9"/>
      <c r="K1356" s="17" t="str">
        <f aca="false">IF(H1356="","",IFERROR(SUMIFS(BD_PLAN!$I$3:$I$312,BD_PLAN!$B$3:$B$312,E1356,BD_PLAN!$C$3:$C$312,INDEX(BD_CICLO!$F$3:$F$54,MATCH(E1356&amp;"|"&amp;H1356,BD_CICLO!$G$3:$G$54,0))),""))</f>
        <v/>
      </c>
      <c r="L1356" s="9"/>
      <c r="M1356" s="9"/>
      <c r="N1356" s="1" t="str">
        <f aca="false">IF(C1356="","",C1356&amp;"|"&amp;COUNTIF(C$3:C1356,C1356))</f>
        <v/>
      </c>
      <c r="O1356" s="1" t="str">
        <f aca="false">IF(OR(C1356="",M1356=""),"",C1356&amp;"|"&amp;COUNTIFS(C$3:C1356,C1356,M$3:M1356,"&lt;&gt;"))</f>
        <v/>
      </c>
    </row>
    <row r="1357" customFormat="false" ht="15" hidden="false" customHeight="false" outlineLevel="0" collapsed="false">
      <c r="B1357" s="7"/>
      <c r="C1357" s="5"/>
      <c r="D1357" s="9" t="str">
        <f aca="false">IF(C1357="","",IFERROR(VLOOKUP(C1357,EQUIPOS!$B$3:$C$18,2,0),"NO EXISTE"))</f>
        <v/>
      </c>
      <c r="E1357" s="9" t="str">
        <f aca="false">IF(C1357="","",IFERROR(VLOOKUP(C1357,EQUIPOS!$B$3:$F$18,5,0),""))</f>
        <v/>
      </c>
      <c r="F1357" s="5" t="str">
        <f aca="false">IF(C1357="","",IFERROR(VLOOKUP(C1357,EQUIPOS!$B$3:$G$18,6,0),""))</f>
        <v/>
      </c>
      <c r="G1357" s="8"/>
      <c r="H1357" s="5"/>
      <c r="I1357" s="5"/>
      <c r="J1357" s="9"/>
      <c r="K1357" s="17" t="str">
        <f aca="false">IF(H1357="","",IFERROR(SUMIFS(BD_PLAN!$I$3:$I$312,BD_PLAN!$B$3:$B$312,E1357,BD_PLAN!$C$3:$C$312,INDEX(BD_CICLO!$F$3:$F$54,MATCH(E1357&amp;"|"&amp;H1357,BD_CICLO!$G$3:$G$54,0))),""))</f>
        <v/>
      </c>
      <c r="L1357" s="9"/>
      <c r="M1357" s="9"/>
      <c r="N1357" s="1" t="str">
        <f aca="false">IF(C1357="","",C1357&amp;"|"&amp;COUNTIF(C$3:C1357,C1357))</f>
        <v/>
      </c>
      <c r="O1357" s="1" t="str">
        <f aca="false">IF(OR(C1357="",M1357=""),"",C1357&amp;"|"&amp;COUNTIFS(C$3:C1357,C1357,M$3:M1357,"&lt;&gt;"))</f>
        <v/>
      </c>
    </row>
    <row r="1358" customFormat="false" ht="15" hidden="false" customHeight="false" outlineLevel="0" collapsed="false">
      <c r="B1358" s="7"/>
      <c r="C1358" s="5"/>
      <c r="D1358" s="9" t="str">
        <f aca="false">IF(C1358="","",IFERROR(VLOOKUP(C1358,EQUIPOS!$B$3:$C$18,2,0),"NO EXISTE"))</f>
        <v/>
      </c>
      <c r="E1358" s="9" t="str">
        <f aca="false">IF(C1358="","",IFERROR(VLOOKUP(C1358,EQUIPOS!$B$3:$F$18,5,0),""))</f>
        <v/>
      </c>
      <c r="F1358" s="5" t="str">
        <f aca="false">IF(C1358="","",IFERROR(VLOOKUP(C1358,EQUIPOS!$B$3:$G$18,6,0),""))</f>
        <v/>
      </c>
      <c r="G1358" s="8"/>
      <c r="H1358" s="5"/>
      <c r="I1358" s="5"/>
      <c r="J1358" s="9"/>
      <c r="K1358" s="17" t="str">
        <f aca="false">IF(H1358="","",IFERROR(SUMIFS(BD_PLAN!$I$3:$I$312,BD_PLAN!$B$3:$B$312,E1358,BD_PLAN!$C$3:$C$312,INDEX(BD_CICLO!$F$3:$F$54,MATCH(E1358&amp;"|"&amp;H1358,BD_CICLO!$G$3:$G$54,0))),""))</f>
        <v/>
      </c>
      <c r="L1358" s="9"/>
      <c r="M1358" s="9"/>
      <c r="N1358" s="1" t="str">
        <f aca="false">IF(C1358="","",C1358&amp;"|"&amp;COUNTIF(C$3:C1358,C1358))</f>
        <v/>
      </c>
      <c r="O1358" s="1" t="str">
        <f aca="false">IF(OR(C1358="",M1358=""),"",C1358&amp;"|"&amp;COUNTIFS(C$3:C1358,C1358,M$3:M1358,"&lt;&gt;"))</f>
        <v/>
      </c>
    </row>
    <row r="1359" customFormat="false" ht="15" hidden="false" customHeight="false" outlineLevel="0" collapsed="false">
      <c r="B1359" s="7"/>
      <c r="C1359" s="5"/>
      <c r="D1359" s="9" t="str">
        <f aca="false">IF(C1359="","",IFERROR(VLOOKUP(C1359,EQUIPOS!$B$3:$C$18,2,0),"NO EXISTE"))</f>
        <v/>
      </c>
      <c r="E1359" s="9" t="str">
        <f aca="false">IF(C1359="","",IFERROR(VLOOKUP(C1359,EQUIPOS!$B$3:$F$18,5,0),""))</f>
        <v/>
      </c>
      <c r="F1359" s="5" t="str">
        <f aca="false">IF(C1359="","",IFERROR(VLOOKUP(C1359,EQUIPOS!$B$3:$G$18,6,0),""))</f>
        <v/>
      </c>
      <c r="G1359" s="8"/>
      <c r="H1359" s="5"/>
      <c r="I1359" s="5"/>
      <c r="J1359" s="9"/>
      <c r="K1359" s="17" t="str">
        <f aca="false">IF(H1359="","",IFERROR(SUMIFS(BD_PLAN!$I$3:$I$312,BD_PLAN!$B$3:$B$312,E1359,BD_PLAN!$C$3:$C$312,INDEX(BD_CICLO!$F$3:$F$54,MATCH(E1359&amp;"|"&amp;H1359,BD_CICLO!$G$3:$G$54,0))),""))</f>
        <v/>
      </c>
      <c r="L1359" s="9"/>
      <c r="M1359" s="9"/>
      <c r="N1359" s="1" t="str">
        <f aca="false">IF(C1359="","",C1359&amp;"|"&amp;COUNTIF(C$3:C1359,C1359))</f>
        <v/>
      </c>
      <c r="O1359" s="1" t="str">
        <f aca="false">IF(OR(C1359="",M1359=""),"",C1359&amp;"|"&amp;COUNTIFS(C$3:C1359,C1359,M$3:M1359,"&lt;&gt;"))</f>
        <v/>
      </c>
    </row>
    <row r="1360" customFormat="false" ht="15" hidden="false" customHeight="false" outlineLevel="0" collapsed="false">
      <c r="B1360" s="7"/>
      <c r="C1360" s="5"/>
      <c r="D1360" s="9" t="str">
        <f aca="false">IF(C1360="","",IFERROR(VLOOKUP(C1360,EQUIPOS!$B$3:$C$18,2,0),"NO EXISTE"))</f>
        <v/>
      </c>
      <c r="E1360" s="9" t="str">
        <f aca="false">IF(C1360="","",IFERROR(VLOOKUP(C1360,EQUIPOS!$B$3:$F$18,5,0),""))</f>
        <v/>
      </c>
      <c r="F1360" s="5" t="str">
        <f aca="false">IF(C1360="","",IFERROR(VLOOKUP(C1360,EQUIPOS!$B$3:$G$18,6,0),""))</f>
        <v/>
      </c>
      <c r="G1360" s="8"/>
      <c r="H1360" s="5"/>
      <c r="I1360" s="5"/>
      <c r="J1360" s="9"/>
      <c r="K1360" s="17" t="str">
        <f aca="false">IF(H1360="","",IFERROR(SUMIFS(BD_PLAN!$I$3:$I$312,BD_PLAN!$B$3:$B$312,E1360,BD_PLAN!$C$3:$C$312,INDEX(BD_CICLO!$F$3:$F$54,MATCH(E1360&amp;"|"&amp;H1360,BD_CICLO!$G$3:$G$54,0))),""))</f>
        <v/>
      </c>
      <c r="L1360" s="9"/>
      <c r="M1360" s="9"/>
      <c r="N1360" s="1" t="str">
        <f aca="false">IF(C1360="","",C1360&amp;"|"&amp;COUNTIF(C$3:C1360,C1360))</f>
        <v/>
      </c>
      <c r="O1360" s="1" t="str">
        <f aca="false">IF(OR(C1360="",M1360=""),"",C1360&amp;"|"&amp;COUNTIFS(C$3:C1360,C1360,M$3:M1360,"&lt;&gt;"))</f>
        <v/>
      </c>
    </row>
    <row r="1361" customFormat="false" ht="15" hidden="false" customHeight="false" outlineLevel="0" collapsed="false">
      <c r="B1361" s="7"/>
      <c r="C1361" s="5"/>
      <c r="D1361" s="9" t="str">
        <f aca="false">IF(C1361="","",IFERROR(VLOOKUP(C1361,EQUIPOS!$B$3:$C$18,2,0),"NO EXISTE"))</f>
        <v/>
      </c>
      <c r="E1361" s="9" t="str">
        <f aca="false">IF(C1361="","",IFERROR(VLOOKUP(C1361,EQUIPOS!$B$3:$F$18,5,0),""))</f>
        <v/>
      </c>
      <c r="F1361" s="5" t="str">
        <f aca="false">IF(C1361="","",IFERROR(VLOOKUP(C1361,EQUIPOS!$B$3:$G$18,6,0),""))</f>
        <v/>
      </c>
      <c r="G1361" s="8"/>
      <c r="H1361" s="5"/>
      <c r="I1361" s="5"/>
      <c r="J1361" s="9"/>
      <c r="K1361" s="17" t="str">
        <f aca="false">IF(H1361="","",IFERROR(SUMIFS(BD_PLAN!$I$3:$I$312,BD_PLAN!$B$3:$B$312,E1361,BD_PLAN!$C$3:$C$312,INDEX(BD_CICLO!$F$3:$F$54,MATCH(E1361&amp;"|"&amp;H1361,BD_CICLO!$G$3:$G$54,0))),""))</f>
        <v/>
      </c>
      <c r="L1361" s="9"/>
      <c r="M1361" s="9"/>
      <c r="N1361" s="1" t="str">
        <f aca="false">IF(C1361="","",C1361&amp;"|"&amp;COUNTIF(C$3:C1361,C1361))</f>
        <v/>
      </c>
      <c r="O1361" s="1" t="str">
        <f aca="false">IF(OR(C1361="",M1361=""),"",C1361&amp;"|"&amp;COUNTIFS(C$3:C1361,C1361,M$3:M1361,"&lt;&gt;"))</f>
        <v/>
      </c>
    </row>
    <row r="1362" customFormat="false" ht="15" hidden="false" customHeight="false" outlineLevel="0" collapsed="false">
      <c r="B1362" s="7"/>
      <c r="C1362" s="5"/>
      <c r="D1362" s="9" t="str">
        <f aca="false">IF(C1362="","",IFERROR(VLOOKUP(C1362,EQUIPOS!$B$3:$C$18,2,0),"NO EXISTE"))</f>
        <v/>
      </c>
      <c r="E1362" s="9" t="str">
        <f aca="false">IF(C1362="","",IFERROR(VLOOKUP(C1362,EQUIPOS!$B$3:$F$18,5,0),""))</f>
        <v/>
      </c>
      <c r="F1362" s="5" t="str">
        <f aca="false">IF(C1362="","",IFERROR(VLOOKUP(C1362,EQUIPOS!$B$3:$G$18,6,0),""))</f>
        <v/>
      </c>
      <c r="G1362" s="8"/>
      <c r="H1362" s="5"/>
      <c r="I1362" s="5"/>
      <c r="J1362" s="9"/>
      <c r="K1362" s="17" t="str">
        <f aca="false">IF(H1362="","",IFERROR(SUMIFS(BD_PLAN!$I$3:$I$312,BD_PLAN!$B$3:$B$312,E1362,BD_PLAN!$C$3:$C$312,INDEX(BD_CICLO!$F$3:$F$54,MATCH(E1362&amp;"|"&amp;H1362,BD_CICLO!$G$3:$G$54,0))),""))</f>
        <v/>
      </c>
      <c r="L1362" s="9"/>
      <c r="M1362" s="9"/>
      <c r="N1362" s="1" t="str">
        <f aca="false">IF(C1362="","",C1362&amp;"|"&amp;COUNTIF(C$3:C1362,C1362))</f>
        <v/>
      </c>
      <c r="O1362" s="1" t="str">
        <f aca="false">IF(OR(C1362="",M1362=""),"",C1362&amp;"|"&amp;COUNTIFS(C$3:C1362,C1362,M$3:M1362,"&lt;&gt;"))</f>
        <v/>
      </c>
    </row>
    <row r="1363" customFormat="false" ht="15" hidden="false" customHeight="false" outlineLevel="0" collapsed="false">
      <c r="B1363" s="7"/>
      <c r="C1363" s="5"/>
      <c r="D1363" s="9" t="str">
        <f aca="false">IF(C1363="","",IFERROR(VLOOKUP(C1363,EQUIPOS!$B$3:$C$18,2,0),"NO EXISTE"))</f>
        <v/>
      </c>
      <c r="E1363" s="9" t="str">
        <f aca="false">IF(C1363="","",IFERROR(VLOOKUP(C1363,EQUIPOS!$B$3:$F$18,5,0),""))</f>
        <v/>
      </c>
      <c r="F1363" s="5" t="str">
        <f aca="false">IF(C1363="","",IFERROR(VLOOKUP(C1363,EQUIPOS!$B$3:$G$18,6,0),""))</f>
        <v/>
      </c>
      <c r="G1363" s="8"/>
      <c r="H1363" s="5"/>
      <c r="I1363" s="5"/>
      <c r="J1363" s="9"/>
      <c r="K1363" s="17" t="str">
        <f aca="false">IF(H1363="","",IFERROR(SUMIFS(BD_PLAN!$I$3:$I$312,BD_PLAN!$B$3:$B$312,E1363,BD_PLAN!$C$3:$C$312,INDEX(BD_CICLO!$F$3:$F$54,MATCH(E1363&amp;"|"&amp;H1363,BD_CICLO!$G$3:$G$54,0))),""))</f>
        <v/>
      </c>
      <c r="L1363" s="9"/>
      <c r="M1363" s="9"/>
      <c r="N1363" s="1" t="str">
        <f aca="false">IF(C1363="","",C1363&amp;"|"&amp;COUNTIF(C$3:C1363,C1363))</f>
        <v/>
      </c>
      <c r="O1363" s="1" t="str">
        <f aca="false">IF(OR(C1363="",M1363=""),"",C1363&amp;"|"&amp;COUNTIFS(C$3:C1363,C1363,M$3:M1363,"&lt;&gt;"))</f>
        <v/>
      </c>
    </row>
    <row r="1364" customFormat="false" ht="15" hidden="false" customHeight="false" outlineLevel="0" collapsed="false">
      <c r="B1364" s="7"/>
      <c r="C1364" s="5"/>
      <c r="D1364" s="9" t="str">
        <f aca="false">IF(C1364="","",IFERROR(VLOOKUP(C1364,EQUIPOS!$B$3:$C$18,2,0),"NO EXISTE"))</f>
        <v/>
      </c>
      <c r="E1364" s="9" t="str">
        <f aca="false">IF(C1364="","",IFERROR(VLOOKUP(C1364,EQUIPOS!$B$3:$F$18,5,0),""))</f>
        <v/>
      </c>
      <c r="F1364" s="5" t="str">
        <f aca="false">IF(C1364="","",IFERROR(VLOOKUP(C1364,EQUIPOS!$B$3:$G$18,6,0),""))</f>
        <v/>
      </c>
      <c r="G1364" s="8"/>
      <c r="H1364" s="5"/>
      <c r="I1364" s="5"/>
      <c r="J1364" s="9"/>
      <c r="K1364" s="17" t="str">
        <f aca="false">IF(H1364="","",IFERROR(SUMIFS(BD_PLAN!$I$3:$I$312,BD_PLAN!$B$3:$B$312,E1364,BD_PLAN!$C$3:$C$312,INDEX(BD_CICLO!$F$3:$F$54,MATCH(E1364&amp;"|"&amp;H1364,BD_CICLO!$G$3:$G$54,0))),""))</f>
        <v/>
      </c>
      <c r="L1364" s="9"/>
      <c r="M1364" s="9"/>
      <c r="N1364" s="1" t="str">
        <f aca="false">IF(C1364="","",C1364&amp;"|"&amp;COUNTIF(C$3:C1364,C1364))</f>
        <v/>
      </c>
      <c r="O1364" s="1" t="str">
        <f aca="false">IF(OR(C1364="",M1364=""),"",C1364&amp;"|"&amp;COUNTIFS(C$3:C1364,C1364,M$3:M1364,"&lt;&gt;"))</f>
        <v/>
      </c>
    </row>
    <row r="1365" customFormat="false" ht="15" hidden="false" customHeight="false" outlineLevel="0" collapsed="false">
      <c r="B1365" s="7"/>
      <c r="C1365" s="5"/>
      <c r="D1365" s="9" t="str">
        <f aca="false">IF(C1365="","",IFERROR(VLOOKUP(C1365,EQUIPOS!$B$3:$C$18,2,0),"NO EXISTE"))</f>
        <v/>
      </c>
      <c r="E1365" s="9" t="str">
        <f aca="false">IF(C1365="","",IFERROR(VLOOKUP(C1365,EQUIPOS!$B$3:$F$18,5,0),""))</f>
        <v/>
      </c>
      <c r="F1365" s="5" t="str">
        <f aca="false">IF(C1365="","",IFERROR(VLOOKUP(C1365,EQUIPOS!$B$3:$G$18,6,0),""))</f>
        <v/>
      </c>
      <c r="G1365" s="8"/>
      <c r="H1365" s="5"/>
      <c r="I1365" s="5"/>
      <c r="J1365" s="9"/>
      <c r="K1365" s="17" t="str">
        <f aca="false">IF(H1365="","",IFERROR(SUMIFS(BD_PLAN!$I$3:$I$312,BD_PLAN!$B$3:$B$312,E1365,BD_PLAN!$C$3:$C$312,INDEX(BD_CICLO!$F$3:$F$54,MATCH(E1365&amp;"|"&amp;H1365,BD_CICLO!$G$3:$G$54,0))),""))</f>
        <v/>
      </c>
      <c r="L1365" s="9"/>
      <c r="M1365" s="9"/>
      <c r="N1365" s="1" t="str">
        <f aca="false">IF(C1365="","",C1365&amp;"|"&amp;COUNTIF(C$3:C1365,C1365))</f>
        <v/>
      </c>
      <c r="O1365" s="1" t="str">
        <f aca="false">IF(OR(C1365="",M1365=""),"",C1365&amp;"|"&amp;COUNTIFS(C$3:C1365,C1365,M$3:M1365,"&lt;&gt;"))</f>
        <v/>
      </c>
    </row>
    <row r="1366" customFormat="false" ht="15" hidden="false" customHeight="false" outlineLevel="0" collapsed="false">
      <c r="B1366" s="7"/>
      <c r="C1366" s="5"/>
      <c r="D1366" s="9" t="str">
        <f aca="false">IF(C1366="","",IFERROR(VLOOKUP(C1366,EQUIPOS!$B$3:$C$18,2,0),"NO EXISTE"))</f>
        <v/>
      </c>
      <c r="E1366" s="9" t="str">
        <f aca="false">IF(C1366="","",IFERROR(VLOOKUP(C1366,EQUIPOS!$B$3:$F$18,5,0),""))</f>
        <v/>
      </c>
      <c r="F1366" s="5" t="str">
        <f aca="false">IF(C1366="","",IFERROR(VLOOKUP(C1366,EQUIPOS!$B$3:$G$18,6,0),""))</f>
        <v/>
      </c>
      <c r="G1366" s="8"/>
      <c r="H1366" s="5"/>
      <c r="I1366" s="5"/>
      <c r="J1366" s="9"/>
      <c r="K1366" s="17" t="str">
        <f aca="false">IF(H1366="","",IFERROR(SUMIFS(BD_PLAN!$I$3:$I$312,BD_PLAN!$B$3:$B$312,E1366,BD_PLAN!$C$3:$C$312,INDEX(BD_CICLO!$F$3:$F$54,MATCH(E1366&amp;"|"&amp;H1366,BD_CICLO!$G$3:$G$54,0))),""))</f>
        <v/>
      </c>
      <c r="L1366" s="9"/>
      <c r="M1366" s="9"/>
      <c r="N1366" s="1" t="str">
        <f aca="false">IF(C1366="","",C1366&amp;"|"&amp;COUNTIF(C$3:C1366,C1366))</f>
        <v/>
      </c>
      <c r="O1366" s="1" t="str">
        <f aca="false">IF(OR(C1366="",M1366=""),"",C1366&amp;"|"&amp;COUNTIFS(C$3:C1366,C1366,M$3:M1366,"&lt;&gt;"))</f>
        <v/>
      </c>
    </row>
    <row r="1367" customFormat="false" ht="15" hidden="false" customHeight="false" outlineLevel="0" collapsed="false">
      <c r="B1367" s="7"/>
      <c r="C1367" s="5"/>
      <c r="D1367" s="9" t="str">
        <f aca="false">IF(C1367="","",IFERROR(VLOOKUP(C1367,EQUIPOS!$B$3:$C$18,2,0),"NO EXISTE"))</f>
        <v/>
      </c>
      <c r="E1367" s="9" t="str">
        <f aca="false">IF(C1367="","",IFERROR(VLOOKUP(C1367,EQUIPOS!$B$3:$F$18,5,0),""))</f>
        <v/>
      </c>
      <c r="F1367" s="5" t="str">
        <f aca="false">IF(C1367="","",IFERROR(VLOOKUP(C1367,EQUIPOS!$B$3:$G$18,6,0),""))</f>
        <v/>
      </c>
      <c r="G1367" s="8"/>
      <c r="H1367" s="5"/>
      <c r="I1367" s="5"/>
      <c r="J1367" s="9"/>
      <c r="K1367" s="17" t="str">
        <f aca="false">IF(H1367="","",IFERROR(SUMIFS(BD_PLAN!$I$3:$I$312,BD_PLAN!$B$3:$B$312,E1367,BD_PLAN!$C$3:$C$312,INDEX(BD_CICLO!$F$3:$F$54,MATCH(E1367&amp;"|"&amp;H1367,BD_CICLO!$G$3:$G$54,0))),""))</f>
        <v/>
      </c>
      <c r="L1367" s="9"/>
      <c r="M1367" s="9"/>
      <c r="N1367" s="1" t="str">
        <f aca="false">IF(C1367="","",C1367&amp;"|"&amp;COUNTIF(C$3:C1367,C1367))</f>
        <v/>
      </c>
      <c r="O1367" s="1" t="str">
        <f aca="false">IF(OR(C1367="",M1367=""),"",C1367&amp;"|"&amp;COUNTIFS(C$3:C1367,C1367,M$3:M1367,"&lt;&gt;"))</f>
        <v/>
      </c>
    </row>
    <row r="1368" customFormat="false" ht="15" hidden="false" customHeight="false" outlineLevel="0" collapsed="false">
      <c r="B1368" s="7"/>
      <c r="C1368" s="5"/>
      <c r="D1368" s="9" t="str">
        <f aca="false">IF(C1368="","",IFERROR(VLOOKUP(C1368,EQUIPOS!$B$3:$C$18,2,0),"NO EXISTE"))</f>
        <v/>
      </c>
      <c r="E1368" s="9" t="str">
        <f aca="false">IF(C1368="","",IFERROR(VLOOKUP(C1368,EQUIPOS!$B$3:$F$18,5,0),""))</f>
        <v/>
      </c>
      <c r="F1368" s="5" t="str">
        <f aca="false">IF(C1368="","",IFERROR(VLOOKUP(C1368,EQUIPOS!$B$3:$G$18,6,0),""))</f>
        <v/>
      </c>
      <c r="G1368" s="8"/>
      <c r="H1368" s="5"/>
      <c r="I1368" s="5"/>
      <c r="J1368" s="9"/>
      <c r="K1368" s="17" t="str">
        <f aca="false">IF(H1368="","",IFERROR(SUMIFS(BD_PLAN!$I$3:$I$312,BD_PLAN!$B$3:$B$312,E1368,BD_PLAN!$C$3:$C$312,INDEX(BD_CICLO!$F$3:$F$54,MATCH(E1368&amp;"|"&amp;H1368,BD_CICLO!$G$3:$G$54,0))),""))</f>
        <v/>
      </c>
      <c r="L1368" s="9"/>
      <c r="M1368" s="9"/>
      <c r="N1368" s="1" t="str">
        <f aca="false">IF(C1368="","",C1368&amp;"|"&amp;COUNTIF(C$3:C1368,C1368))</f>
        <v/>
      </c>
      <c r="O1368" s="1" t="str">
        <f aca="false">IF(OR(C1368="",M1368=""),"",C1368&amp;"|"&amp;COUNTIFS(C$3:C1368,C1368,M$3:M1368,"&lt;&gt;"))</f>
        <v/>
      </c>
    </row>
    <row r="1369" customFormat="false" ht="15" hidden="false" customHeight="false" outlineLevel="0" collapsed="false">
      <c r="B1369" s="7"/>
      <c r="C1369" s="5"/>
      <c r="D1369" s="9" t="str">
        <f aca="false">IF(C1369="","",IFERROR(VLOOKUP(C1369,EQUIPOS!$B$3:$C$18,2,0),"NO EXISTE"))</f>
        <v/>
      </c>
      <c r="E1369" s="9" t="str">
        <f aca="false">IF(C1369="","",IFERROR(VLOOKUP(C1369,EQUIPOS!$B$3:$F$18,5,0),""))</f>
        <v/>
      </c>
      <c r="F1369" s="5" t="str">
        <f aca="false">IF(C1369="","",IFERROR(VLOOKUP(C1369,EQUIPOS!$B$3:$G$18,6,0),""))</f>
        <v/>
      </c>
      <c r="G1369" s="8"/>
      <c r="H1369" s="5"/>
      <c r="I1369" s="5"/>
      <c r="J1369" s="9"/>
      <c r="K1369" s="17" t="str">
        <f aca="false">IF(H1369="","",IFERROR(SUMIFS(BD_PLAN!$I$3:$I$312,BD_PLAN!$B$3:$B$312,E1369,BD_PLAN!$C$3:$C$312,INDEX(BD_CICLO!$F$3:$F$54,MATCH(E1369&amp;"|"&amp;H1369,BD_CICLO!$G$3:$G$54,0))),""))</f>
        <v/>
      </c>
      <c r="L1369" s="9"/>
      <c r="M1369" s="9"/>
      <c r="N1369" s="1" t="str">
        <f aca="false">IF(C1369="","",C1369&amp;"|"&amp;COUNTIF(C$3:C1369,C1369))</f>
        <v/>
      </c>
      <c r="O1369" s="1" t="str">
        <f aca="false">IF(OR(C1369="",M1369=""),"",C1369&amp;"|"&amp;COUNTIFS(C$3:C1369,C1369,M$3:M1369,"&lt;&gt;"))</f>
        <v/>
      </c>
    </row>
    <row r="1370" customFormat="false" ht="15" hidden="false" customHeight="false" outlineLevel="0" collapsed="false">
      <c r="B1370" s="7"/>
      <c r="C1370" s="5"/>
      <c r="D1370" s="9" t="str">
        <f aca="false">IF(C1370="","",IFERROR(VLOOKUP(C1370,EQUIPOS!$B$3:$C$18,2,0),"NO EXISTE"))</f>
        <v/>
      </c>
      <c r="E1370" s="9" t="str">
        <f aca="false">IF(C1370="","",IFERROR(VLOOKUP(C1370,EQUIPOS!$B$3:$F$18,5,0),""))</f>
        <v/>
      </c>
      <c r="F1370" s="5" t="str">
        <f aca="false">IF(C1370="","",IFERROR(VLOOKUP(C1370,EQUIPOS!$B$3:$G$18,6,0),""))</f>
        <v/>
      </c>
      <c r="G1370" s="8"/>
      <c r="H1370" s="5"/>
      <c r="I1370" s="5"/>
      <c r="J1370" s="9"/>
      <c r="K1370" s="17" t="str">
        <f aca="false">IF(H1370="","",IFERROR(SUMIFS(BD_PLAN!$I$3:$I$312,BD_PLAN!$B$3:$B$312,E1370,BD_PLAN!$C$3:$C$312,INDEX(BD_CICLO!$F$3:$F$54,MATCH(E1370&amp;"|"&amp;H1370,BD_CICLO!$G$3:$G$54,0))),""))</f>
        <v/>
      </c>
      <c r="L1370" s="9"/>
      <c r="M1370" s="9"/>
      <c r="N1370" s="1" t="str">
        <f aca="false">IF(C1370="","",C1370&amp;"|"&amp;COUNTIF(C$3:C1370,C1370))</f>
        <v/>
      </c>
      <c r="O1370" s="1" t="str">
        <f aca="false">IF(OR(C1370="",M1370=""),"",C1370&amp;"|"&amp;COUNTIFS(C$3:C1370,C1370,M$3:M1370,"&lt;&gt;"))</f>
        <v/>
      </c>
    </row>
    <row r="1371" customFormat="false" ht="15" hidden="false" customHeight="false" outlineLevel="0" collapsed="false">
      <c r="B1371" s="7"/>
      <c r="C1371" s="5"/>
      <c r="D1371" s="9" t="str">
        <f aca="false">IF(C1371="","",IFERROR(VLOOKUP(C1371,EQUIPOS!$B$3:$C$18,2,0),"NO EXISTE"))</f>
        <v/>
      </c>
      <c r="E1371" s="9" t="str">
        <f aca="false">IF(C1371="","",IFERROR(VLOOKUP(C1371,EQUIPOS!$B$3:$F$18,5,0),""))</f>
        <v/>
      </c>
      <c r="F1371" s="5" t="str">
        <f aca="false">IF(C1371="","",IFERROR(VLOOKUP(C1371,EQUIPOS!$B$3:$G$18,6,0),""))</f>
        <v/>
      </c>
      <c r="G1371" s="8"/>
      <c r="H1371" s="5"/>
      <c r="I1371" s="5"/>
      <c r="J1371" s="9"/>
      <c r="K1371" s="17" t="str">
        <f aca="false">IF(H1371="","",IFERROR(SUMIFS(BD_PLAN!$I$3:$I$312,BD_PLAN!$B$3:$B$312,E1371,BD_PLAN!$C$3:$C$312,INDEX(BD_CICLO!$F$3:$F$54,MATCH(E1371&amp;"|"&amp;H1371,BD_CICLO!$G$3:$G$54,0))),""))</f>
        <v/>
      </c>
      <c r="L1371" s="9"/>
      <c r="M1371" s="9"/>
      <c r="N1371" s="1" t="str">
        <f aca="false">IF(C1371="","",C1371&amp;"|"&amp;COUNTIF(C$3:C1371,C1371))</f>
        <v/>
      </c>
      <c r="O1371" s="1" t="str">
        <f aca="false">IF(OR(C1371="",M1371=""),"",C1371&amp;"|"&amp;COUNTIFS(C$3:C1371,C1371,M$3:M1371,"&lt;&gt;"))</f>
        <v/>
      </c>
    </row>
    <row r="1372" customFormat="false" ht="15" hidden="false" customHeight="false" outlineLevel="0" collapsed="false">
      <c r="B1372" s="7"/>
      <c r="C1372" s="5"/>
      <c r="D1372" s="9" t="str">
        <f aca="false">IF(C1372="","",IFERROR(VLOOKUP(C1372,EQUIPOS!$B$3:$C$18,2,0),"NO EXISTE"))</f>
        <v/>
      </c>
      <c r="E1372" s="9" t="str">
        <f aca="false">IF(C1372="","",IFERROR(VLOOKUP(C1372,EQUIPOS!$B$3:$F$18,5,0),""))</f>
        <v/>
      </c>
      <c r="F1372" s="5" t="str">
        <f aca="false">IF(C1372="","",IFERROR(VLOOKUP(C1372,EQUIPOS!$B$3:$G$18,6,0),""))</f>
        <v/>
      </c>
      <c r="G1372" s="8"/>
      <c r="H1372" s="5"/>
      <c r="I1372" s="5"/>
      <c r="J1372" s="9"/>
      <c r="K1372" s="17" t="str">
        <f aca="false">IF(H1372="","",IFERROR(SUMIFS(BD_PLAN!$I$3:$I$312,BD_PLAN!$B$3:$B$312,E1372,BD_PLAN!$C$3:$C$312,INDEX(BD_CICLO!$F$3:$F$54,MATCH(E1372&amp;"|"&amp;H1372,BD_CICLO!$G$3:$G$54,0))),""))</f>
        <v/>
      </c>
      <c r="L1372" s="9"/>
      <c r="M1372" s="9"/>
      <c r="N1372" s="1" t="str">
        <f aca="false">IF(C1372="","",C1372&amp;"|"&amp;COUNTIF(C$3:C1372,C1372))</f>
        <v/>
      </c>
      <c r="O1372" s="1" t="str">
        <f aca="false">IF(OR(C1372="",M1372=""),"",C1372&amp;"|"&amp;COUNTIFS(C$3:C1372,C1372,M$3:M1372,"&lt;&gt;"))</f>
        <v/>
      </c>
    </row>
    <row r="1373" customFormat="false" ht="15" hidden="false" customHeight="false" outlineLevel="0" collapsed="false">
      <c r="B1373" s="7"/>
      <c r="C1373" s="5"/>
      <c r="D1373" s="9" t="str">
        <f aca="false">IF(C1373="","",IFERROR(VLOOKUP(C1373,EQUIPOS!$B$3:$C$18,2,0),"NO EXISTE"))</f>
        <v/>
      </c>
      <c r="E1373" s="9" t="str">
        <f aca="false">IF(C1373="","",IFERROR(VLOOKUP(C1373,EQUIPOS!$B$3:$F$18,5,0),""))</f>
        <v/>
      </c>
      <c r="F1373" s="5" t="str">
        <f aca="false">IF(C1373="","",IFERROR(VLOOKUP(C1373,EQUIPOS!$B$3:$G$18,6,0),""))</f>
        <v/>
      </c>
      <c r="G1373" s="8"/>
      <c r="H1373" s="5"/>
      <c r="I1373" s="5"/>
      <c r="J1373" s="9"/>
      <c r="K1373" s="17" t="str">
        <f aca="false">IF(H1373="","",IFERROR(SUMIFS(BD_PLAN!$I$3:$I$312,BD_PLAN!$B$3:$B$312,E1373,BD_PLAN!$C$3:$C$312,INDEX(BD_CICLO!$F$3:$F$54,MATCH(E1373&amp;"|"&amp;H1373,BD_CICLO!$G$3:$G$54,0))),""))</f>
        <v/>
      </c>
      <c r="L1373" s="9"/>
      <c r="M1373" s="9"/>
      <c r="N1373" s="1" t="str">
        <f aca="false">IF(C1373="","",C1373&amp;"|"&amp;COUNTIF(C$3:C1373,C1373))</f>
        <v/>
      </c>
      <c r="O1373" s="1" t="str">
        <f aca="false">IF(OR(C1373="",M1373=""),"",C1373&amp;"|"&amp;COUNTIFS(C$3:C1373,C1373,M$3:M1373,"&lt;&gt;"))</f>
        <v/>
      </c>
    </row>
    <row r="1374" customFormat="false" ht="15" hidden="false" customHeight="false" outlineLevel="0" collapsed="false">
      <c r="B1374" s="7"/>
      <c r="C1374" s="5"/>
      <c r="D1374" s="9" t="str">
        <f aca="false">IF(C1374="","",IFERROR(VLOOKUP(C1374,EQUIPOS!$B$3:$C$18,2,0),"NO EXISTE"))</f>
        <v/>
      </c>
      <c r="E1374" s="9" t="str">
        <f aca="false">IF(C1374="","",IFERROR(VLOOKUP(C1374,EQUIPOS!$B$3:$F$18,5,0),""))</f>
        <v/>
      </c>
      <c r="F1374" s="5" t="str">
        <f aca="false">IF(C1374="","",IFERROR(VLOOKUP(C1374,EQUIPOS!$B$3:$G$18,6,0),""))</f>
        <v/>
      </c>
      <c r="G1374" s="8"/>
      <c r="H1374" s="5"/>
      <c r="I1374" s="5"/>
      <c r="J1374" s="9"/>
      <c r="K1374" s="17" t="str">
        <f aca="false">IF(H1374="","",IFERROR(SUMIFS(BD_PLAN!$I$3:$I$312,BD_PLAN!$B$3:$B$312,E1374,BD_PLAN!$C$3:$C$312,INDEX(BD_CICLO!$F$3:$F$54,MATCH(E1374&amp;"|"&amp;H1374,BD_CICLO!$G$3:$G$54,0))),""))</f>
        <v/>
      </c>
      <c r="L1374" s="9"/>
      <c r="M1374" s="9"/>
      <c r="N1374" s="1" t="str">
        <f aca="false">IF(C1374="","",C1374&amp;"|"&amp;COUNTIF(C$3:C1374,C1374))</f>
        <v/>
      </c>
      <c r="O1374" s="1" t="str">
        <f aca="false">IF(OR(C1374="",M1374=""),"",C1374&amp;"|"&amp;COUNTIFS(C$3:C1374,C1374,M$3:M1374,"&lt;&gt;"))</f>
        <v/>
      </c>
    </row>
    <row r="1375" customFormat="false" ht="15" hidden="false" customHeight="false" outlineLevel="0" collapsed="false">
      <c r="B1375" s="7"/>
      <c r="C1375" s="5"/>
      <c r="D1375" s="9" t="str">
        <f aca="false">IF(C1375="","",IFERROR(VLOOKUP(C1375,EQUIPOS!$B$3:$C$18,2,0),"NO EXISTE"))</f>
        <v/>
      </c>
      <c r="E1375" s="9" t="str">
        <f aca="false">IF(C1375="","",IFERROR(VLOOKUP(C1375,EQUIPOS!$B$3:$F$18,5,0),""))</f>
        <v/>
      </c>
      <c r="F1375" s="5" t="str">
        <f aca="false">IF(C1375="","",IFERROR(VLOOKUP(C1375,EQUIPOS!$B$3:$G$18,6,0),""))</f>
        <v/>
      </c>
      <c r="G1375" s="8"/>
      <c r="H1375" s="5"/>
      <c r="I1375" s="5"/>
      <c r="J1375" s="9"/>
      <c r="K1375" s="17" t="str">
        <f aca="false">IF(H1375="","",IFERROR(SUMIFS(BD_PLAN!$I$3:$I$312,BD_PLAN!$B$3:$B$312,E1375,BD_PLAN!$C$3:$C$312,INDEX(BD_CICLO!$F$3:$F$54,MATCH(E1375&amp;"|"&amp;H1375,BD_CICLO!$G$3:$G$54,0))),""))</f>
        <v/>
      </c>
      <c r="L1375" s="9"/>
      <c r="M1375" s="9"/>
      <c r="N1375" s="1" t="str">
        <f aca="false">IF(C1375="","",C1375&amp;"|"&amp;COUNTIF(C$3:C1375,C1375))</f>
        <v/>
      </c>
      <c r="O1375" s="1" t="str">
        <f aca="false">IF(OR(C1375="",M1375=""),"",C1375&amp;"|"&amp;COUNTIFS(C$3:C1375,C1375,M$3:M1375,"&lt;&gt;"))</f>
        <v/>
      </c>
    </row>
    <row r="1376" customFormat="false" ht="15" hidden="false" customHeight="false" outlineLevel="0" collapsed="false">
      <c r="B1376" s="7"/>
      <c r="C1376" s="5"/>
      <c r="D1376" s="9" t="str">
        <f aca="false">IF(C1376="","",IFERROR(VLOOKUP(C1376,EQUIPOS!$B$3:$C$18,2,0),"NO EXISTE"))</f>
        <v/>
      </c>
      <c r="E1376" s="9" t="str">
        <f aca="false">IF(C1376="","",IFERROR(VLOOKUP(C1376,EQUIPOS!$B$3:$F$18,5,0),""))</f>
        <v/>
      </c>
      <c r="F1376" s="5" t="str">
        <f aca="false">IF(C1376="","",IFERROR(VLOOKUP(C1376,EQUIPOS!$B$3:$G$18,6,0),""))</f>
        <v/>
      </c>
      <c r="G1376" s="8"/>
      <c r="H1376" s="5"/>
      <c r="I1376" s="5"/>
      <c r="J1376" s="9"/>
      <c r="K1376" s="17" t="str">
        <f aca="false">IF(H1376="","",IFERROR(SUMIFS(BD_PLAN!$I$3:$I$312,BD_PLAN!$B$3:$B$312,E1376,BD_PLAN!$C$3:$C$312,INDEX(BD_CICLO!$F$3:$F$54,MATCH(E1376&amp;"|"&amp;H1376,BD_CICLO!$G$3:$G$54,0))),""))</f>
        <v/>
      </c>
      <c r="L1376" s="9"/>
      <c r="M1376" s="9"/>
      <c r="N1376" s="1" t="str">
        <f aca="false">IF(C1376="","",C1376&amp;"|"&amp;COUNTIF(C$3:C1376,C1376))</f>
        <v/>
      </c>
      <c r="O1376" s="1" t="str">
        <f aca="false">IF(OR(C1376="",M1376=""),"",C1376&amp;"|"&amp;COUNTIFS(C$3:C1376,C1376,M$3:M1376,"&lt;&gt;"))</f>
        <v/>
      </c>
    </row>
    <row r="1377" customFormat="false" ht="15" hidden="false" customHeight="false" outlineLevel="0" collapsed="false">
      <c r="B1377" s="7"/>
      <c r="C1377" s="5"/>
      <c r="D1377" s="9" t="str">
        <f aca="false">IF(C1377="","",IFERROR(VLOOKUP(C1377,EQUIPOS!$B$3:$C$18,2,0),"NO EXISTE"))</f>
        <v/>
      </c>
      <c r="E1377" s="9" t="str">
        <f aca="false">IF(C1377="","",IFERROR(VLOOKUP(C1377,EQUIPOS!$B$3:$F$18,5,0),""))</f>
        <v/>
      </c>
      <c r="F1377" s="5" t="str">
        <f aca="false">IF(C1377="","",IFERROR(VLOOKUP(C1377,EQUIPOS!$B$3:$G$18,6,0),""))</f>
        <v/>
      </c>
      <c r="G1377" s="8"/>
      <c r="H1377" s="5"/>
      <c r="I1377" s="5"/>
      <c r="J1377" s="9"/>
      <c r="K1377" s="17" t="str">
        <f aca="false">IF(H1377="","",IFERROR(SUMIFS(BD_PLAN!$I$3:$I$312,BD_PLAN!$B$3:$B$312,E1377,BD_PLAN!$C$3:$C$312,INDEX(BD_CICLO!$F$3:$F$54,MATCH(E1377&amp;"|"&amp;H1377,BD_CICLO!$G$3:$G$54,0))),""))</f>
        <v/>
      </c>
      <c r="L1377" s="9"/>
      <c r="M1377" s="9"/>
      <c r="N1377" s="1" t="str">
        <f aca="false">IF(C1377="","",C1377&amp;"|"&amp;COUNTIF(C$3:C1377,C1377))</f>
        <v/>
      </c>
      <c r="O1377" s="1" t="str">
        <f aca="false">IF(OR(C1377="",M1377=""),"",C1377&amp;"|"&amp;COUNTIFS(C$3:C1377,C1377,M$3:M1377,"&lt;&gt;"))</f>
        <v/>
      </c>
    </row>
    <row r="1378" customFormat="false" ht="15" hidden="false" customHeight="false" outlineLevel="0" collapsed="false">
      <c r="B1378" s="7"/>
      <c r="C1378" s="5"/>
      <c r="D1378" s="9" t="str">
        <f aca="false">IF(C1378="","",IFERROR(VLOOKUP(C1378,EQUIPOS!$B$3:$C$18,2,0),"NO EXISTE"))</f>
        <v/>
      </c>
      <c r="E1378" s="9" t="str">
        <f aca="false">IF(C1378="","",IFERROR(VLOOKUP(C1378,EQUIPOS!$B$3:$F$18,5,0),""))</f>
        <v/>
      </c>
      <c r="F1378" s="5" t="str">
        <f aca="false">IF(C1378="","",IFERROR(VLOOKUP(C1378,EQUIPOS!$B$3:$G$18,6,0),""))</f>
        <v/>
      </c>
      <c r="G1378" s="8"/>
      <c r="H1378" s="5"/>
      <c r="I1378" s="5"/>
      <c r="J1378" s="9"/>
      <c r="K1378" s="17" t="str">
        <f aca="false">IF(H1378="","",IFERROR(SUMIFS(BD_PLAN!$I$3:$I$312,BD_PLAN!$B$3:$B$312,E1378,BD_PLAN!$C$3:$C$312,INDEX(BD_CICLO!$F$3:$F$54,MATCH(E1378&amp;"|"&amp;H1378,BD_CICLO!$G$3:$G$54,0))),""))</f>
        <v/>
      </c>
      <c r="L1378" s="9"/>
      <c r="M1378" s="9"/>
      <c r="N1378" s="1" t="str">
        <f aca="false">IF(C1378="","",C1378&amp;"|"&amp;COUNTIF(C$3:C1378,C1378))</f>
        <v/>
      </c>
      <c r="O1378" s="1" t="str">
        <f aca="false">IF(OR(C1378="",M1378=""),"",C1378&amp;"|"&amp;COUNTIFS(C$3:C1378,C1378,M$3:M1378,"&lt;&gt;"))</f>
        <v/>
      </c>
    </row>
    <row r="1379" customFormat="false" ht="15" hidden="false" customHeight="false" outlineLevel="0" collapsed="false">
      <c r="B1379" s="7"/>
      <c r="C1379" s="5"/>
      <c r="D1379" s="9" t="str">
        <f aca="false">IF(C1379="","",IFERROR(VLOOKUP(C1379,EQUIPOS!$B$3:$C$18,2,0),"NO EXISTE"))</f>
        <v/>
      </c>
      <c r="E1379" s="9" t="str">
        <f aca="false">IF(C1379="","",IFERROR(VLOOKUP(C1379,EQUIPOS!$B$3:$F$18,5,0),""))</f>
        <v/>
      </c>
      <c r="F1379" s="5" t="str">
        <f aca="false">IF(C1379="","",IFERROR(VLOOKUP(C1379,EQUIPOS!$B$3:$G$18,6,0),""))</f>
        <v/>
      </c>
      <c r="G1379" s="8"/>
      <c r="H1379" s="5"/>
      <c r="I1379" s="5"/>
      <c r="J1379" s="9"/>
      <c r="K1379" s="17" t="str">
        <f aca="false">IF(H1379="","",IFERROR(SUMIFS(BD_PLAN!$I$3:$I$312,BD_PLAN!$B$3:$B$312,E1379,BD_PLAN!$C$3:$C$312,INDEX(BD_CICLO!$F$3:$F$54,MATCH(E1379&amp;"|"&amp;H1379,BD_CICLO!$G$3:$G$54,0))),""))</f>
        <v/>
      </c>
      <c r="L1379" s="9"/>
      <c r="M1379" s="9"/>
      <c r="N1379" s="1" t="str">
        <f aca="false">IF(C1379="","",C1379&amp;"|"&amp;COUNTIF(C$3:C1379,C1379))</f>
        <v/>
      </c>
      <c r="O1379" s="1" t="str">
        <f aca="false">IF(OR(C1379="",M1379=""),"",C1379&amp;"|"&amp;COUNTIFS(C$3:C1379,C1379,M$3:M1379,"&lt;&gt;"))</f>
        <v/>
      </c>
    </row>
    <row r="1380" customFormat="false" ht="15" hidden="false" customHeight="false" outlineLevel="0" collapsed="false">
      <c r="B1380" s="7"/>
      <c r="C1380" s="5"/>
      <c r="D1380" s="9" t="str">
        <f aca="false">IF(C1380="","",IFERROR(VLOOKUP(C1380,EQUIPOS!$B$3:$C$18,2,0),"NO EXISTE"))</f>
        <v/>
      </c>
      <c r="E1380" s="9" t="str">
        <f aca="false">IF(C1380="","",IFERROR(VLOOKUP(C1380,EQUIPOS!$B$3:$F$18,5,0),""))</f>
        <v/>
      </c>
      <c r="F1380" s="5" t="str">
        <f aca="false">IF(C1380="","",IFERROR(VLOOKUP(C1380,EQUIPOS!$B$3:$G$18,6,0),""))</f>
        <v/>
      </c>
      <c r="G1380" s="8"/>
      <c r="H1380" s="5"/>
      <c r="I1380" s="5"/>
      <c r="J1380" s="9"/>
      <c r="K1380" s="17" t="str">
        <f aca="false">IF(H1380="","",IFERROR(SUMIFS(BD_PLAN!$I$3:$I$312,BD_PLAN!$B$3:$B$312,E1380,BD_PLAN!$C$3:$C$312,INDEX(BD_CICLO!$F$3:$F$54,MATCH(E1380&amp;"|"&amp;H1380,BD_CICLO!$G$3:$G$54,0))),""))</f>
        <v/>
      </c>
      <c r="L1380" s="9"/>
      <c r="M1380" s="9"/>
      <c r="N1380" s="1" t="str">
        <f aca="false">IF(C1380="","",C1380&amp;"|"&amp;COUNTIF(C$3:C1380,C1380))</f>
        <v/>
      </c>
      <c r="O1380" s="1" t="str">
        <f aca="false">IF(OR(C1380="",M1380=""),"",C1380&amp;"|"&amp;COUNTIFS(C$3:C1380,C1380,M$3:M1380,"&lt;&gt;"))</f>
        <v/>
      </c>
    </row>
    <row r="1381" customFormat="false" ht="15" hidden="false" customHeight="false" outlineLevel="0" collapsed="false">
      <c r="B1381" s="7"/>
      <c r="C1381" s="5"/>
      <c r="D1381" s="9" t="str">
        <f aca="false">IF(C1381="","",IFERROR(VLOOKUP(C1381,EQUIPOS!$B$3:$C$18,2,0),"NO EXISTE"))</f>
        <v/>
      </c>
      <c r="E1381" s="9" t="str">
        <f aca="false">IF(C1381="","",IFERROR(VLOOKUP(C1381,EQUIPOS!$B$3:$F$18,5,0),""))</f>
        <v/>
      </c>
      <c r="F1381" s="5" t="str">
        <f aca="false">IF(C1381="","",IFERROR(VLOOKUP(C1381,EQUIPOS!$B$3:$G$18,6,0),""))</f>
        <v/>
      </c>
      <c r="G1381" s="8"/>
      <c r="H1381" s="5"/>
      <c r="I1381" s="5"/>
      <c r="J1381" s="9"/>
      <c r="K1381" s="17" t="str">
        <f aca="false">IF(H1381="","",IFERROR(SUMIFS(BD_PLAN!$I$3:$I$312,BD_PLAN!$B$3:$B$312,E1381,BD_PLAN!$C$3:$C$312,INDEX(BD_CICLO!$F$3:$F$54,MATCH(E1381&amp;"|"&amp;H1381,BD_CICLO!$G$3:$G$54,0))),""))</f>
        <v/>
      </c>
      <c r="L1381" s="9"/>
      <c r="M1381" s="9"/>
      <c r="N1381" s="1" t="str">
        <f aca="false">IF(C1381="","",C1381&amp;"|"&amp;COUNTIF(C$3:C1381,C1381))</f>
        <v/>
      </c>
      <c r="O1381" s="1" t="str">
        <f aca="false">IF(OR(C1381="",M1381=""),"",C1381&amp;"|"&amp;COUNTIFS(C$3:C1381,C1381,M$3:M1381,"&lt;&gt;"))</f>
        <v/>
      </c>
    </row>
    <row r="1382" customFormat="false" ht="15" hidden="false" customHeight="false" outlineLevel="0" collapsed="false">
      <c r="B1382" s="7"/>
      <c r="C1382" s="5"/>
      <c r="D1382" s="9" t="str">
        <f aca="false">IF(C1382="","",IFERROR(VLOOKUP(C1382,EQUIPOS!$B$3:$C$18,2,0),"NO EXISTE"))</f>
        <v/>
      </c>
      <c r="E1382" s="9" t="str">
        <f aca="false">IF(C1382="","",IFERROR(VLOOKUP(C1382,EQUIPOS!$B$3:$F$18,5,0),""))</f>
        <v/>
      </c>
      <c r="F1382" s="5" t="str">
        <f aca="false">IF(C1382="","",IFERROR(VLOOKUP(C1382,EQUIPOS!$B$3:$G$18,6,0),""))</f>
        <v/>
      </c>
      <c r="G1382" s="8"/>
      <c r="H1382" s="5"/>
      <c r="I1382" s="5"/>
      <c r="J1382" s="9"/>
      <c r="K1382" s="17" t="str">
        <f aca="false">IF(H1382="","",IFERROR(SUMIFS(BD_PLAN!$I$3:$I$312,BD_PLAN!$B$3:$B$312,E1382,BD_PLAN!$C$3:$C$312,INDEX(BD_CICLO!$F$3:$F$54,MATCH(E1382&amp;"|"&amp;H1382,BD_CICLO!$G$3:$G$54,0))),""))</f>
        <v/>
      </c>
      <c r="L1382" s="9"/>
      <c r="M1382" s="9"/>
      <c r="N1382" s="1" t="str">
        <f aca="false">IF(C1382="","",C1382&amp;"|"&amp;COUNTIF(C$3:C1382,C1382))</f>
        <v/>
      </c>
      <c r="O1382" s="1" t="str">
        <f aca="false">IF(OR(C1382="",M1382=""),"",C1382&amp;"|"&amp;COUNTIFS(C$3:C1382,C1382,M$3:M1382,"&lt;&gt;"))</f>
        <v/>
      </c>
    </row>
    <row r="1383" customFormat="false" ht="15" hidden="false" customHeight="false" outlineLevel="0" collapsed="false">
      <c r="B1383" s="7"/>
      <c r="C1383" s="5"/>
      <c r="D1383" s="9" t="str">
        <f aca="false">IF(C1383="","",IFERROR(VLOOKUP(C1383,EQUIPOS!$B$3:$C$18,2,0),"NO EXISTE"))</f>
        <v/>
      </c>
      <c r="E1383" s="9" t="str">
        <f aca="false">IF(C1383="","",IFERROR(VLOOKUP(C1383,EQUIPOS!$B$3:$F$18,5,0),""))</f>
        <v/>
      </c>
      <c r="F1383" s="5" t="str">
        <f aca="false">IF(C1383="","",IFERROR(VLOOKUP(C1383,EQUIPOS!$B$3:$G$18,6,0),""))</f>
        <v/>
      </c>
      <c r="G1383" s="8"/>
      <c r="H1383" s="5"/>
      <c r="I1383" s="5"/>
      <c r="J1383" s="9"/>
      <c r="K1383" s="17" t="str">
        <f aca="false">IF(H1383="","",IFERROR(SUMIFS(BD_PLAN!$I$3:$I$312,BD_PLAN!$B$3:$B$312,E1383,BD_PLAN!$C$3:$C$312,INDEX(BD_CICLO!$F$3:$F$54,MATCH(E1383&amp;"|"&amp;H1383,BD_CICLO!$G$3:$G$54,0))),""))</f>
        <v/>
      </c>
      <c r="L1383" s="9"/>
      <c r="M1383" s="9"/>
      <c r="N1383" s="1" t="str">
        <f aca="false">IF(C1383="","",C1383&amp;"|"&amp;COUNTIF(C$3:C1383,C1383))</f>
        <v/>
      </c>
      <c r="O1383" s="1" t="str">
        <f aca="false">IF(OR(C1383="",M1383=""),"",C1383&amp;"|"&amp;COUNTIFS(C$3:C1383,C1383,M$3:M1383,"&lt;&gt;"))</f>
        <v/>
      </c>
    </row>
    <row r="1384" customFormat="false" ht="15" hidden="false" customHeight="false" outlineLevel="0" collapsed="false">
      <c r="B1384" s="7"/>
      <c r="C1384" s="5"/>
      <c r="D1384" s="9" t="str">
        <f aca="false">IF(C1384="","",IFERROR(VLOOKUP(C1384,EQUIPOS!$B$3:$C$18,2,0),"NO EXISTE"))</f>
        <v/>
      </c>
      <c r="E1384" s="9" t="str">
        <f aca="false">IF(C1384="","",IFERROR(VLOOKUP(C1384,EQUIPOS!$B$3:$F$18,5,0),""))</f>
        <v/>
      </c>
      <c r="F1384" s="5" t="str">
        <f aca="false">IF(C1384="","",IFERROR(VLOOKUP(C1384,EQUIPOS!$B$3:$G$18,6,0),""))</f>
        <v/>
      </c>
      <c r="G1384" s="8"/>
      <c r="H1384" s="5"/>
      <c r="I1384" s="5"/>
      <c r="J1384" s="9"/>
      <c r="K1384" s="17" t="str">
        <f aca="false">IF(H1384="","",IFERROR(SUMIFS(BD_PLAN!$I$3:$I$312,BD_PLAN!$B$3:$B$312,E1384,BD_PLAN!$C$3:$C$312,INDEX(BD_CICLO!$F$3:$F$54,MATCH(E1384&amp;"|"&amp;H1384,BD_CICLO!$G$3:$G$54,0))),""))</f>
        <v/>
      </c>
      <c r="L1384" s="9"/>
      <c r="M1384" s="9"/>
      <c r="N1384" s="1" t="str">
        <f aca="false">IF(C1384="","",C1384&amp;"|"&amp;COUNTIF(C$3:C1384,C1384))</f>
        <v/>
      </c>
      <c r="O1384" s="1" t="str">
        <f aca="false">IF(OR(C1384="",M1384=""),"",C1384&amp;"|"&amp;COUNTIFS(C$3:C1384,C1384,M$3:M1384,"&lt;&gt;"))</f>
        <v/>
      </c>
    </row>
    <row r="1385" customFormat="false" ht="15" hidden="false" customHeight="false" outlineLevel="0" collapsed="false">
      <c r="B1385" s="7"/>
      <c r="C1385" s="5"/>
      <c r="D1385" s="9" t="str">
        <f aca="false">IF(C1385="","",IFERROR(VLOOKUP(C1385,EQUIPOS!$B$3:$C$18,2,0),"NO EXISTE"))</f>
        <v/>
      </c>
      <c r="E1385" s="9" t="str">
        <f aca="false">IF(C1385="","",IFERROR(VLOOKUP(C1385,EQUIPOS!$B$3:$F$18,5,0),""))</f>
        <v/>
      </c>
      <c r="F1385" s="5" t="str">
        <f aca="false">IF(C1385="","",IFERROR(VLOOKUP(C1385,EQUIPOS!$B$3:$G$18,6,0),""))</f>
        <v/>
      </c>
      <c r="G1385" s="8"/>
      <c r="H1385" s="5"/>
      <c r="I1385" s="5"/>
      <c r="J1385" s="9"/>
      <c r="K1385" s="17" t="str">
        <f aca="false">IF(H1385="","",IFERROR(SUMIFS(BD_PLAN!$I$3:$I$312,BD_PLAN!$B$3:$B$312,E1385,BD_PLAN!$C$3:$C$312,INDEX(BD_CICLO!$F$3:$F$54,MATCH(E1385&amp;"|"&amp;H1385,BD_CICLO!$G$3:$G$54,0))),""))</f>
        <v/>
      </c>
      <c r="L1385" s="9"/>
      <c r="M1385" s="9"/>
      <c r="N1385" s="1" t="str">
        <f aca="false">IF(C1385="","",C1385&amp;"|"&amp;COUNTIF(C$3:C1385,C1385))</f>
        <v/>
      </c>
      <c r="O1385" s="1" t="str">
        <f aca="false">IF(OR(C1385="",M1385=""),"",C1385&amp;"|"&amp;COUNTIFS(C$3:C1385,C1385,M$3:M1385,"&lt;&gt;"))</f>
        <v/>
      </c>
    </row>
    <row r="1386" customFormat="false" ht="15" hidden="false" customHeight="false" outlineLevel="0" collapsed="false">
      <c r="B1386" s="7"/>
      <c r="C1386" s="5"/>
      <c r="D1386" s="9" t="str">
        <f aca="false">IF(C1386="","",IFERROR(VLOOKUP(C1386,EQUIPOS!$B$3:$C$18,2,0),"NO EXISTE"))</f>
        <v/>
      </c>
      <c r="E1386" s="9" t="str">
        <f aca="false">IF(C1386="","",IFERROR(VLOOKUP(C1386,EQUIPOS!$B$3:$F$18,5,0),""))</f>
        <v/>
      </c>
      <c r="F1386" s="5" t="str">
        <f aca="false">IF(C1386="","",IFERROR(VLOOKUP(C1386,EQUIPOS!$B$3:$G$18,6,0),""))</f>
        <v/>
      </c>
      <c r="G1386" s="8"/>
      <c r="H1386" s="5"/>
      <c r="I1386" s="5"/>
      <c r="J1386" s="9"/>
      <c r="K1386" s="17" t="str">
        <f aca="false">IF(H1386="","",IFERROR(SUMIFS(BD_PLAN!$I$3:$I$312,BD_PLAN!$B$3:$B$312,E1386,BD_PLAN!$C$3:$C$312,INDEX(BD_CICLO!$F$3:$F$54,MATCH(E1386&amp;"|"&amp;H1386,BD_CICLO!$G$3:$G$54,0))),""))</f>
        <v/>
      </c>
      <c r="L1386" s="9"/>
      <c r="M1386" s="9"/>
      <c r="N1386" s="1" t="str">
        <f aca="false">IF(C1386="","",C1386&amp;"|"&amp;COUNTIF(C$3:C1386,C1386))</f>
        <v/>
      </c>
      <c r="O1386" s="1" t="str">
        <f aca="false">IF(OR(C1386="",M1386=""),"",C1386&amp;"|"&amp;COUNTIFS(C$3:C1386,C1386,M$3:M1386,"&lt;&gt;"))</f>
        <v/>
      </c>
    </row>
    <row r="1387" customFormat="false" ht="15" hidden="false" customHeight="false" outlineLevel="0" collapsed="false">
      <c r="B1387" s="7"/>
      <c r="C1387" s="5"/>
      <c r="D1387" s="9" t="str">
        <f aca="false">IF(C1387="","",IFERROR(VLOOKUP(C1387,EQUIPOS!$B$3:$C$18,2,0),"NO EXISTE"))</f>
        <v/>
      </c>
      <c r="E1387" s="9" t="str">
        <f aca="false">IF(C1387="","",IFERROR(VLOOKUP(C1387,EQUIPOS!$B$3:$F$18,5,0),""))</f>
        <v/>
      </c>
      <c r="F1387" s="5" t="str">
        <f aca="false">IF(C1387="","",IFERROR(VLOOKUP(C1387,EQUIPOS!$B$3:$G$18,6,0),""))</f>
        <v/>
      </c>
      <c r="G1387" s="8"/>
      <c r="H1387" s="5"/>
      <c r="I1387" s="5"/>
      <c r="J1387" s="9"/>
      <c r="K1387" s="17" t="str">
        <f aca="false">IF(H1387="","",IFERROR(SUMIFS(BD_PLAN!$I$3:$I$312,BD_PLAN!$B$3:$B$312,E1387,BD_PLAN!$C$3:$C$312,INDEX(BD_CICLO!$F$3:$F$54,MATCH(E1387&amp;"|"&amp;H1387,BD_CICLO!$G$3:$G$54,0))),""))</f>
        <v/>
      </c>
      <c r="L1387" s="9"/>
      <c r="M1387" s="9"/>
      <c r="N1387" s="1" t="str">
        <f aca="false">IF(C1387="","",C1387&amp;"|"&amp;COUNTIF(C$3:C1387,C1387))</f>
        <v/>
      </c>
      <c r="O1387" s="1" t="str">
        <f aca="false">IF(OR(C1387="",M1387=""),"",C1387&amp;"|"&amp;COUNTIFS(C$3:C1387,C1387,M$3:M1387,"&lt;&gt;"))</f>
        <v/>
      </c>
    </row>
    <row r="1388" customFormat="false" ht="15" hidden="false" customHeight="false" outlineLevel="0" collapsed="false">
      <c r="B1388" s="7"/>
      <c r="C1388" s="5"/>
      <c r="D1388" s="9" t="str">
        <f aca="false">IF(C1388="","",IFERROR(VLOOKUP(C1388,EQUIPOS!$B$3:$C$18,2,0),"NO EXISTE"))</f>
        <v/>
      </c>
      <c r="E1388" s="9" t="str">
        <f aca="false">IF(C1388="","",IFERROR(VLOOKUP(C1388,EQUIPOS!$B$3:$F$18,5,0),""))</f>
        <v/>
      </c>
      <c r="F1388" s="5" t="str">
        <f aca="false">IF(C1388="","",IFERROR(VLOOKUP(C1388,EQUIPOS!$B$3:$G$18,6,0),""))</f>
        <v/>
      </c>
      <c r="G1388" s="8"/>
      <c r="H1388" s="5"/>
      <c r="I1388" s="5"/>
      <c r="J1388" s="9"/>
      <c r="K1388" s="17" t="str">
        <f aca="false">IF(H1388="","",IFERROR(SUMIFS(BD_PLAN!$I$3:$I$312,BD_PLAN!$B$3:$B$312,E1388,BD_PLAN!$C$3:$C$312,INDEX(BD_CICLO!$F$3:$F$54,MATCH(E1388&amp;"|"&amp;H1388,BD_CICLO!$G$3:$G$54,0))),""))</f>
        <v/>
      </c>
      <c r="L1388" s="9"/>
      <c r="M1388" s="9"/>
      <c r="N1388" s="1" t="str">
        <f aca="false">IF(C1388="","",C1388&amp;"|"&amp;COUNTIF(C$3:C1388,C1388))</f>
        <v/>
      </c>
      <c r="O1388" s="1" t="str">
        <f aca="false">IF(OR(C1388="",M1388=""),"",C1388&amp;"|"&amp;COUNTIFS(C$3:C1388,C1388,M$3:M1388,"&lt;&gt;"))</f>
        <v/>
      </c>
    </row>
    <row r="1389" customFormat="false" ht="15" hidden="false" customHeight="false" outlineLevel="0" collapsed="false">
      <c r="B1389" s="7"/>
      <c r="C1389" s="5"/>
      <c r="D1389" s="9" t="str">
        <f aca="false">IF(C1389="","",IFERROR(VLOOKUP(C1389,EQUIPOS!$B$3:$C$18,2,0),"NO EXISTE"))</f>
        <v/>
      </c>
      <c r="E1389" s="9" t="str">
        <f aca="false">IF(C1389="","",IFERROR(VLOOKUP(C1389,EQUIPOS!$B$3:$F$18,5,0),""))</f>
        <v/>
      </c>
      <c r="F1389" s="5" t="str">
        <f aca="false">IF(C1389="","",IFERROR(VLOOKUP(C1389,EQUIPOS!$B$3:$G$18,6,0),""))</f>
        <v/>
      </c>
      <c r="G1389" s="8"/>
      <c r="H1389" s="5"/>
      <c r="I1389" s="5"/>
      <c r="J1389" s="9"/>
      <c r="K1389" s="17" t="str">
        <f aca="false">IF(H1389="","",IFERROR(SUMIFS(BD_PLAN!$I$3:$I$312,BD_PLAN!$B$3:$B$312,E1389,BD_PLAN!$C$3:$C$312,INDEX(BD_CICLO!$F$3:$F$54,MATCH(E1389&amp;"|"&amp;H1389,BD_CICLO!$G$3:$G$54,0))),""))</f>
        <v/>
      </c>
      <c r="L1389" s="9"/>
      <c r="M1389" s="9"/>
      <c r="N1389" s="1" t="str">
        <f aca="false">IF(C1389="","",C1389&amp;"|"&amp;COUNTIF(C$3:C1389,C1389))</f>
        <v/>
      </c>
      <c r="O1389" s="1" t="str">
        <f aca="false">IF(OR(C1389="",M1389=""),"",C1389&amp;"|"&amp;COUNTIFS(C$3:C1389,C1389,M$3:M1389,"&lt;&gt;"))</f>
        <v/>
      </c>
    </row>
    <row r="1390" customFormat="false" ht="15" hidden="false" customHeight="false" outlineLevel="0" collapsed="false">
      <c r="B1390" s="7"/>
      <c r="C1390" s="5"/>
      <c r="D1390" s="9" t="str">
        <f aca="false">IF(C1390="","",IFERROR(VLOOKUP(C1390,EQUIPOS!$B$3:$C$18,2,0),"NO EXISTE"))</f>
        <v/>
      </c>
      <c r="E1390" s="9" t="str">
        <f aca="false">IF(C1390="","",IFERROR(VLOOKUP(C1390,EQUIPOS!$B$3:$F$18,5,0),""))</f>
        <v/>
      </c>
      <c r="F1390" s="5" t="str">
        <f aca="false">IF(C1390="","",IFERROR(VLOOKUP(C1390,EQUIPOS!$B$3:$G$18,6,0),""))</f>
        <v/>
      </c>
      <c r="G1390" s="8"/>
      <c r="H1390" s="5"/>
      <c r="I1390" s="5"/>
      <c r="J1390" s="9"/>
      <c r="K1390" s="17" t="str">
        <f aca="false">IF(H1390="","",IFERROR(SUMIFS(BD_PLAN!$I$3:$I$312,BD_PLAN!$B$3:$B$312,E1390,BD_PLAN!$C$3:$C$312,INDEX(BD_CICLO!$F$3:$F$54,MATCH(E1390&amp;"|"&amp;H1390,BD_CICLO!$G$3:$G$54,0))),""))</f>
        <v/>
      </c>
      <c r="L1390" s="9"/>
      <c r="M1390" s="9"/>
      <c r="N1390" s="1" t="str">
        <f aca="false">IF(C1390="","",C1390&amp;"|"&amp;COUNTIF(C$3:C1390,C1390))</f>
        <v/>
      </c>
      <c r="O1390" s="1" t="str">
        <f aca="false">IF(OR(C1390="",M1390=""),"",C1390&amp;"|"&amp;COUNTIFS(C$3:C1390,C1390,M$3:M1390,"&lt;&gt;"))</f>
        <v/>
      </c>
    </row>
    <row r="1391" customFormat="false" ht="15" hidden="false" customHeight="false" outlineLevel="0" collapsed="false">
      <c r="B1391" s="7"/>
      <c r="C1391" s="5"/>
      <c r="D1391" s="9" t="str">
        <f aca="false">IF(C1391="","",IFERROR(VLOOKUP(C1391,EQUIPOS!$B$3:$C$18,2,0),"NO EXISTE"))</f>
        <v/>
      </c>
      <c r="E1391" s="9" t="str">
        <f aca="false">IF(C1391="","",IFERROR(VLOOKUP(C1391,EQUIPOS!$B$3:$F$18,5,0),""))</f>
        <v/>
      </c>
      <c r="F1391" s="5" t="str">
        <f aca="false">IF(C1391="","",IFERROR(VLOOKUP(C1391,EQUIPOS!$B$3:$G$18,6,0),""))</f>
        <v/>
      </c>
      <c r="G1391" s="8"/>
      <c r="H1391" s="5"/>
      <c r="I1391" s="5"/>
      <c r="J1391" s="9"/>
      <c r="K1391" s="17" t="str">
        <f aca="false">IF(H1391="","",IFERROR(SUMIFS(BD_PLAN!$I$3:$I$312,BD_PLAN!$B$3:$B$312,E1391,BD_PLAN!$C$3:$C$312,INDEX(BD_CICLO!$F$3:$F$54,MATCH(E1391&amp;"|"&amp;H1391,BD_CICLO!$G$3:$G$54,0))),""))</f>
        <v/>
      </c>
      <c r="L1391" s="9"/>
      <c r="M1391" s="9"/>
      <c r="N1391" s="1" t="str">
        <f aca="false">IF(C1391="","",C1391&amp;"|"&amp;COUNTIF(C$3:C1391,C1391))</f>
        <v/>
      </c>
      <c r="O1391" s="1" t="str">
        <f aca="false">IF(OR(C1391="",M1391=""),"",C1391&amp;"|"&amp;COUNTIFS(C$3:C1391,C1391,M$3:M1391,"&lt;&gt;"))</f>
        <v/>
      </c>
    </row>
    <row r="1392" customFormat="false" ht="15" hidden="false" customHeight="false" outlineLevel="0" collapsed="false">
      <c r="B1392" s="7"/>
      <c r="C1392" s="5"/>
      <c r="D1392" s="9" t="str">
        <f aca="false">IF(C1392="","",IFERROR(VLOOKUP(C1392,EQUIPOS!$B$3:$C$18,2,0),"NO EXISTE"))</f>
        <v/>
      </c>
      <c r="E1392" s="9" t="str">
        <f aca="false">IF(C1392="","",IFERROR(VLOOKUP(C1392,EQUIPOS!$B$3:$F$18,5,0),""))</f>
        <v/>
      </c>
      <c r="F1392" s="5" t="str">
        <f aca="false">IF(C1392="","",IFERROR(VLOOKUP(C1392,EQUIPOS!$B$3:$G$18,6,0),""))</f>
        <v/>
      </c>
      <c r="G1392" s="8"/>
      <c r="H1392" s="5"/>
      <c r="I1392" s="5"/>
      <c r="J1392" s="9"/>
      <c r="K1392" s="17" t="str">
        <f aca="false">IF(H1392="","",IFERROR(SUMIFS(BD_PLAN!$I$3:$I$312,BD_PLAN!$B$3:$B$312,E1392,BD_PLAN!$C$3:$C$312,INDEX(BD_CICLO!$F$3:$F$54,MATCH(E1392&amp;"|"&amp;H1392,BD_CICLO!$G$3:$G$54,0))),""))</f>
        <v/>
      </c>
      <c r="L1392" s="9"/>
      <c r="M1392" s="9"/>
      <c r="N1392" s="1" t="str">
        <f aca="false">IF(C1392="","",C1392&amp;"|"&amp;COUNTIF(C$3:C1392,C1392))</f>
        <v/>
      </c>
      <c r="O1392" s="1" t="str">
        <f aca="false">IF(OR(C1392="",M1392=""),"",C1392&amp;"|"&amp;COUNTIFS(C$3:C1392,C1392,M$3:M1392,"&lt;&gt;"))</f>
        <v/>
      </c>
    </row>
    <row r="1393" customFormat="false" ht="15" hidden="false" customHeight="false" outlineLevel="0" collapsed="false">
      <c r="B1393" s="7"/>
      <c r="C1393" s="5"/>
      <c r="D1393" s="9" t="str">
        <f aca="false">IF(C1393="","",IFERROR(VLOOKUP(C1393,EQUIPOS!$B$3:$C$18,2,0),"NO EXISTE"))</f>
        <v/>
      </c>
      <c r="E1393" s="9" t="str">
        <f aca="false">IF(C1393="","",IFERROR(VLOOKUP(C1393,EQUIPOS!$B$3:$F$18,5,0),""))</f>
        <v/>
      </c>
      <c r="F1393" s="5" t="str">
        <f aca="false">IF(C1393="","",IFERROR(VLOOKUP(C1393,EQUIPOS!$B$3:$G$18,6,0),""))</f>
        <v/>
      </c>
      <c r="G1393" s="8"/>
      <c r="H1393" s="5"/>
      <c r="I1393" s="5"/>
      <c r="J1393" s="9"/>
      <c r="K1393" s="17" t="str">
        <f aca="false">IF(H1393="","",IFERROR(SUMIFS(BD_PLAN!$I$3:$I$312,BD_PLAN!$B$3:$B$312,E1393,BD_PLAN!$C$3:$C$312,INDEX(BD_CICLO!$F$3:$F$54,MATCH(E1393&amp;"|"&amp;H1393,BD_CICLO!$G$3:$G$54,0))),""))</f>
        <v/>
      </c>
      <c r="L1393" s="9"/>
      <c r="M1393" s="9"/>
      <c r="N1393" s="1" t="str">
        <f aca="false">IF(C1393="","",C1393&amp;"|"&amp;COUNTIF(C$3:C1393,C1393))</f>
        <v/>
      </c>
      <c r="O1393" s="1" t="str">
        <f aca="false">IF(OR(C1393="",M1393=""),"",C1393&amp;"|"&amp;COUNTIFS(C$3:C1393,C1393,M$3:M1393,"&lt;&gt;"))</f>
        <v/>
      </c>
    </row>
    <row r="1394" customFormat="false" ht="15" hidden="false" customHeight="false" outlineLevel="0" collapsed="false">
      <c r="B1394" s="7"/>
      <c r="C1394" s="5"/>
      <c r="D1394" s="9" t="str">
        <f aca="false">IF(C1394="","",IFERROR(VLOOKUP(C1394,EQUIPOS!$B$3:$C$18,2,0),"NO EXISTE"))</f>
        <v/>
      </c>
      <c r="E1394" s="9" t="str">
        <f aca="false">IF(C1394="","",IFERROR(VLOOKUP(C1394,EQUIPOS!$B$3:$F$18,5,0),""))</f>
        <v/>
      </c>
      <c r="F1394" s="5" t="str">
        <f aca="false">IF(C1394="","",IFERROR(VLOOKUP(C1394,EQUIPOS!$B$3:$G$18,6,0),""))</f>
        <v/>
      </c>
      <c r="G1394" s="8"/>
      <c r="H1394" s="5"/>
      <c r="I1394" s="5"/>
      <c r="J1394" s="9"/>
      <c r="K1394" s="17" t="str">
        <f aca="false">IF(H1394="","",IFERROR(SUMIFS(BD_PLAN!$I$3:$I$312,BD_PLAN!$B$3:$B$312,E1394,BD_PLAN!$C$3:$C$312,INDEX(BD_CICLO!$F$3:$F$54,MATCH(E1394&amp;"|"&amp;H1394,BD_CICLO!$G$3:$G$54,0))),""))</f>
        <v/>
      </c>
      <c r="L1394" s="9"/>
      <c r="M1394" s="9"/>
      <c r="N1394" s="1" t="str">
        <f aca="false">IF(C1394="","",C1394&amp;"|"&amp;COUNTIF(C$3:C1394,C1394))</f>
        <v/>
      </c>
      <c r="O1394" s="1" t="str">
        <f aca="false">IF(OR(C1394="",M1394=""),"",C1394&amp;"|"&amp;COUNTIFS(C$3:C1394,C1394,M$3:M1394,"&lt;&gt;"))</f>
        <v/>
      </c>
    </row>
    <row r="1395" customFormat="false" ht="15" hidden="false" customHeight="false" outlineLevel="0" collapsed="false">
      <c r="B1395" s="7"/>
      <c r="C1395" s="5"/>
      <c r="D1395" s="9" t="str">
        <f aca="false">IF(C1395="","",IFERROR(VLOOKUP(C1395,EQUIPOS!$B$3:$C$18,2,0),"NO EXISTE"))</f>
        <v/>
      </c>
      <c r="E1395" s="9" t="str">
        <f aca="false">IF(C1395="","",IFERROR(VLOOKUP(C1395,EQUIPOS!$B$3:$F$18,5,0),""))</f>
        <v/>
      </c>
      <c r="F1395" s="5" t="str">
        <f aca="false">IF(C1395="","",IFERROR(VLOOKUP(C1395,EQUIPOS!$B$3:$G$18,6,0),""))</f>
        <v/>
      </c>
      <c r="G1395" s="8"/>
      <c r="H1395" s="5"/>
      <c r="I1395" s="5"/>
      <c r="J1395" s="9"/>
      <c r="K1395" s="17" t="str">
        <f aca="false">IF(H1395="","",IFERROR(SUMIFS(BD_PLAN!$I$3:$I$312,BD_PLAN!$B$3:$B$312,E1395,BD_PLAN!$C$3:$C$312,INDEX(BD_CICLO!$F$3:$F$54,MATCH(E1395&amp;"|"&amp;H1395,BD_CICLO!$G$3:$G$54,0))),""))</f>
        <v/>
      </c>
      <c r="L1395" s="9"/>
      <c r="M1395" s="9"/>
      <c r="N1395" s="1" t="str">
        <f aca="false">IF(C1395="","",C1395&amp;"|"&amp;COUNTIF(C$3:C1395,C1395))</f>
        <v/>
      </c>
      <c r="O1395" s="1" t="str">
        <f aca="false">IF(OR(C1395="",M1395=""),"",C1395&amp;"|"&amp;COUNTIFS(C$3:C1395,C1395,M$3:M1395,"&lt;&gt;"))</f>
        <v/>
      </c>
    </row>
    <row r="1396" customFormat="false" ht="15" hidden="false" customHeight="false" outlineLevel="0" collapsed="false">
      <c r="B1396" s="7"/>
      <c r="C1396" s="5"/>
      <c r="D1396" s="9" t="str">
        <f aca="false">IF(C1396="","",IFERROR(VLOOKUP(C1396,EQUIPOS!$B$3:$C$18,2,0),"NO EXISTE"))</f>
        <v/>
      </c>
      <c r="E1396" s="9" t="str">
        <f aca="false">IF(C1396="","",IFERROR(VLOOKUP(C1396,EQUIPOS!$B$3:$F$18,5,0),""))</f>
        <v/>
      </c>
      <c r="F1396" s="5" t="str">
        <f aca="false">IF(C1396="","",IFERROR(VLOOKUP(C1396,EQUIPOS!$B$3:$G$18,6,0),""))</f>
        <v/>
      </c>
      <c r="G1396" s="8"/>
      <c r="H1396" s="5"/>
      <c r="I1396" s="5"/>
      <c r="J1396" s="9"/>
      <c r="K1396" s="17" t="str">
        <f aca="false">IF(H1396="","",IFERROR(SUMIFS(BD_PLAN!$I$3:$I$312,BD_PLAN!$B$3:$B$312,E1396,BD_PLAN!$C$3:$C$312,INDEX(BD_CICLO!$F$3:$F$54,MATCH(E1396&amp;"|"&amp;H1396,BD_CICLO!$G$3:$G$54,0))),""))</f>
        <v/>
      </c>
      <c r="L1396" s="9"/>
      <c r="M1396" s="9"/>
      <c r="N1396" s="1" t="str">
        <f aca="false">IF(C1396="","",C1396&amp;"|"&amp;COUNTIF(C$3:C1396,C1396))</f>
        <v/>
      </c>
      <c r="O1396" s="1" t="str">
        <f aca="false">IF(OR(C1396="",M1396=""),"",C1396&amp;"|"&amp;COUNTIFS(C$3:C1396,C1396,M$3:M1396,"&lt;&gt;"))</f>
        <v/>
      </c>
    </row>
    <row r="1397" customFormat="false" ht="15" hidden="false" customHeight="false" outlineLevel="0" collapsed="false">
      <c r="B1397" s="7"/>
      <c r="C1397" s="5"/>
      <c r="D1397" s="9" t="str">
        <f aca="false">IF(C1397="","",IFERROR(VLOOKUP(C1397,EQUIPOS!$B$3:$C$18,2,0),"NO EXISTE"))</f>
        <v/>
      </c>
      <c r="E1397" s="9" t="str">
        <f aca="false">IF(C1397="","",IFERROR(VLOOKUP(C1397,EQUIPOS!$B$3:$F$18,5,0),""))</f>
        <v/>
      </c>
      <c r="F1397" s="5" t="str">
        <f aca="false">IF(C1397="","",IFERROR(VLOOKUP(C1397,EQUIPOS!$B$3:$G$18,6,0),""))</f>
        <v/>
      </c>
      <c r="G1397" s="8"/>
      <c r="H1397" s="5"/>
      <c r="I1397" s="5"/>
      <c r="J1397" s="9"/>
      <c r="K1397" s="17" t="str">
        <f aca="false">IF(H1397="","",IFERROR(SUMIFS(BD_PLAN!$I$3:$I$312,BD_PLAN!$B$3:$B$312,E1397,BD_PLAN!$C$3:$C$312,INDEX(BD_CICLO!$F$3:$F$54,MATCH(E1397&amp;"|"&amp;H1397,BD_CICLO!$G$3:$G$54,0))),""))</f>
        <v/>
      </c>
      <c r="L1397" s="9"/>
      <c r="M1397" s="9"/>
      <c r="N1397" s="1" t="str">
        <f aca="false">IF(C1397="","",C1397&amp;"|"&amp;COUNTIF(C$3:C1397,C1397))</f>
        <v/>
      </c>
      <c r="O1397" s="1" t="str">
        <f aca="false">IF(OR(C1397="",M1397=""),"",C1397&amp;"|"&amp;COUNTIFS(C$3:C1397,C1397,M$3:M1397,"&lt;&gt;"))</f>
        <v/>
      </c>
    </row>
    <row r="1398" customFormat="false" ht="15" hidden="false" customHeight="false" outlineLevel="0" collapsed="false">
      <c r="B1398" s="7"/>
      <c r="C1398" s="5"/>
      <c r="D1398" s="9" t="str">
        <f aca="false">IF(C1398="","",IFERROR(VLOOKUP(C1398,EQUIPOS!$B$3:$C$18,2,0),"NO EXISTE"))</f>
        <v/>
      </c>
      <c r="E1398" s="9" t="str">
        <f aca="false">IF(C1398="","",IFERROR(VLOOKUP(C1398,EQUIPOS!$B$3:$F$18,5,0),""))</f>
        <v/>
      </c>
      <c r="F1398" s="5" t="str">
        <f aca="false">IF(C1398="","",IFERROR(VLOOKUP(C1398,EQUIPOS!$B$3:$G$18,6,0),""))</f>
        <v/>
      </c>
      <c r="G1398" s="8"/>
      <c r="H1398" s="5"/>
      <c r="I1398" s="5"/>
      <c r="J1398" s="9"/>
      <c r="K1398" s="17" t="str">
        <f aca="false">IF(H1398="","",IFERROR(SUMIFS(BD_PLAN!$I$3:$I$312,BD_PLAN!$B$3:$B$312,E1398,BD_PLAN!$C$3:$C$312,INDEX(BD_CICLO!$F$3:$F$54,MATCH(E1398&amp;"|"&amp;H1398,BD_CICLO!$G$3:$G$54,0))),""))</f>
        <v/>
      </c>
      <c r="L1398" s="9"/>
      <c r="M1398" s="9"/>
      <c r="N1398" s="1" t="str">
        <f aca="false">IF(C1398="","",C1398&amp;"|"&amp;COUNTIF(C$3:C1398,C1398))</f>
        <v/>
      </c>
      <c r="O1398" s="1" t="str">
        <f aca="false">IF(OR(C1398="",M1398=""),"",C1398&amp;"|"&amp;COUNTIFS(C$3:C1398,C1398,M$3:M1398,"&lt;&gt;"))</f>
        <v/>
      </c>
    </row>
    <row r="1399" customFormat="false" ht="15" hidden="false" customHeight="false" outlineLevel="0" collapsed="false">
      <c r="B1399" s="7"/>
      <c r="C1399" s="5"/>
      <c r="D1399" s="9" t="str">
        <f aca="false">IF(C1399="","",IFERROR(VLOOKUP(C1399,EQUIPOS!$B$3:$C$18,2,0),"NO EXISTE"))</f>
        <v/>
      </c>
      <c r="E1399" s="9" t="str">
        <f aca="false">IF(C1399="","",IFERROR(VLOOKUP(C1399,EQUIPOS!$B$3:$F$18,5,0),""))</f>
        <v/>
      </c>
      <c r="F1399" s="5" t="str">
        <f aca="false">IF(C1399="","",IFERROR(VLOOKUP(C1399,EQUIPOS!$B$3:$G$18,6,0),""))</f>
        <v/>
      </c>
      <c r="G1399" s="8"/>
      <c r="H1399" s="5"/>
      <c r="I1399" s="5"/>
      <c r="J1399" s="9"/>
      <c r="K1399" s="17" t="str">
        <f aca="false">IF(H1399="","",IFERROR(SUMIFS(BD_PLAN!$I$3:$I$312,BD_PLAN!$B$3:$B$312,E1399,BD_PLAN!$C$3:$C$312,INDEX(BD_CICLO!$F$3:$F$54,MATCH(E1399&amp;"|"&amp;H1399,BD_CICLO!$G$3:$G$54,0))),""))</f>
        <v/>
      </c>
      <c r="L1399" s="9"/>
      <c r="M1399" s="9"/>
      <c r="N1399" s="1" t="str">
        <f aca="false">IF(C1399="","",C1399&amp;"|"&amp;COUNTIF(C$3:C1399,C1399))</f>
        <v/>
      </c>
      <c r="O1399" s="1" t="str">
        <f aca="false">IF(OR(C1399="",M1399=""),"",C1399&amp;"|"&amp;COUNTIFS(C$3:C1399,C1399,M$3:M1399,"&lt;&gt;"))</f>
        <v/>
      </c>
    </row>
    <row r="1400" customFormat="false" ht="15" hidden="false" customHeight="false" outlineLevel="0" collapsed="false">
      <c r="B1400" s="7"/>
      <c r="C1400" s="5"/>
      <c r="D1400" s="9" t="str">
        <f aca="false">IF(C1400="","",IFERROR(VLOOKUP(C1400,EQUIPOS!$B$3:$C$18,2,0),"NO EXISTE"))</f>
        <v/>
      </c>
      <c r="E1400" s="9" t="str">
        <f aca="false">IF(C1400="","",IFERROR(VLOOKUP(C1400,EQUIPOS!$B$3:$F$18,5,0),""))</f>
        <v/>
      </c>
      <c r="F1400" s="5" t="str">
        <f aca="false">IF(C1400="","",IFERROR(VLOOKUP(C1400,EQUIPOS!$B$3:$G$18,6,0),""))</f>
        <v/>
      </c>
      <c r="G1400" s="8"/>
      <c r="H1400" s="5"/>
      <c r="I1400" s="5"/>
      <c r="J1400" s="9"/>
      <c r="K1400" s="17" t="str">
        <f aca="false">IF(H1400="","",IFERROR(SUMIFS(BD_PLAN!$I$3:$I$312,BD_PLAN!$B$3:$B$312,E1400,BD_PLAN!$C$3:$C$312,INDEX(BD_CICLO!$F$3:$F$54,MATCH(E1400&amp;"|"&amp;H1400,BD_CICLO!$G$3:$G$54,0))),""))</f>
        <v/>
      </c>
      <c r="L1400" s="9"/>
      <c r="M1400" s="9"/>
      <c r="N1400" s="1" t="str">
        <f aca="false">IF(C1400="","",C1400&amp;"|"&amp;COUNTIF(C$3:C1400,C1400))</f>
        <v/>
      </c>
      <c r="O1400" s="1" t="str">
        <f aca="false">IF(OR(C1400="",M1400=""),"",C1400&amp;"|"&amp;COUNTIFS(C$3:C1400,C1400,M$3:M1400,"&lt;&gt;"))</f>
        <v/>
      </c>
    </row>
    <row r="1401" customFormat="false" ht="15" hidden="false" customHeight="false" outlineLevel="0" collapsed="false">
      <c r="B1401" s="7"/>
      <c r="C1401" s="5"/>
      <c r="D1401" s="9" t="str">
        <f aca="false">IF(C1401="","",IFERROR(VLOOKUP(C1401,EQUIPOS!$B$3:$C$18,2,0),"NO EXISTE"))</f>
        <v/>
      </c>
      <c r="E1401" s="9" t="str">
        <f aca="false">IF(C1401="","",IFERROR(VLOOKUP(C1401,EQUIPOS!$B$3:$F$18,5,0),""))</f>
        <v/>
      </c>
      <c r="F1401" s="5" t="str">
        <f aca="false">IF(C1401="","",IFERROR(VLOOKUP(C1401,EQUIPOS!$B$3:$G$18,6,0),""))</f>
        <v/>
      </c>
      <c r="G1401" s="8"/>
      <c r="H1401" s="5"/>
      <c r="I1401" s="5"/>
      <c r="J1401" s="9"/>
      <c r="K1401" s="17" t="str">
        <f aca="false">IF(H1401="","",IFERROR(SUMIFS(BD_PLAN!$I$3:$I$312,BD_PLAN!$B$3:$B$312,E1401,BD_PLAN!$C$3:$C$312,INDEX(BD_CICLO!$F$3:$F$54,MATCH(E1401&amp;"|"&amp;H1401,BD_CICLO!$G$3:$G$54,0))),""))</f>
        <v/>
      </c>
      <c r="L1401" s="9"/>
      <c r="M1401" s="9"/>
      <c r="N1401" s="1" t="str">
        <f aca="false">IF(C1401="","",C1401&amp;"|"&amp;COUNTIF(C$3:C1401,C1401))</f>
        <v/>
      </c>
      <c r="O1401" s="1" t="str">
        <f aca="false">IF(OR(C1401="",M1401=""),"",C1401&amp;"|"&amp;COUNTIFS(C$3:C1401,C1401,M$3:M1401,"&lt;&gt;"))</f>
        <v/>
      </c>
    </row>
    <row r="1402" customFormat="false" ht="15" hidden="false" customHeight="false" outlineLevel="0" collapsed="false">
      <c r="B1402" s="7"/>
      <c r="C1402" s="5"/>
      <c r="D1402" s="9" t="str">
        <f aca="false">IF(C1402="","",IFERROR(VLOOKUP(C1402,EQUIPOS!$B$3:$C$18,2,0),"NO EXISTE"))</f>
        <v/>
      </c>
      <c r="E1402" s="9" t="str">
        <f aca="false">IF(C1402="","",IFERROR(VLOOKUP(C1402,EQUIPOS!$B$3:$F$18,5,0),""))</f>
        <v/>
      </c>
      <c r="F1402" s="5" t="str">
        <f aca="false">IF(C1402="","",IFERROR(VLOOKUP(C1402,EQUIPOS!$B$3:$G$18,6,0),""))</f>
        <v/>
      </c>
      <c r="G1402" s="8"/>
      <c r="H1402" s="5"/>
      <c r="I1402" s="5"/>
      <c r="J1402" s="9"/>
      <c r="K1402" s="17" t="str">
        <f aca="false">IF(H1402="","",IFERROR(SUMIFS(BD_PLAN!$I$3:$I$312,BD_PLAN!$B$3:$B$312,E1402,BD_PLAN!$C$3:$C$312,INDEX(BD_CICLO!$F$3:$F$54,MATCH(E1402&amp;"|"&amp;H1402,BD_CICLO!$G$3:$G$54,0))),""))</f>
        <v/>
      </c>
      <c r="L1402" s="9"/>
      <c r="M1402" s="9"/>
      <c r="N1402" s="1" t="str">
        <f aca="false">IF(C1402="","",C1402&amp;"|"&amp;COUNTIF(C$3:C1402,C1402))</f>
        <v/>
      </c>
      <c r="O1402" s="1" t="str">
        <f aca="false">IF(OR(C1402="",M1402=""),"",C1402&amp;"|"&amp;COUNTIFS(C$3:C1402,C1402,M$3:M1402,"&lt;&gt;"))</f>
        <v/>
      </c>
    </row>
    <row r="1403" customFormat="false" ht="15" hidden="false" customHeight="false" outlineLevel="0" collapsed="false">
      <c r="B1403" s="7"/>
      <c r="C1403" s="5"/>
      <c r="D1403" s="9" t="str">
        <f aca="false">IF(C1403="","",IFERROR(VLOOKUP(C1403,EQUIPOS!$B$3:$C$18,2,0),"NO EXISTE"))</f>
        <v/>
      </c>
      <c r="E1403" s="9" t="str">
        <f aca="false">IF(C1403="","",IFERROR(VLOOKUP(C1403,EQUIPOS!$B$3:$F$18,5,0),""))</f>
        <v/>
      </c>
      <c r="F1403" s="5" t="str">
        <f aca="false">IF(C1403="","",IFERROR(VLOOKUP(C1403,EQUIPOS!$B$3:$G$18,6,0),""))</f>
        <v/>
      </c>
      <c r="G1403" s="8"/>
      <c r="H1403" s="5"/>
      <c r="I1403" s="5"/>
      <c r="J1403" s="9"/>
      <c r="K1403" s="17" t="str">
        <f aca="false">IF(H1403="","",IFERROR(SUMIFS(BD_PLAN!$I$3:$I$312,BD_PLAN!$B$3:$B$312,E1403,BD_PLAN!$C$3:$C$312,INDEX(BD_CICLO!$F$3:$F$54,MATCH(E1403&amp;"|"&amp;H1403,BD_CICLO!$G$3:$G$54,0))),""))</f>
        <v/>
      </c>
      <c r="L1403" s="9"/>
      <c r="M1403" s="9"/>
      <c r="N1403" s="1" t="str">
        <f aca="false">IF(C1403="","",C1403&amp;"|"&amp;COUNTIF(C$3:C1403,C1403))</f>
        <v/>
      </c>
      <c r="O1403" s="1" t="str">
        <f aca="false">IF(OR(C1403="",M1403=""),"",C1403&amp;"|"&amp;COUNTIFS(C$3:C1403,C1403,M$3:M1403,"&lt;&gt;"))</f>
        <v/>
      </c>
    </row>
    <row r="1404" customFormat="false" ht="15" hidden="false" customHeight="false" outlineLevel="0" collapsed="false">
      <c r="B1404" s="7"/>
      <c r="C1404" s="5"/>
      <c r="D1404" s="9" t="str">
        <f aca="false">IF(C1404="","",IFERROR(VLOOKUP(C1404,EQUIPOS!$B$3:$C$18,2,0),"NO EXISTE"))</f>
        <v/>
      </c>
      <c r="E1404" s="9" t="str">
        <f aca="false">IF(C1404="","",IFERROR(VLOOKUP(C1404,EQUIPOS!$B$3:$F$18,5,0),""))</f>
        <v/>
      </c>
      <c r="F1404" s="5" t="str">
        <f aca="false">IF(C1404="","",IFERROR(VLOOKUP(C1404,EQUIPOS!$B$3:$G$18,6,0),""))</f>
        <v/>
      </c>
      <c r="G1404" s="8"/>
      <c r="H1404" s="5"/>
      <c r="I1404" s="5"/>
      <c r="J1404" s="9"/>
      <c r="K1404" s="17" t="str">
        <f aca="false">IF(H1404="","",IFERROR(SUMIFS(BD_PLAN!$I$3:$I$312,BD_PLAN!$B$3:$B$312,E1404,BD_PLAN!$C$3:$C$312,INDEX(BD_CICLO!$F$3:$F$54,MATCH(E1404&amp;"|"&amp;H1404,BD_CICLO!$G$3:$G$54,0))),""))</f>
        <v/>
      </c>
      <c r="L1404" s="9"/>
      <c r="M1404" s="9"/>
      <c r="N1404" s="1" t="str">
        <f aca="false">IF(C1404="","",C1404&amp;"|"&amp;COUNTIF(C$3:C1404,C1404))</f>
        <v/>
      </c>
      <c r="O1404" s="1" t="str">
        <f aca="false">IF(OR(C1404="",M1404=""),"",C1404&amp;"|"&amp;COUNTIFS(C$3:C1404,C1404,M$3:M1404,"&lt;&gt;"))</f>
        <v/>
      </c>
    </row>
    <row r="1405" customFormat="false" ht="15" hidden="false" customHeight="false" outlineLevel="0" collapsed="false">
      <c r="B1405" s="7"/>
      <c r="C1405" s="5"/>
      <c r="D1405" s="9" t="str">
        <f aca="false">IF(C1405="","",IFERROR(VLOOKUP(C1405,EQUIPOS!$B$3:$C$18,2,0),"NO EXISTE"))</f>
        <v/>
      </c>
      <c r="E1405" s="9" t="str">
        <f aca="false">IF(C1405="","",IFERROR(VLOOKUP(C1405,EQUIPOS!$B$3:$F$18,5,0),""))</f>
        <v/>
      </c>
      <c r="F1405" s="5" t="str">
        <f aca="false">IF(C1405="","",IFERROR(VLOOKUP(C1405,EQUIPOS!$B$3:$G$18,6,0),""))</f>
        <v/>
      </c>
      <c r="G1405" s="8"/>
      <c r="H1405" s="5"/>
      <c r="I1405" s="5"/>
      <c r="J1405" s="9"/>
      <c r="K1405" s="17" t="str">
        <f aca="false">IF(H1405="","",IFERROR(SUMIFS(BD_PLAN!$I$3:$I$312,BD_PLAN!$B$3:$B$312,E1405,BD_PLAN!$C$3:$C$312,INDEX(BD_CICLO!$F$3:$F$54,MATCH(E1405&amp;"|"&amp;H1405,BD_CICLO!$G$3:$G$54,0))),""))</f>
        <v/>
      </c>
      <c r="L1405" s="9"/>
      <c r="M1405" s="9"/>
      <c r="N1405" s="1" t="str">
        <f aca="false">IF(C1405="","",C1405&amp;"|"&amp;COUNTIF(C$3:C1405,C1405))</f>
        <v/>
      </c>
      <c r="O1405" s="1" t="str">
        <f aca="false">IF(OR(C1405="",M1405=""),"",C1405&amp;"|"&amp;COUNTIFS(C$3:C1405,C1405,M$3:M1405,"&lt;&gt;"))</f>
        <v/>
      </c>
    </row>
    <row r="1406" customFormat="false" ht="15" hidden="false" customHeight="false" outlineLevel="0" collapsed="false">
      <c r="B1406" s="7"/>
      <c r="C1406" s="5"/>
      <c r="D1406" s="9" t="str">
        <f aca="false">IF(C1406="","",IFERROR(VLOOKUP(C1406,EQUIPOS!$B$3:$C$18,2,0),"NO EXISTE"))</f>
        <v/>
      </c>
      <c r="E1406" s="9" t="str">
        <f aca="false">IF(C1406="","",IFERROR(VLOOKUP(C1406,EQUIPOS!$B$3:$F$18,5,0),""))</f>
        <v/>
      </c>
      <c r="F1406" s="5" t="str">
        <f aca="false">IF(C1406="","",IFERROR(VLOOKUP(C1406,EQUIPOS!$B$3:$G$18,6,0),""))</f>
        <v/>
      </c>
      <c r="G1406" s="8"/>
      <c r="H1406" s="5"/>
      <c r="I1406" s="5"/>
      <c r="J1406" s="9"/>
      <c r="K1406" s="17" t="str">
        <f aca="false">IF(H1406="","",IFERROR(SUMIFS(BD_PLAN!$I$3:$I$312,BD_PLAN!$B$3:$B$312,E1406,BD_PLAN!$C$3:$C$312,INDEX(BD_CICLO!$F$3:$F$54,MATCH(E1406&amp;"|"&amp;H1406,BD_CICLO!$G$3:$G$54,0))),""))</f>
        <v/>
      </c>
      <c r="L1406" s="9"/>
      <c r="M1406" s="9"/>
      <c r="N1406" s="1" t="str">
        <f aca="false">IF(C1406="","",C1406&amp;"|"&amp;COUNTIF(C$3:C1406,C1406))</f>
        <v/>
      </c>
      <c r="O1406" s="1" t="str">
        <f aca="false">IF(OR(C1406="",M1406=""),"",C1406&amp;"|"&amp;COUNTIFS(C$3:C1406,C1406,M$3:M1406,"&lt;&gt;"))</f>
        <v/>
      </c>
    </row>
    <row r="1407" customFormat="false" ht="15" hidden="false" customHeight="false" outlineLevel="0" collapsed="false">
      <c r="B1407" s="7"/>
      <c r="C1407" s="5"/>
      <c r="D1407" s="9" t="str">
        <f aca="false">IF(C1407="","",IFERROR(VLOOKUP(C1407,EQUIPOS!$B$3:$C$18,2,0),"NO EXISTE"))</f>
        <v/>
      </c>
      <c r="E1407" s="9" t="str">
        <f aca="false">IF(C1407="","",IFERROR(VLOOKUP(C1407,EQUIPOS!$B$3:$F$18,5,0),""))</f>
        <v/>
      </c>
      <c r="F1407" s="5" t="str">
        <f aca="false">IF(C1407="","",IFERROR(VLOOKUP(C1407,EQUIPOS!$B$3:$G$18,6,0),""))</f>
        <v/>
      </c>
      <c r="G1407" s="8"/>
      <c r="H1407" s="5"/>
      <c r="I1407" s="5"/>
      <c r="J1407" s="9"/>
      <c r="K1407" s="17" t="str">
        <f aca="false">IF(H1407="","",IFERROR(SUMIFS(BD_PLAN!$I$3:$I$312,BD_PLAN!$B$3:$B$312,E1407,BD_PLAN!$C$3:$C$312,INDEX(BD_CICLO!$F$3:$F$54,MATCH(E1407&amp;"|"&amp;H1407,BD_CICLO!$G$3:$G$54,0))),""))</f>
        <v/>
      </c>
      <c r="L1407" s="9"/>
      <c r="M1407" s="9"/>
      <c r="N1407" s="1" t="str">
        <f aca="false">IF(C1407="","",C1407&amp;"|"&amp;COUNTIF(C$3:C1407,C1407))</f>
        <v/>
      </c>
      <c r="O1407" s="1" t="str">
        <f aca="false">IF(OR(C1407="",M1407=""),"",C1407&amp;"|"&amp;COUNTIFS(C$3:C1407,C1407,M$3:M1407,"&lt;&gt;"))</f>
        <v/>
      </c>
    </row>
    <row r="1408" customFormat="false" ht="15" hidden="false" customHeight="false" outlineLevel="0" collapsed="false">
      <c r="B1408" s="7"/>
      <c r="C1408" s="5"/>
      <c r="D1408" s="9" t="str">
        <f aca="false">IF(C1408="","",IFERROR(VLOOKUP(C1408,EQUIPOS!$B$3:$C$18,2,0),"NO EXISTE"))</f>
        <v/>
      </c>
      <c r="E1408" s="9" t="str">
        <f aca="false">IF(C1408="","",IFERROR(VLOOKUP(C1408,EQUIPOS!$B$3:$F$18,5,0),""))</f>
        <v/>
      </c>
      <c r="F1408" s="5" t="str">
        <f aca="false">IF(C1408="","",IFERROR(VLOOKUP(C1408,EQUIPOS!$B$3:$G$18,6,0),""))</f>
        <v/>
      </c>
      <c r="G1408" s="8"/>
      <c r="H1408" s="5"/>
      <c r="I1408" s="5"/>
      <c r="J1408" s="9"/>
      <c r="K1408" s="17" t="str">
        <f aca="false">IF(H1408="","",IFERROR(SUMIFS(BD_PLAN!$I$3:$I$312,BD_PLAN!$B$3:$B$312,E1408,BD_PLAN!$C$3:$C$312,INDEX(BD_CICLO!$F$3:$F$54,MATCH(E1408&amp;"|"&amp;H1408,BD_CICLO!$G$3:$G$54,0))),""))</f>
        <v/>
      </c>
      <c r="L1408" s="9"/>
      <c r="M1408" s="9"/>
      <c r="N1408" s="1" t="str">
        <f aca="false">IF(C1408="","",C1408&amp;"|"&amp;COUNTIF(C$3:C1408,C1408))</f>
        <v/>
      </c>
      <c r="O1408" s="1" t="str">
        <f aca="false">IF(OR(C1408="",M1408=""),"",C1408&amp;"|"&amp;COUNTIFS(C$3:C1408,C1408,M$3:M1408,"&lt;&gt;"))</f>
        <v/>
      </c>
    </row>
    <row r="1409" customFormat="false" ht="15" hidden="false" customHeight="false" outlineLevel="0" collapsed="false">
      <c r="B1409" s="7"/>
      <c r="C1409" s="5"/>
      <c r="D1409" s="9" t="str">
        <f aca="false">IF(C1409="","",IFERROR(VLOOKUP(C1409,EQUIPOS!$B$3:$C$18,2,0),"NO EXISTE"))</f>
        <v/>
      </c>
      <c r="E1409" s="9" t="str">
        <f aca="false">IF(C1409="","",IFERROR(VLOOKUP(C1409,EQUIPOS!$B$3:$F$18,5,0),""))</f>
        <v/>
      </c>
      <c r="F1409" s="5" t="str">
        <f aca="false">IF(C1409="","",IFERROR(VLOOKUP(C1409,EQUIPOS!$B$3:$G$18,6,0),""))</f>
        <v/>
      </c>
      <c r="G1409" s="8"/>
      <c r="H1409" s="5"/>
      <c r="I1409" s="5"/>
      <c r="J1409" s="9"/>
      <c r="K1409" s="17" t="str">
        <f aca="false">IF(H1409="","",IFERROR(SUMIFS(BD_PLAN!$I$3:$I$312,BD_PLAN!$B$3:$B$312,E1409,BD_PLAN!$C$3:$C$312,INDEX(BD_CICLO!$F$3:$F$54,MATCH(E1409&amp;"|"&amp;H1409,BD_CICLO!$G$3:$G$54,0))),""))</f>
        <v/>
      </c>
      <c r="L1409" s="9"/>
      <c r="M1409" s="9"/>
      <c r="N1409" s="1" t="str">
        <f aca="false">IF(C1409="","",C1409&amp;"|"&amp;COUNTIF(C$3:C1409,C1409))</f>
        <v/>
      </c>
      <c r="O1409" s="1" t="str">
        <f aca="false">IF(OR(C1409="",M1409=""),"",C1409&amp;"|"&amp;COUNTIFS(C$3:C1409,C1409,M$3:M1409,"&lt;&gt;"))</f>
        <v/>
      </c>
    </row>
    <row r="1410" customFormat="false" ht="15" hidden="false" customHeight="false" outlineLevel="0" collapsed="false">
      <c r="B1410" s="7"/>
      <c r="C1410" s="5"/>
      <c r="D1410" s="9" t="str">
        <f aca="false">IF(C1410="","",IFERROR(VLOOKUP(C1410,EQUIPOS!$B$3:$C$18,2,0),"NO EXISTE"))</f>
        <v/>
      </c>
      <c r="E1410" s="9" t="str">
        <f aca="false">IF(C1410="","",IFERROR(VLOOKUP(C1410,EQUIPOS!$B$3:$F$18,5,0),""))</f>
        <v/>
      </c>
      <c r="F1410" s="5" t="str">
        <f aca="false">IF(C1410="","",IFERROR(VLOOKUP(C1410,EQUIPOS!$B$3:$G$18,6,0),""))</f>
        <v/>
      </c>
      <c r="G1410" s="8"/>
      <c r="H1410" s="5"/>
      <c r="I1410" s="5"/>
      <c r="J1410" s="9"/>
      <c r="K1410" s="17" t="str">
        <f aca="false">IF(H1410="","",IFERROR(SUMIFS(BD_PLAN!$I$3:$I$312,BD_PLAN!$B$3:$B$312,E1410,BD_PLAN!$C$3:$C$312,INDEX(BD_CICLO!$F$3:$F$54,MATCH(E1410&amp;"|"&amp;H1410,BD_CICLO!$G$3:$G$54,0))),""))</f>
        <v/>
      </c>
      <c r="L1410" s="9"/>
      <c r="M1410" s="9"/>
      <c r="N1410" s="1" t="str">
        <f aca="false">IF(C1410="","",C1410&amp;"|"&amp;COUNTIF(C$3:C1410,C1410))</f>
        <v/>
      </c>
      <c r="O1410" s="1" t="str">
        <f aca="false">IF(OR(C1410="",M1410=""),"",C1410&amp;"|"&amp;COUNTIFS(C$3:C1410,C1410,M$3:M1410,"&lt;&gt;"))</f>
        <v/>
      </c>
    </row>
    <row r="1411" customFormat="false" ht="15" hidden="false" customHeight="false" outlineLevel="0" collapsed="false">
      <c r="B1411" s="7"/>
      <c r="C1411" s="5"/>
      <c r="D1411" s="9" t="str">
        <f aca="false">IF(C1411="","",IFERROR(VLOOKUP(C1411,EQUIPOS!$B$3:$C$18,2,0),"NO EXISTE"))</f>
        <v/>
      </c>
      <c r="E1411" s="9" t="str">
        <f aca="false">IF(C1411="","",IFERROR(VLOOKUP(C1411,EQUIPOS!$B$3:$F$18,5,0),""))</f>
        <v/>
      </c>
      <c r="F1411" s="5" t="str">
        <f aca="false">IF(C1411="","",IFERROR(VLOOKUP(C1411,EQUIPOS!$B$3:$G$18,6,0),""))</f>
        <v/>
      </c>
      <c r="G1411" s="8"/>
      <c r="H1411" s="5"/>
      <c r="I1411" s="5"/>
      <c r="J1411" s="9"/>
      <c r="K1411" s="17" t="str">
        <f aca="false">IF(H1411="","",IFERROR(SUMIFS(BD_PLAN!$I$3:$I$312,BD_PLAN!$B$3:$B$312,E1411,BD_PLAN!$C$3:$C$312,INDEX(BD_CICLO!$F$3:$F$54,MATCH(E1411&amp;"|"&amp;H1411,BD_CICLO!$G$3:$G$54,0))),""))</f>
        <v/>
      </c>
      <c r="L1411" s="9"/>
      <c r="M1411" s="9"/>
      <c r="N1411" s="1" t="str">
        <f aca="false">IF(C1411="","",C1411&amp;"|"&amp;COUNTIF(C$3:C1411,C1411))</f>
        <v/>
      </c>
      <c r="O1411" s="1" t="str">
        <f aca="false">IF(OR(C1411="",M1411=""),"",C1411&amp;"|"&amp;COUNTIFS(C$3:C1411,C1411,M$3:M1411,"&lt;&gt;"))</f>
        <v/>
      </c>
    </row>
    <row r="1412" customFormat="false" ht="15" hidden="false" customHeight="false" outlineLevel="0" collapsed="false">
      <c r="B1412" s="7"/>
      <c r="C1412" s="5"/>
      <c r="D1412" s="9" t="str">
        <f aca="false">IF(C1412="","",IFERROR(VLOOKUP(C1412,EQUIPOS!$B$3:$C$18,2,0),"NO EXISTE"))</f>
        <v/>
      </c>
      <c r="E1412" s="9" t="str">
        <f aca="false">IF(C1412="","",IFERROR(VLOOKUP(C1412,EQUIPOS!$B$3:$F$18,5,0),""))</f>
        <v/>
      </c>
      <c r="F1412" s="5" t="str">
        <f aca="false">IF(C1412="","",IFERROR(VLOOKUP(C1412,EQUIPOS!$B$3:$G$18,6,0),""))</f>
        <v/>
      </c>
      <c r="G1412" s="8"/>
      <c r="H1412" s="5"/>
      <c r="I1412" s="5"/>
      <c r="J1412" s="9"/>
      <c r="K1412" s="17" t="str">
        <f aca="false">IF(H1412="","",IFERROR(SUMIFS(BD_PLAN!$I$3:$I$312,BD_PLAN!$B$3:$B$312,E1412,BD_PLAN!$C$3:$C$312,INDEX(BD_CICLO!$F$3:$F$54,MATCH(E1412&amp;"|"&amp;H1412,BD_CICLO!$G$3:$G$54,0))),""))</f>
        <v/>
      </c>
      <c r="L1412" s="9"/>
      <c r="M1412" s="9"/>
      <c r="N1412" s="1" t="str">
        <f aca="false">IF(C1412="","",C1412&amp;"|"&amp;COUNTIF(C$3:C1412,C1412))</f>
        <v/>
      </c>
      <c r="O1412" s="1" t="str">
        <f aca="false">IF(OR(C1412="",M1412=""),"",C1412&amp;"|"&amp;COUNTIFS(C$3:C1412,C1412,M$3:M1412,"&lt;&gt;"))</f>
        <v/>
      </c>
    </row>
    <row r="1413" customFormat="false" ht="15" hidden="false" customHeight="false" outlineLevel="0" collapsed="false">
      <c r="B1413" s="7"/>
      <c r="C1413" s="5"/>
      <c r="D1413" s="9" t="str">
        <f aca="false">IF(C1413="","",IFERROR(VLOOKUP(C1413,EQUIPOS!$B$3:$C$18,2,0),"NO EXISTE"))</f>
        <v/>
      </c>
      <c r="E1413" s="9" t="str">
        <f aca="false">IF(C1413="","",IFERROR(VLOOKUP(C1413,EQUIPOS!$B$3:$F$18,5,0),""))</f>
        <v/>
      </c>
      <c r="F1413" s="5" t="str">
        <f aca="false">IF(C1413="","",IFERROR(VLOOKUP(C1413,EQUIPOS!$B$3:$G$18,6,0),""))</f>
        <v/>
      </c>
      <c r="G1413" s="8"/>
      <c r="H1413" s="5"/>
      <c r="I1413" s="5"/>
      <c r="J1413" s="9"/>
      <c r="K1413" s="17" t="str">
        <f aca="false">IF(H1413="","",IFERROR(SUMIFS(BD_PLAN!$I$3:$I$312,BD_PLAN!$B$3:$B$312,E1413,BD_PLAN!$C$3:$C$312,INDEX(BD_CICLO!$F$3:$F$54,MATCH(E1413&amp;"|"&amp;H1413,BD_CICLO!$G$3:$G$54,0))),""))</f>
        <v/>
      </c>
      <c r="L1413" s="9"/>
      <c r="M1413" s="9"/>
      <c r="N1413" s="1" t="str">
        <f aca="false">IF(C1413="","",C1413&amp;"|"&amp;COUNTIF(C$3:C1413,C1413))</f>
        <v/>
      </c>
      <c r="O1413" s="1" t="str">
        <f aca="false">IF(OR(C1413="",M1413=""),"",C1413&amp;"|"&amp;COUNTIFS(C$3:C1413,C1413,M$3:M1413,"&lt;&gt;"))</f>
        <v/>
      </c>
    </row>
    <row r="1414" customFormat="false" ht="15" hidden="false" customHeight="false" outlineLevel="0" collapsed="false">
      <c r="B1414" s="7"/>
      <c r="C1414" s="5"/>
      <c r="D1414" s="9" t="str">
        <f aca="false">IF(C1414="","",IFERROR(VLOOKUP(C1414,EQUIPOS!$B$3:$C$18,2,0),"NO EXISTE"))</f>
        <v/>
      </c>
      <c r="E1414" s="9" t="str">
        <f aca="false">IF(C1414="","",IFERROR(VLOOKUP(C1414,EQUIPOS!$B$3:$F$18,5,0),""))</f>
        <v/>
      </c>
      <c r="F1414" s="5" t="str">
        <f aca="false">IF(C1414="","",IFERROR(VLOOKUP(C1414,EQUIPOS!$B$3:$G$18,6,0),""))</f>
        <v/>
      </c>
      <c r="G1414" s="8"/>
      <c r="H1414" s="5"/>
      <c r="I1414" s="5"/>
      <c r="J1414" s="9"/>
      <c r="K1414" s="17" t="str">
        <f aca="false">IF(H1414="","",IFERROR(SUMIFS(BD_PLAN!$I$3:$I$312,BD_PLAN!$B$3:$B$312,E1414,BD_PLAN!$C$3:$C$312,INDEX(BD_CICLO!$F$3:$F$54,MATCH(E1414&amp;"|"&amp;H1414,BD_CICLO!$G$3:$G$54,0))),""))</f>
        <v/>
      </c>
      <c r="L1414" s="9"/>
      <c r="M1414" s="9"/>
      <c r="N1414" s="1" t="str">
        <f aca="false">IF(C1414="","",C1414&amp;"|"&amp;COUNTIF(C$3:C1414,C1414))</f>
        <v/>
      </c>
      <c r="O1414" s="1" t="str">
        <f aca="false">IF(OR(C1414="",M1414=""),"",C1414&amp;"|"&amp;COUNTIFS(C$3:C1414,C1414,M$3:M1414,"&lt;&gt;"))</f>
        <v/>
      </c>
    </row>
    <row r="1415" customFormat="false" ht="15" hidden="false" customHeight="false" outlineLevel="0" collapsed="false">
      <c r="B1415" s="7"/>
      <c r="C1415" s="5"/>
      <c r="D1415" s="9" t="str">
        <f aca="false">IF(C1415="","",IFERROR(VLOOKUP(C1415,EQUIPOS!$B$3:$C$18,2,0),"NO EXISTE"))</f>
        <v/>
      </c>
      <c r="E1415" s="9" t="str">
        <f aca="false">IF(C1415="","",IFERROR(VLOOKUP(C1415,EQUIPOS!$B$3:$F$18,5,0),""))</f>
        <v/>
      </c>
      <c r="F1415" s="5" t="str">
        <f aca="false">IF(C1415="","",IFERROR(VLOOKUP(C1415,EQUIPOS!$B$3:$G$18,6,0),""))</f>
        <v/>
      </c>
      <c r="G1415" s="8"/>
      <c r="H1415" s="5"/>
      <c r="I1415" s="5"/>
      <c r="J1415" s="9"/>
      <c r="K1415" s="17" t="str">
        <f aca="false">IF(H1415="","",IFERROR(SUMIFS(BD_PLAN!$I$3:$I$312,BD_PLAN!$B$3:$B$312,E1415,BD_PLAN!$C$3:$C$312,INDEX(BD_CICLO!$F$3:$F$54,MATCH(E1415&amp;"|"&amp;H1415,BD_CICLO!$G$3:$G$54,0))),""))</f>
        <v/>
      </c>
      <c r="L1415" s="9"/>
      <c r="M1415" s="9"/>
      <c r="N1415" s="1" t="str">
        <f aca="false">IF(C1415="","",C1415&amp;"|"&amp;COUNTIF(C$3:C1415,C1415))</f>
        <v/>
      </c>
      <c r="O1415" s="1" t="str">
        <f aca="false">IF(OR(C1415="",M1415=""),"",C1415&amp;"|"&amp;COUNTIFS(C$3:C1415,C1415,M$3:M1415,"&lt;&gt;"))</f>
        <v/>
      </c>
    </row>
    <row r="1416" customFormat="false" ht="15" hidden="false" customHeight="false" outlineLevel="0" collapsed="false">
      <c r="B1416" s="7"/>
      <c r="C1416" s="5"/>
      <c r="D1416" s="9" t="str">
        <f aca="false">IF(C1416="","",IFERROR(VLOOKUP(C1416,EQUIPOS!$B$3:$C$18,2,0),"NO EXISTE"))</f>
        <v/>
      </c>
      <c r="E1416" s="9" t="str">
        <f aca="false">IF(C1416="","",IFERROR(VLOOKUP(C1416,EQUIPOS!$B$3:$F$18,5,0),""))</f>
        <v/>
      </c>
      <c r="F1416" s="5" t="str">
        <f aca="false">IF(C1416="","",IFERROR(VLOOKUP(C1416,EQUIPOS!$B$3:$G$18,6,0),""))</f>
        <v/>
      </c>
      <c r="G1416" s="8"/>
      <c r="H1416" s="5"/>
      <c r="I1416" s="5"/>
      <c r="J1416" s="9"/>
      <c r="K1416" s="17" t="str">
        <f aca="false">IF(H1416="","",IFERROR(SUMIFS(BD_PLAN!$I$3:$I$312,BD_PLAN!$B$3:$B$312,E1416,BD_PLAN!$C$3:$C$312,INDEX(BD_CICLO!$F$3:$F$54,MATCH(E1416&amp;"|"&amp;H1416,BD_CICLO!$G$3:$G$54,0))),""))</f>
        <v/>
      </c>
      <c r="L1416" s="9"/>
      <c r="M1416" s="9"/>
      <c r="N1416" s="1" t="str">
        <f aca="false">IF(C1416="","",C1416&amp;"|"&amp;COUNTIF(C$3:C1416,C1416))</f>
        <v/>
      </c>
      <c r="O1416" s="1" t="str">
        <f aca="false">IF(OR(C1416="",M1416=""),"",C1416&amp;"|"&amp;COUNTIFS(C$3:C1416,C1416,M$3:M1416,"&lt;&gt;"))</f>
        <v/>
      </c>
    </row>
    <row r="1417" customFormat="false" ht="15" hidden="false" customHeight="false" outlineLevel="0" collapsed="false">
      <c r="B1417" s="7"/>
      <c r="C1417" s="5"/>
      <c r="D1417" s="9" t="str">
        <f aca="false">IF(C1417="","",IFERROR(VLOOKUP(C1417,EQUIPOS!$B$3:$C$18,2,0),"NO EXISTE"))</f>
        <v/>
      </c>
      <c r="E1417" s="9" t="str">
        <f aca="false">IF(C1417="","",IFERROR(VLOOKUP(C1417,EQUIPOS!$B$3:$F$18,5,0),""))</f>
        <v/>
      </c>
      <c r="F1417" s="5" t="str">
        <f aca="false">IF(C1417="","",IFERROR(VLOOKUP(C1417,EQUIPOS!$B$3:$G$18,6,0),""))</f>
        <v/>
      </c>
      <c r="G1417" s="8"/>
      <c r="H1417" s="5"/>
      <c r="I1417" s="5"/>
      <c r="J1417" s="9"/>
      <c r="K1417" s="17" t="str">
        <f aca="false">IF(H1417="","",IFERROR(SUMIFS(BD_PLAN!$I$3:$I$312,BD_PLAN!$B$3:$B$312,E1417,BD_PLAN!$C$3:$C$312,INDEX(BD_CICLO!$F$3:$F$54,MATCH(E1417&amp;"|"&amp;H1417,BD_CICLO!$G$3:$G$54,0))),""))</f>
        <v/>
      </c>
      <c r="L1417" s="9"/>
      <c r="M1417" s="9"/>
      <c r="N1417" s="1" t="str">
        <f aca="false">IF(C1417="","",C1417&amp;"|"&amp;COUNTIF(C$3:C1417,C1417))</f>
        <v/>
      </c>
      <c r="O1417" s="1" t="str">
        <f aca="false">IF(OR(C1417="",M1417=""),"",C1417&amp;"|"&amp;COUNTIFS(C$3:C1417,C1417,M$3:M1417,"&lt;&gt;"))</f>
        <v/>
      </c>
    </row>
    <row r="1418" customFormat="false" ht="15" hidden="false" customHeight="false" outlineLevel="0" collapsed="false">
      <c r="B1418" s="7"/>
      <c r="C1418" s="5"/>
      <c r="D1418" s="9" t="str">
        <f aca="false">IF(C1418="","",IFERROR(VLOOKUP(C1418,EQUIPOS!$B$3:$C$18,2,0),"NO EXISTE"))</f>
        <v/>
      </c>
      <c r="E1418" s="9" t="str">
        <f aca="false">IF(C1418="","",IFERROR(VLOOKUP(C1418,EQUIPOS!$B$3:$F$18,5,0),""))</f>
        <v/>
      </c>
      <c r="F1418" s="5" t="str">
        <f aca="false">IF(C1418="","",IFERROR(VLOOKUP(C1418,EQUIPOS!$B$3:$G$18,6,0),""))</f>
        <v/>
      </c>
      <c r="G1418" s="8"/>
      <c r="H1418" s="5"/>
      <c r="I1418" s="5"/>
      <c r="J1418" s="9"/>
      <c r="K1418" s="17" t="str">
        <f aca="false">IF(H1418="","",IFERROR(SUMIFS(BD_PLAN!$I$3:$I$312,BD_PLAN!$B$3:$B$312,E1418,BD_PLAN!$C$3:$C$312,INDEX(BD_CICLO!$F$3:$F$54,MATCH(E1418&amp;"|"&amp;H1418,BD_CICLO!$G$3:$G$54,0))),""))</f>
        <v/>
      </c>
      <c r="L1418" s="9"/>
      <c r="M1418" s="9"/>
      <c r="N1418" s="1" t="str">
        <f aca="false">IF(C1418="","",C1418&amp;"|"&amp;COUNTIF(C$3:C1418,C1418))</f>
        <v/>
      </c>
      <c r="O1418" s="1" t="str">
        <f aca="false">IF(OR(C1418="",M1418=""),"",C1418&amp;"|"&amp;COUNTIFS(C$3:C1418,C1418,M$3:M1418,"&lt;&gt;"))</f>
        <v/>
      </c>
    </row>
    <row r="1419" customFormat="false" ht="15" hidden="false" customHeight="false" outlineLevel="0" collapsed="false">
      <c r="B1419" s="7"/>
      <c r="C1419" s="5"/>
      <c r="D1419" s="9" t="str">
        <f aca="false">IF(C1419="","",IFERROR(VLOOKUP(C1419,EQUIPOS!$B$3:$C$18,2,0),"NO EXISTE"))</f>
        <v/>
      </c>
      <c r="E1419" s="9" t="str">
        <f aca="false">IF(C1419="","",IFERROR(VLOOKUP(C1419,EQUIPOS!$B$3:$F$18,5,0),""))</f>
        <v/>
      </c>
      <c r="F1419" s="5" t="str">
        <f aca="false">IF(C1419="","",IFERROR(VLOOKUP(C1419,EQUIPOS!$B$3:$G$18,6,0),""))</f>
        <v/>
      </c>
      <c r="G1419" s="8"/>
      <c r="H1419" s="5"/>
      <c r="I1419" s="5"/>
      <c r="J1419" s="9"/>
      <c r="K1419" s="17" t="str">
        <f aca="false">IF(H1419="","",IFERROR(SUMIFS(BD_PLAN!$I$3:$I$312,BD_PLAN!$B$3:$B$312,E1419,BD_PLAN!$C$3:$C$312,INDEX(BD_CICLO!$F$3:$F$54,MATCH(E1419&amp;"|"&amp;H1419,BD_CICLO!$G$3:$G$54,0))),""))</f>
        <v/>
      </c>
      <c r="L1419" s="9"/>
      <c r="M1419" s="9"/>
      <c r="N1419" s="1" t="str">
        <f aca="false">IF(C1419="","",C1419&amp;"|"&amp;COUNTIF(C$3:C1419,C1419))</f>
        <v/>
      </c>
      <c r="O1419" s="1" t="str">
        <f aca="false">IF(OR(C1419="",M1419=""),"",C1419&amp;"|"&amp;COUNTIFS(C$3:C1419,C1419,M$3:M1419,"&lt;&gt;"))</f>
        <v/>
      </c>
    </row>
    <row r="1420" customFormat="false" ht="15" hidden="false" customHeight="false" outlineLevel="0" collapsed="false">
      <c r="B1420" s="7"/>
      <c r="C1420" s="5"/>
      <c r="D1420" s="9" t="str">
        <f aca="false">IF(C1420="","",IFERROR(VLOOKUP(C1420,EQUIPOS!$B$3:$C$18,2,0),"NO EXISTE"))</f>
        <v/>
      </c>
      <c r="E1420" s="9" t="str">
        <f aca="false">IF(C1420="","",IFERROR(VLOOKUP(C1420,EQUIPOS!$B$3:$F$18,5,0),""))</f>
        <v/>
      </c>
      <c r="F1420" s="5" t="str">
        <f aca="false">IF(C1420="","",IFERROR(VLOOKUP(C1420,EQUIPOS!$B$3:$G$18,6,0),""))</f>
        <v/>
      </c>
      <c r="G1420" s="8"/>
      <c r="H1420" s="5"/>
      <c r="I1420" s="5"/>
      <c r="J1420" s="9"/>
      <c r="K1420" s="17" t="str">
        <f aca="false">IF(H1420="","",IFERROR(SUMIFS(BD_PLAN!$I$3:$I$312,BD_PLAN!$B$3:$B$312,E1420,BD_PLAN!$C$3:$C$312,INDEX(BD_CICLO!$F$3:$F$54,MATCH(E1420&amp;"|"&amp;H1420,BD_CICLO!$G$3:$G$54,0))),""))</f>
        <v/>
      </c>
      <c r="L1420" s="9"/>
      <c r="M1420" s="9"/>
      <c r="N1420" s="1" t="str">
        <f aca="false">IF(C1420="","",C1420&amp;"|"&amp;COUNTIF(C$3:C1420,C1420))</f>
        <v/>
      </c>
      <c r="O1420" s="1" t="str">
        <f aca="false">IF(OR(C1420="",M1420=""),"",C1420&amp;"|"&amp;COUNTIFS(C$3:C1420,C1420,M$3:M1420,"&lt;&gt;"))</f>
        <v/>
      </c>
    </row>
    <row r="1421" customFormat="false" ht="15" hidden="false" customHeight="false" outlineLevel="0" collapsed="false">
      <c r="B1421" s="7"/>
      <c r="C1421" s="5"/>
      <c r="D1421" s="9" t="str">
        <f aca="false">IF(C1421="","",IFERROR(VLOOKUP(C1421,EQUIPOS!$B$3:$C$18,2,0),"NO EXISTE"))</f>
        <v/>
      </c>
      <c r="E1421" s="9" t="str">
        <f aca="false">IF(C1421="","",IFERROR(VLOOKUP(C1421,EQUIPOS!$B$3:$F$18,5,0),""))</f>
        <v/>
      </c>
      <c r="F1421" s="5" t="str">
        <f aca="false">IF(C1421="","",IFERROR(VLOOKUP(C1421,EQUIPOS!$B$3:$G$18,6,0),""))</f>
        <v/>
      </c>
      <c r="G1421" s="8"/>
      <c r="H1421" s="5"/>
      <c r="I1421" s="5"/>
      <c r="J1421" s="9"/>
      <c r="K1421" s="17" t="str">
        <f aca="false">IF(H1421="","",IFERROR(SUMIFS(BD_PLAN!$I$3:$I$312,BD_PLAN!$B$3:$B$312,E1421,BD_PLAN!$C$3:$C$312,INDEX(BD_CICLO!$F$3:$F$54,MATCH(E1421&amp;"|"&amp;H1421,BD_CICLO!$G$3:$G$54,0))),""))</f>
        <v/>
      </c>
      <c r="L1421" s="9"/>
      <c r="M1421" s="9"/>
      <c r="N1421" s="1" t="str">
        <f aca="false">IF(C1421="","",C1421&amp;"|"&amp;COUNTIF(C$3:C1421,C1421))</f>
        <v/>
      </c>
      <c r="O1421" s="1" t="str">
        <f aca="false">IF(OR(C1421="",M1421=""),"",C1421&amp;"|"&amp;COUNTIFS(C$3:C1421,C1421,M$3:M1421,"&lt;&gt;"))</f>
        <v/>
      </c>
    </row>
    <row r="1422" customFormat="false" ht="15" hidden="false" customHeight="false" outlineLevel="0" collapsed="false">
      <c r="B1422" s="7"/>
      <c r="C1422" s="5"/>
      <c r="D1422" s="9" t="str">
        <f aca="false">IF(C1422="","",IFERROR(VLOOKUP(C1422,EQUIPOS!$B$3:$C$18,2,0),"NO EXISTE"))</f>
        <v/>
      </c>
      <c r="E1422" s="9" t="str">
        <f aca="false">IF(C1422="","",IFERROR(VLOOKUP(C1422,EQUIPOS!$B$3:$F$18,5,0),""))</f>
        <v/>
      </c>
      <c r="F1422" s="5" t="str">
        <f aca="false">IF(C1422="","",IFERROR(VLOOKUP(C1422,EQUIPOS!$B$3:$G$18,6,0),""))</f>
        <v/>
      </c>
      <c r="G1422" s="8"/>
      <c r="H1422" s="5"/>
      <c r="I1422" s="5"/>
      <c r="J1422" s="9"/>
      <c r="K1422" s="17" t="str">
        <f aca="false">IF(H1422="","",IFERROR(SUMIFS(BD_PLAN!$I$3:$I$312,BD_PLAN!$B$3:$B$312,E1422,BD_PLAN!$C$3:$C$312,INDEX(BD_CICLO!$F$3:$F$54,MATCH(E1422&amp;"|"&amp;H1422,BD_CICLO!$G$3:$G$54,0))),""))</f>
        <v/>
      </c>
      <c r="L1422" s="9"/>
      <c r="M1422" s="9"/>
      <c r="N1422" s="1" t="str">
        <f aca="false">IF(C1422="","",C1422&amp;"|"&amp;COUNTIF(C$3:C1422,C1422))</f>
        <v/>
      </c>
      <c r="O1422" s="1" t="str">
        <f aca="false">IF(OR(C1422="",M1422=""),"",C1422&amp;"|"&amp;COUNTIFS(C$3:C1422,C1422,M$3:M1422,"&lt;&gt;"))</f>
        <v/>
      </c>
    </row>
    <row r="1423" customFormat="false" ht="15" hidden="false" customHeight="false" outlineLevel="0" collapsed="false">
      <c r="B1423" s="7"/>
      <c r="C1423" s="5"/>
      <c r="D1423" s="9" t="str">
        <f aca="false">IF(C1423="","",IFERROR(VLOOKUP(C1423,EQUIPOS!$B$3:$C$18,2,0),"NO EXISTE"))</f>
        <v/>
      </c>
      <c r="E1423" s="9" t="str">
        <f aca="false">IF(C1423="","",IFERROR(VLOOKUP(C1423,EQUIPOS!$B$3:$F$18,5,0),""))</f>
        <v/>
      </c>
      <c r="F1423" s="5" t="str">
        <f aca="false">IF(C1423="","",IFERROR(VLOOKUP(C1423,EQUIPOS!$B$3:$G$18,6,0),""))</f>
        <v/>
      </c>
      <c r="G1423" s="8"/>
      <c r="H1423" s="5"/>
      <c r="I1423" s="5"/>
      <c r="J1423" s="9"/>
      <c r="K1423" s="17" t="str">
        <f aca="false">IF(H1423="","",IFERROR(SUMIFS(BD_PLAN!$I$3:$I$312,BD_PLAN!$B$3:$B$312,E1423,BD_PLAN!$C$3:$C$312,INDEX(BD_CICLO!$F$3:$F$54,MATCH(E1423&amp;"|"&amp;H1423,BD_CICLO!$G$3:$G$54,0))),""))</f>
        <v/>
      </c>
      <c r="L1423" s="9"/>
      <c r="M1423" s="9"/>
      <c r="N1423" s="1" t="str">
        <f aca="false">IF(C1423="","",C1423&amp;"|"&amp;COUNTIF(C$3:C1423,C1423))</f>
        <v/>
      </c>
      <c r="O1423" s="1" t="str">
        <f aca="false">IF(OR(C1423="",M1423=""),"",C1423&amp;"|"&amp;COUNTIFS(C$3:C1423,C1423,M$3:M1423,"&lt;&gt;"))</f>
        <v/>
      </c>
    </row>
    <row r="1424" customFormat="false" ht="15" hidden="false" customHeight="false" outlineLevel="0" collapsed="false">
      <c r="B1424" s="7"/>
      <c r="C1424" s="5"/>
      <c r="D1424" s="9" t="str">
        <f aca="false">IF(C1424="","",IFERROR(VLOOKUP(C1424,EQUIPOS!$B$3:$C$18,2,0),"NO EXISTE"))</f>
        <v/>
      </c>
      <c r="E1424" s="9" t="str">
        <f aca="false">IF(C1424="","",IFERROR(VLOOKUP(C1424,EQUIPOS!$B$3:$F$18,5,0),""))</f>
        <v/>
      </c>
      <c r="F1424" s="5" t="str">
        <f aca="false">IF(C1424="","",IFERROR(VLOOKUP(C1424,EQUIPOS!$B$3:$G$18,6,0),""))</f>
        <v/>
      </c>
      <c r="G1424" s="8"/>
      <c r="H1424" s="5"/>
      <c r="I1424" s="5"/>
      <c r="J1424" s="9"/>
      <c r="K1424" s="17" t="str">
        <f aca="false">IF(H1424="","",IFERROR(SUMIFS(BD_PLAN!$I$3:$I$312,BD_PLAN!$B$3:$B$312,E1424,BD_PLAN!$C$3:$C$312,INDEX(BD_CICLO!$F$3:$F$54,MATCH(E1424&amp;"|"&amp;H1424,BD_CICLO!$G$3:$G$54,0))),""))</f>
        <v/>
      </c>
      <c r="L1424" s="9"/>
      <c r="M1424" s="9"/>
      <c r="N1424" s="1" t="str">
        <f aca="false">IF(C1424="","",C1424&amp;"|"&amp;COUNTIF(C$3:C1424,C1424))</f>
        <v/>
      </c>
      <c r="O1424" s="1" t="str">
        <f aca="false">IF(OR(C1424="",M1424=""),"",C1424&amp;"|"&amp;COUNTIFS(C$3:C1424,C1424,M$3:M1424,"&lt;&gt;"))</f>
        <v/>
      </c>
    </row>
    <row r="1425" customFormat="false" ht="15" hidden="false" customHeight="false" outlineLevel="0" collapsed="false">
      <c r="B1425" s="7"/>
      <c r="C1425" s="5"/>
      <c r="D1425" s="9" t="str">
        <f aca="false">IF(C1425="","",IFERROR(VLOOKUP(C1425,EQUIPOS!$B$3:$C$18,2,0),"NO EXISTE"))</f>
        <v/>
      </c>
      <c r="E1425" s="9" t="str">
        <f aca="false">IF(C1425="","",IFERROR(VLOOKUP(C1425,EQUIPOS!$B$3:$F$18,5,0),""))</f>
        <v/>
      </c>
      <c r="F1425" s="5" t="str">
        <f aca="false">IF(C1425="","",IFERROR(VLOOKUP(C1425,EQUIPOS!$B$3:$G$18,6,0),""))</f>
        <v/>
      </c>
      <c r="G1425" s="8"/>
      <c r="H1425" s="5"/>
      <c r="I1425" s="5"/>
      <c r="J1425" s="9"/>
      <c r="K1425" s="17" t="str">
        <f aca="false">IF(H1425="","",IFERROR(SUMIFS(BD_PLAN!$I$3:$I$312,BD_PLAN!$B$3:$B$312,E1425,BD_PLAN!$C$3:$C$312,INDEX(BD_CICLO!$F$3:$F$54,MATCH(E1425&amp;"|"&amp;H1425,BD_CICLO!$G$3:$G$54,0))),""))</f>
        <v/>
      </c>
      <c r="L1425" s="9"/>
      <c r="M1425" s="9"/>
      <c r="N1425" s="1" t="str">
        <f aca="false">IF(C1425="","",C1425&amp;"|"&amp;COUNTIF(C$3:C1425,C1425))</f>
        <v/>
      </c>
      <c r="O1425" s="1" t="str">
        <f aca="false">IF(OR(C1425="",M1425=""),"",C1425&amp;"|"&amp;COUNTIFS(C$3:C1425,C1425,M$3:M1425,"&lt;&gt;"))</f>
        <v/>
      </c>
    </row>
    <row r="1426" customFormat="false" ht="15" hidden="false" customHeight="false" outlineLevel="0" collapsed="false">
      <c r="B1426" s="7"/>
      <c r="C1426" s="5"/>
      <c r="D1426" s="9" t="str">
        <f aca="false">IF(C1426="","",IFERROR(VLOOKUP(C1426,EQUIPOS!$B$3:$C$18,2,0),"NO EXISTE"))</f>
        <v/>
      </c>
      <c r="E1426" s="9" t="str">
        <f aca="false">IF(C1426="","",IFERROR(VLOOKUP(C1426,EQUIPOS!$B$3:$F$18,5,0),""))</f>
        <v/>
      </c>
      <c r="F1426" s="5" t="str">
        <f aca="false">IF(C1426="","",IFERROR(VLOOKUP(C1426,EQUIPOS!$B$3:$G$18,6,0),""))</f>
        <v/>
      </c>
      <c r="G1426" s="8"/>
      <c r="H1426" s="5"/>
      <c r="I1426" s="5"/>
      <c r="J1426" s="9"/>
      <c r="K1426" s="17" t="str">
        <f aca="false">IF(H1426="","",IFERROR(SUMIFS(BD_PLAN!$I$3:$I$312,BD_PLAN!$B$3:$B$312,E1426,BD_PLAN!$C$3:$C$312,INDEX(BD_CICLO!$F$3:$F$54,MATCH(E1426&amp;"|"&amp;H1426,BD_CICLO!$G$3:$G$54,0))),""))</f>
        <v/>
      </c>
      <c r="L1426" s="9"/>
      <c r="M1426" s="9"/>
      <c r="N1426" s="1" t="str">
        <f aca="false">IF(C1426="","",C1426&amp;"|"&amp;COUNTIF(C$3:C1426,C1426))</f>
        <v/>
      </c>
      <c r="O1426" s="1" t="str">
        <f aca="false">IF(OR(C1426="",M1426=""),"",C1426&amp;"|"&amp;COUNTIFS(C$3:C1426,C1426,M$3:M1426,"&lt;&gt;"))</f>
        <v/>
      </c>
    </row>
    <row r="1427" customFormat="false" ht="15" hidden="false" customHeight="false" outlineLevel="0" collapsed="false">
      <c r="B1427" s="7"/>
      <c r="C1427" s="5"/>
      <c r="D1427" s="9" t="str">
        <f aca="false">IF(C1427="","",IFERROR(VLOOKUP(C1427,EQUIPOS!$B$3:$C$18,2,0),"NO EXISTE"))</f>
        <v/>
      </c>
      <c r="E1427" s="9" t="str">
        <f aca="false">IF(C1427="","",IFERROR(VLOOKUP(C1427,EQUIPOS!$B$3:$F$18,5,0),""))</f>
        <v/>
      </c>
      <c r="F1427" s="5" t="str">
        <f aca="false">IF(C1427="","",IFERROR(VLOOKUP(C1427,EQUIPOS!$B$3:$G$18,6,0),""))</f>
        <v/>
      </c>
      <c r="G1427" s="8"/>
      <c r="H1427" s="5"/>
      <c r="I1427" s="5"/>
      <c r="J1427" s="9"/>
      <c r="K1427" s="17" t="str">
        <f aca="false">IF(H1427="","",IFERROR(SUMIFS(BD_PLAN!$I$3:$I$312,BD_PLAN!$B$3:$B$312,E1427,BD_PLAN!$C$3:$C$312,INDEX(BD_CICLO!$F$3:$F$54,MATCH(E1427&amp;"|"&amp;H1427,BD_CICLO!$G$3:$G$54,0))),""))</f>
        <v/>
      </c>
      <c r="L1427" s="9"/>
      <c r="M1427" s="9"/>
      <c r="N1427" s="1" t="str">
        <f aca="false">IF(C1427="","",C1427&amp;"|"&amp;COUNTIF(C$3:C1427,C1427))</f>
        <v/>
      </c>
      <c r="O1427" s="1" t="str">
        <f aca="false">IF(OR(C1427="",M1427=""),"",C1427&amp;"|"&amp;COUNTIFS(C$3:C1427,C1427,M$3:M1427,"&lt;&gt;"))</f>
        <v/>
      </c>
    </row>
    <row r="1428" customFormat="false" ht="15" hidden="false" customHeight="false" outlineLevel="0" collapsed="false">
      <c r="B1428" s="7"/>
      <c r="C1428" s="5"/>
      <c r="D1428" s="9" t="str">
        <f aca="false">IF(C1428="","",IFERROR(VLOOKUP(C1428,EQUIPOS!$B$3:$C$18,2,0),"NO EXISTE"))</f>
        <v/>
      </c>
      <c r="E1428" s="9" t="str">
        <f aca="false">IF(C1428="","",IFERROR(VLOOKUP(C1428,EQUIPOS!$B$3:$F$18,5,0),""))</f>
        <v/>
      </c>
      <c r="F1428" s="5" t="str">
        <f aca="false">IF(C1428="","",IFERROR(VLOOKUP(C1428,EQUIPOS!$B$3:$G$18,6,0),""))</f>
        <v/>
      </c>
      <c r="G1428" s="8"/>
      <c r="H1428" s="5"/>
      <c r="I1428" s="5"/>
      <c r="J1428" s="9"/>
      <c r="K1428" s="17" t="str">
        <f aca="false">IF(H1428="","",IFERROR(SUMIFS(BD_PLAN!$I$3:$I$312,BD_PLAN!$B$3:$B$312,E1428,BD_PLAN!$C$3:$C$312,INDEX(BD_CICLO!$F$3:$F$54,MATCH(E1428&amp;"|"&amp;H1428,BD_CICLO!$G$3:$G$54,0))),""))</f>
        <v/>
      </c>
      <c r="L1428" s="9"/>
      <c r="M1428" s="9"/>
      <c r="N1428" s="1" t="str">
        <f aca="false">IF(C1428="","",C1428&amp;"|"&amp;COUNTIF(C$3:C1428,C1428))</f>
        <v/>
      </c>
      <c r="O1428" s="1" t="str">
        <f aca="false">IF(OR(C1428="",M1428=""),"",C1428&amp;"|"&amp;COUNTIFS(C$3:C1428,C1428,M$3:M1428,"&lt;&gt;"))</f>
        <v/>
      </c>
    </row>
    <row r="1429" customFormat="false" ht="15" hidden="false" customHeight="false" outlineLevel="0" collapsed="false">
      <c r="B1429" s="7"/>
      <c r="C1429" s="5"/>
      <c r="D1429" s="9" t="str">
        <f aca="false">IF(C1429="","",IFERROR(VLOOKUP(C1429,EQUIPOS!$B$3:$C$18,2,0),"NO EXISTE"))</f>
        <v/>
      </c>
      <c r="E1429" s="9" t="str">
        <f aca="false">IF(C1429="","",IFERROR(VLOOKUP(C1429,EQUIPOS!$B$3:$F$18,5,0),""))</f>
        <v/>
      </c>
      <c r="F1429" s="5" t="str">
        <f aca="false">IF(C1429="","",IFERROR(VLOOKUP(C1429,EQUIPOS!$B$3:$G$18,6,0),""))</f>
        <v/>
      </c>
      <c r="G1429" s="8"/>
      <c r="H1429" s="5"/>
      <c r="I1429" s="5"/>
      <c r="J1429" s="9"/>
      <c r="K1429" s="17" t="str">
        <f aca="false">IF(H1429="","",IFERROR(SUMIFS(BD_PLAN!$I$3:$I$312,BD_PLAN!$B$3:$B$312,E1429,BD_PLAN!$C$3:$C$312,INDEX(BD_CICLO!$F$3:$F$54,MATCH(E1429&amp;"|"&amp;H1429,BD_CICLO!$G$3:$G$54,0))),""))</f>
        <v/>
      </c>
      <c r="L1429" s="9"/>
      <c r="M1429" s="9"/>
      <c r="N1429" s="1" t="str">
        <f aca="false">IF(C1429="","",C1429&amp;"|"&amp;COUNTIF(C$3:C1429,C1429))</f>
        <v/>
      </c>
      <c r="O1429" s="1" t="str">
        <f aca="false">IF(OR(C1429="",M1429=""),"",C1429&amp;"|"&amp;COUNTIFS(C$3:C1429,C1429,M$3:M1429,"&lt;&gt;"))</f>
        <v/>
      </c>
    </row>
    <row r="1430" customFormat="false" ht="15" hidden="false" customHeight="false" outlineLevel="0" collapsed="false">
      <c r="B1430" s="7"/>
      <c r="C1430" s="5"/>
      <c r="D1430" s="9" t="str">
        <f aca="false">IF(C1430="","",IFERROR(VLOOKUP(C1430,EQUIPOS!$B$3:$C$18,2,0),"NO EXISTE"))</f>
        <v/>
      </c>
      <c r="E1430" s="9" t="str">
        <f aca="false">IF(C1430="","",IFERROR(VLOOKUP(C1430,EQUIPOS!$B$3:$F$18,5,0),""))</f>
        <v/>
      </c>
      <c r="F1430" s="5" t="str">
        <f aca="false">IF(C1430="","",IFERROR(VLOOKUP(C1430,EQUIPOS!$B$3:$G$18,6,0),""))</f>
        <v/>
      </c>
      <c r="G1430" s="8"/>
      <c r="H1430" s="5"/>
      <c r="I1430" s="5"/>
      <c r="J1430" s="9"/>
      <c r="K1430" s="17" t="str">
        <f aca="false">IF(H1430="","",IFERROR(SUMIFS(BD_PLAN!$I$3:$I$312,BD_PLAN!$B$3:$B$312,E1430,BD_PLAN!$C$3:$C$312,INDEX(BD_CICLO!$F$3:$F$54,MATCH(E1430&amp;"|"&amp;H1430,BD_CICLO!$G$3:$G$54,0))),""))</f>
        <v/>
      </c>
      <c r="L1430" s="9"/>
      <c r="M1430" s="9"/>
      <c r="N1430" s="1" t="str">
        <f aca="false">IF(C1430="","",C1430&amp;"|"&amp;COUNTIF(C$3:C1430,C1430))</f>
        <v/>
      </c>
      <c r="O1430" s="1" t="str">
        <f aca="false">IF(OR(C1430="",M1430=""),"",C1430&amp;"|"&amp;COUNTIFS(C$3:C1430,C1430,M$3:M1430,"&lt;&gt;"))</f>
        <v/>
      </c>
    </row>
    <row r="1431" customFormat="false" ht="15" hidden="false" customHeight="false" outlineLevel="0" collapsed="false">
      <c r="B1431" s="7"/>
      <c r="C1431" s="5"/>
      <c r="D1431" s="9" t="str">
        <f aca="false">IF(C1431="","",IFERROR(VLOOKUP(C1431,EQUIPOS!$B$3:$C$18,2,0),"NO EXISTE"))</f>
        <v/>
      </c>
      <c r="E1431" s="9" t="str">
        <f aca="false">IF(C1431="","",IFERROR(VLOOKUP(C1431,EQUIPOS!$B$3:$F$18,5,0),""))</f>
        <v/>
      </c>
      <c r="F1431" s="5" t="str">
        <f aca="false">IF(C1431="","",IFERROR(VLOOKUP(C1431,EQUIPOS!$B$3:$G$18,6,0),""))</f>
        <v/>
      </c>
      <c r="G1431" s="8"/>
      <c r="H1431" s="5"/>
      <c r="I1431" s="5"/>
      <c r="J1431" s="9"/>
      <c r="K1431" s="17" t="str">
        <f aca="false">IF(H1431="","",IFERROR(SUMIFS(BD_PLAN!$I$3:$I$312,BD_PLAN!$B$3:$B$312,E1431,BD_PLAN!$C$3:$C$312,INDEX(BD_CICLO!$F$3:$F$54,MATCH(E1431&amp;"|"&amp;H1431,BD_CICLO!$G$3:$G$54,0))),""))</f>
        <v/>
      </c>
      <c r="L1431" s="9"/>
      <c r="M1431" s="9"/>
      <c r="N1431" s="1" t="str">
        <f aca="false">IF(C1431="","",C1431&amp;"|"&amp;COUNTIF(C$3:C1431,C1431))</f>
        <v/>
      </c>
      <c r="O1431" s="1" t="str">
        <f aca="false">IF(OR(C1431="",M1431=""),"",C1431&amp;"|"&amp;COUNTIFS(C$3:C1431,C1431,M$3:M1431,"&lt;&gt;"))</f>
        <v/>
      </c>
    </row>
    <row r="1432" customFormat="false" ht="15" hidden="false" customHeight="false" outlineLevel="0" collapsed="false">
      <c r="B1432" s="7"/>
      <c r="C1432" s="5"/>
      <c r="D1432" s="9" t="str">
        <f aca="false">IF(C1432="","",IFERROR(VLOOKUP(C1432,EQUIPOS!$B$3:$C$18,2,0),"NO EXISTE"))</f>
        <v/>
      </c>
      <c r="E1432" s="9" t="str">
        <f aca="false">IF(C1432="","",IFERROR(VLOOKUP(C1432,EQUIPOS!$B$3:$F$18,5,0),""))</f>
        <v/>
      </c>
      <c r="F1432" s="5" t="str">
        <f aca="false">IF(C1432="","",IFERROR(VLOOKUP(C1432,EQUIPOS!$B$3:$G$18,6,0),""))</f>
        <v/>
      </c>
      <c r="G1432" s="8"/>
      <c r="H1432" s="5"/>
      <c r="I1432" s="5"/>
      <c r="J1432" s="9"/>
      <c r="K1432" s="17" t="str">
        <f aca="false">IF(H1432="","",IFERROR(SUMIFS(BD_PLAN!$I$3:$I$312,BD_PLAN!$B$3:$B$312,E1432,BD_PLAN!$C$3:$C$312,INDEX(BD_CICLO!$F$3:$F$54,MATCH(E1432&amp;"|"&amp;H1432,BD_CICLO!$G$3:$G$54,0))),""))</f>
        <v/>
      </c>
      <c r="L1432" s="9"/>
      <c r="M1432" s="9"/>
      <c r="N1432" s="1" t="str">
        <f aca="false">IF(C1432="","",C1432&amp;"|"&amp;COUNTIF(C$3:C1432,C1432))</f>
        <v/>
      </c>
      <c r="O1432" s="1" t="str">
        <f aca="false">IF(OR(C1432="",M1432=""),"",C1432&amp;"|"&amp;COUNTIFS(C$3:C1432,C1432,M$3:M1432,"&lt;&gt;"))</f>
        <v/>
      </c>
    </row>
    <row r="1433" customFormat="false" ht="15" hidden="false" customHeight="false" outlineLevel="0" collapsed="false">
      <c r="B1433" s="7"/>
      <c r="C1433" s="5"/>
      <c r="D1433" s="9" t="str">
        <f aca="false">IF(C1433="","",IFERROR(VLOOKUP(C1433,EQUIPOS!$B$3:$C$18,2,0),"NO EXISTE"))</f>
        <v/>
      </c>
      <c r="E1433" s="9" t="str">
        <f aca="false">IF(C1433="","",IFERROR(VLOOKUP(C1433,EQUIPOS!$B$3:$F$18,5,0),""))</f>
        <v/>
      </c>
      <c r="F1433" s="5" t="str">
        <f aca="false">IF(C1433="","",IFERROR(VLOOKUP(C1433,EQUIPOS!$B$3:$G$18,6,0),""))</f>
        <v/>
      </c>
      <c r="G1433" s="8"/>
      <c r="H1433" s="5"/>
      <c r="I1433" s="5"/>
      <c r="J1433" s="9"/>
      <c r="K1433" s="17" t="str">
        <f aca="false">IF(H1433="","",IFERROR(SUMIFS(BD_PLAN!$I$3:$I$312,BD_PLAN!$B$3:$B$312,E1433,BD_PLAN!$C$3:$C$312,INDEX(BD_CICLO!$F$3:$F$54,MATCH(E1433&amp;"|"&amp;H1433,BD_CICLO!$G$3:$G$54,0))),""))</f>
        <v/>
      </c>
      <c r="L1433" s="9"/>
      <c r="M1433" s="9"/>
      <c r="N1433" s="1" t="str">
        <f aca="false">IF(C1433="","",C1433&amp;"|"&amp;COUNTIF(C$3:C1433,C1433))</f>
        <v/>
      </c>
      <c r="O1433" s="1" t="str">
        <f aca="false">IF(OR(C1433="",M1433=""),"",C1433&amp;"|"&amp;COUNTIFS(C$3:C1433,C1433,M$3:M1433,"&lt;&gt;"))</f>
        <v/>
      </c>
    </row>
    <row r="1434" customFormat="false" ht="15" hidden="false" customHeight="false" outlineLevel="0" collapsed="false">
      <c r="B1434" s="7"/>
      <c r="C1434" s="5"/>
      <c r="D1434" s="9" t="str">
        <f aca="false">IF(C1434="","",IFERROR(VLOOKUP(C1434,EQUIPOS!$B$3:$C$18,2,0),"NO EXISTE"))</f>
        <v/>
      </c>
      <c r="E1434" s="9" t="str">
        <f aca="false">IF(C1434="","",IFERROR(VLOOKUP(C1434,EQUIPOS!$B$3:$F$18,5,0),""))</f>
        <v/>
      </c>
      <c r="F1434" s="5" t="str">
        <f aca="false">IF(C1434="","",IFERROR(VLOOKUP(C1434,EQUIPOS!$B$3:$G$18,6,0),""))</f>
        <v/>
      </c>
      <c r="G1434" s="8"/>
      <c r="H1434" s="5"/>
      <c r="I1434" s="5"/>
      <c r="J1434" s="9"/>
      <c r="K1434" s="17" t="str">
        <f aca="false">IF(H1434="","",IFERROR(SUMIFS(BD_PLAN!$I$3:$I$312,BD_PLAN!$B$3:$B$312,E1434,BD_PLAN!$C$3:$C$312,INDEX(BD_CICLO!$F$3:$F$54,MATCH(E1434&amp;"|"&amp;H1434,BD_CICLO!$G$3:$G$54,0))),""))</f>
        <v/>
      </c>
      <c r="L1434" s="9"/>
      <c r="M1434" s="9"/>
      <c r="N1434" s="1" t="str">
        <f aca="false">IF(C1434="","",C1434&amp;"|"&amp;COUNTIF(C$3:C1434,C1434))</f>
        <v/>
      </c>
      <c r="O1434" s="1" t="str">
        <f aca="false">IF(OR(C1434="",M1434=""),"",C1434&amp;"|"&amp;COUNTIFS(C$3:C1434,C1434,M$3:M1434,"&lt;&gt;"))</f>
        <v/>
      </c>
    </row>
    <row r="1435" customFormat="false" ht="15" hidden="false" customHeight="false" outlineLevel="0" collapsed="false">
      <c r="B1435" s="7"/>
      <c r="C1435" s="5"/>
      <c r="D1435" s="9" t="str">
        <f aca="false">IF(C1435="","",IFERROR(VLOOKUP(C1435,EQUIPOS!$B$3:$C$18,2,0),"NO EXISTE"))</f>
        <v/>
      </c>
      <c r="E1435" s="9" t="str">
        <f aca="false">IF(C1435="","",IFERROR(VLOOKUP(C1435,EQUIPOS!$B$3:$F$18,5,0),""))</f>
        <v/>
      </c>
      <c r="F1435" s="5" t="str">
        <f aca="false">IF(C1435="","",IFERROR(VLOOKUP(C1435,EQUIPOS!$B$3:$G$18,6,0),""))</f>
        <v/>
      </c>
      <c r="G1435" s="8"/>
      <c r="H1435" s="5"/>
      <c r="I1435" s="5"/>
      <c r="J1435" s="9"/>
      <c r="K1435" s="17" t="str">
        <f aca="false">IF(H1435="","",IFERROR(SUMIFS(BD_PLAN!$I$3:$I$312,BD_PLAN!$B$3:$B$312,E1435,BD_PLAN!$C$3:$C$312,INDEX(BD_CICLO!$F$3:$F$54,MATCH(E1435&amp;"|"&amp;H1435,BD_CICLO!$G$3:$G$54,0))),""))</f>
        <v/>
      </c>
      <c r="L1435" s="9"/>
      <c r="M1435" s="9"/>
      <c r="N1435" s="1" t="str">
        <f aca="false">IF(C1435="","",C1435&amp;"|"&amp;COUNTIF(C$3:C1435,C1435))</f>
        <v/>
      </c>
      <c r="O1435" s="1" t="str">
        <f aca="false">IF(OR(C1435="",M1435=""),"",C1435&amp;"|"&amp;COUNTIFS(C$3:C1435,C1435,M$3:M1435,"&lt;&gt;"))</f>
        <v/>
      </c>
    </row>
    <row r="1436" customFormat="false" ht="15" hidden="false" customHeight="false" outlineLevel="0" collapsed="false">
      <c r="B1436" s="7"/>
      <c r="C1436" s="5"/>
      <c r="D1436" s="9" t="str">
        <f aca="false">IF(C1436="","",IFERROR(VLOOKUP(C1436,EQUIPOS!$B$3:$C$18,2,0),"NO EXISTE"))</f>
        <v/>
      </c>
      <c r="E1436" s="9" t="str">
        <f aca="false">IF(C1436="","",IFERROR(VLOOKUP(C1436,EQUIPOS!$B$3:$F$18,5,0),""))</f>
        <v/>
      </c>
      <c r="F1436" s="5" t="str">
        <f aca="false">IF(C1436="","",IFERROR(VLOOKUP(C1436,EQUIPOS!$B$3:$G$18,6,0),""))</f>
        <v/>
      </c>
      <c r="G1436" s="8"/>
      <c r="H1436" s="5"/>
      <c r="I1436" s="5"/>
      <c r="J1436" s="9"/>
      <c r="K1436" s="17" t="str">
        <f aca="false">IF(H1436="","",IFERROR(SUMIFS(BD_PLAN!$I$3:$I$312,BD_PLAN!$B$3:$B$312,E1436,BD_PLAN!$C$3:$C$312,INDEX(BD_CICLO!$F$3:$F$54,MATCH(E1436&amp;"|"&amp;H1436,BD_CICLO!$G$3:$G$54,0))),""))</f>
        <v/>
      </c>
      <c r="L1436" s="9"/>
      <c r="M1436" s="9"/>
      <c r="N1436" s="1" t="str">
        <f aca="false">IF(C1436="","",C1436&amp;"|"&amp;COUNTIF(C$3:C1436,C1436))</f>
        <v/>
      </c>
      <c r="O1436" s="1" t="str">
        <f aca="false">IF(OR(C1436="",M1436=""),"",C1436&amp;"|"&amp;COUNTIFS(C$3:C1436,C1436,M$3:M1436,"&lt;&gt;"))</f>
        <v/>
      </c>
    </row>
    <row r="1437" customFormat="false" ht="15" hidden="false" customHeight="false" outlineLevel="0" collapsed="false">
      <c r="B1437" s="7"/>
      <c r="C1437" s="5"/>
      <c r="D1437" s="9" t="str">
        <f aca="false">IF(C1437="","",IFERROR(VLOOKUP(C1437,EQUIPOS!$B$3:$C$18,2,0),"NO EXISTE"))</f>
        <v/>
      </c>
      <c r="E1437" s="9" t="str">
        <f aca="false">IF(C1437="","",IFERROR(VLOOKUP(C1437,EQUIPOS!$B$3:$F$18,5,0),""))</f>
        <v/>
      </c>
      <c r="F1437" s="5" t="str">
        <f aca="false">IF(C1437="","",IFERROR(VLOOKUP(C1437,EQUIPOS!$B$3:$G$18,6,0),""))</f>
        <v/>
      </c>
      <c r="G1437" s="8"/>
      <c r="H1437" s="5"/>
      <c r="I1437" s="5"/>
      <c r="J1437" s="9"/>
      <c r="K1437" s="17" t="str">
        <f aca="false">IF(H1437="","",IFERROR(SUMIFS(BD_PLAN!$I$3:$I$312,BD_PLAN!$B$3:$B$312,E1437,BD_PLAN!$C$3:$C$312,INDEX(BD_CICLO!$F$3:$F$54,MATCH(E1437&amp;"|"&amp;H1437,BD_CICLO!$G$3:$G$54,0))),""))</f>
        <v/>
      </c>
      <c r="L1437" s="9"/>
      <c r="M1437" s="9"/>
      <c r="N1437" s="1" t="str">
        <f aca="false">IF(C1437="","",C1437&amp;"|"&amp;COUNTIF(C$3:C1437,C1437))</f>
        <v/>
      </c>
      <c r="O1437" s="1" t="str">
        <f aca="false">IF(OR(C1437="",M1437=""),"",C1437&amp;"|"&amp;COUNTIFS(C$3:C1437,C1437,M$3:M1437,"&lt;&gt;"))</f>
        <v/>
      </c>
    </row>
    <row r="1438" customFormat="false" ht="15" hidden="false" customHeight="false" outlineLevel="0" collapsed="false">
      <c r="B1438" s="7"/>
      <c r="C1438" s="5"/>
      <c r="D1438" s="9" t="str">
        <f aca="false">IF(C1438="","",IFERROR(VLOOKUP(C1438,EQUIPOS!$B$3:$C$18,2,0),"NO EXISTE"))</f>
        <v/>
      </c>
      <c r="E1438" s="9" t="str">
        <f aca="false">IF(C1438="","",IFERROR(VLOOKUP(C1438,EQUIPOS!$B$3:$F$18,5,0),""))</f>
        <v/>
      </c>
      <c r="F1438" s="5" t="str">
        <f aca="false">IF(C1438="","",IFERROR(VLOOKUP(C1438,EQUIPOS!$B$3:$G$18,6,0),""))</f>
        <v/>
      </c>
      <c r="G1438" s="8"/>
      <c r="H1438" s="5"/>
      <c r="I1438" s="5"/>
      <c r="J1438" s="9"/>
      <c r="K1438" s="17" t="str">
        <f aca="false">IF(H1438="","",IFERROR(SUMIFS(BD_PLAN!$I$3:$I$312,BD_PLAN!$B$3:$B$312,E1438,BD_PLAN!$C$3:$C$312,INDEX(BD_CICLO!$F$3:$F$54,MATCH(E1438&amp;"|"&amp;H1438,BD_CICLO!$G$3:$G$54,0))),""))</f>
        <v/>
      </c>
      <c r="L1438" s="9"/>
      <c r="M1438" s="9"/>
      <c r="N1438" s="1" t="str">
        <f aca="false">IF(C1438="","",C1438&amp;"|"&amp;COUNTIF(C$3:C1438,C1438))</f>
        <v/>
      </c>
      <c r="O1438" s="1" t="str">
        <f aca="false">IF(OR(C1438="",M1438=""),"",C1438&amp;"|"&amp;COUNTIFS(C$3:C1438,C1438,M$3:M1438,"&lt;&gt;"))</f>
        <v/>
      </c>
    </row>
    <row r="1439" customFormat="false" ht="15" hidden="false" customHeight="false" outlineLevel="0" collapsed="false">
      <c r="B1439" s="7"/>
      <c r="C1439" s="5"/>
      <c r="D1439" s="9" t="str">
        <f aca="false">IF(C1439="","",IFERROR(VLOOKUP(C1439,EQUIPOS!$B$3:$C$18,2,0),"NO EXISTE"))</f>
        <v/>
      </c>
      <c r="E1439" s="9" t="str">
        <f aca="false">IF(C1439="","",IFERROR(VLOOKUP(C1439,EQUIPOS!$B$3:$F$18,5,0),""))</f>
        <v/>
      </c>
      <c r="F1439" s="5" t="str">
        <f aca="false">IF(C1439="","",IFERROR(VLOOKUP(C1439,EQUIPOS!$B$3:$G$18,6,0),""))</f>
        <v/>
      </c>
      <c r="G1439" s="8"/>
      <c r="H1439" s="5"/>
      <c r="I1439" s="5"/>
      <c r="J1439" s="9"/>
      <c r="K1439" s="17" t="str">
        <f aca="false">IF(H1439="","",IFERROR(SUMIFS(BD_PLAN!$I$3:$I$312,BD_PLAN!$B$3:$B$312,E1439,BD_PLAN!$C$3:$C$312,INDEX(BD_CICLO!$F$3:$F$54,MATCH(E1439&amp;"|"&amp;H1439,BD_CICLO!$G$3:$G$54,0))),""))</f>
        <v/>
      </c>
      <c r="L1439" s="9"/>
      <c r="M1439" s="9"/>
      <c r="N1439" s="1" t="str">
        <f aca="false">IF(C1439="","",C1439&amp;"|"&amp;COUNTIF(C$3:C1439,C1439))</f>
        <v/>
      </c>
      <c r="O1439" s="1" t="str">
        <f aca="false">IF(OR(C1439="",M1439=""),"",C1439&amp;"|"&amp;COUNTIFS(C$3:C1439,C1439,M$3:M1439,"&lt;&gt;"))</f>
        <v/>
      </c>
    </row>
    <row r="1440" customFormat="false" ht="15" hidden="false" customHeight="false" outlineLevel="0" collapsed="false">
      <c r="B1440" s="7"/>
      <c r="C1440" s="5"/>
      <c r="D1440" s="9" t="str">
        <f aca="false">IF(C1440="","",IFERROR(VLOOKUP(C1440,EQUIPOS!$B$3:$C$18,2,0),"NO EXISTE"))</f>
        <v/>
      </c>
      <c r="E1440" s="9" t="str">
        <f aca="false">IF(C1440="","",IFERROR(VLOOKUP(C1440,EQUIPOS!$B$3:$F$18,5,0),""))</f>
        <v/>
      </c>
      <c r="F1440" s="5" t="str">
        <f aca="false">IF(C1440="","",IFERROR(VLOOKUP(C1440,EQUIPOS!$B$3:$G$18,6,0),""))</f>
        <v/>
      </c>
      <c r="G1440" s="8"/>
      <c r="H1440" s="5"/>
      <c r="I1440" s="5"/>
      <c r="J1440" s="9"/>
      <c r="K1440" s="17" t="str">
        <f aca="false">IF(H1440="","",IFERROR(SUMIFS(BD_PLAN!$I$3:$I$312,BD_PLAN!$B$3:$B$312,E1440,BD_PLAN!$C$3:$C$312,INDEX(BD_CICLO!$F$3:$F$54,MATCH(E1440&amp;"|"&amp;H1440,BD_CICLO!$G$3:$G$54,0))),""))</f>
        <v/>
      </c>
      <c r="L1440" s="9"/>
      <c r="M1440" s="9"/>
      <c r="N1440" s="1" t="str">
        <f aca="false">IF(C1440="","",C1440&amp;"|"&amp;COUNTIF(C$3:C1440,C1440))</f>
        <v/>
      </c>
      <c r="O1440" s="1" t="str">
        <f aca="false">IF(OR(C1440="",M1440=""),"",C1440&amp;"|"&amp;COUNTIFS(C$3:C1440,C1440,M$3:M1440,"&lt;&gt;"))</f>
        <v/>
      </c>
    </row>
    <row r="1441" customFormat="false" ht="15" hidden="false" customHeight="false" outlineLevel="0" collapsed="false">
      <c r="B1441" s="7"/>
      <c r="C1441" s="5"/>
      <c r="D1441" s="9" t="str">
        <f aca="false">IF(C1441="","",IFERROR(VLOOKUP(C1441,EQUIPOS!$B$3:$C$18,2,0),"NO EXISTE"))</f>
        <v/>
      </c>
      <c r="E1441" s="9" t="str">
        <f aca="false">IF(C1441="","",IFERROR(VLOOKUP(C1441,EQUIPOS!$B$3:$F$18,5,0),""))</f>
        <v/>
      </c>
      <c r="F1441" s="5" t="str">
        <f aca="false">IF(C1441="","",IFERROR(VLOOKUP(C1441,EQUIPOS!$B$3:$G$18,6,0),""))</f>
        <v/>
      </c>
      <c r="G1441" s="8"/>
      <c r="H1441" s="5"/>
      <c r="I1441" s="5"/>
      <c r="J1441" s="9"/>
      <c r="K1441" s="17" t="str">
        <f aca="false">IF(H1441="","",IFERROR(SUMIFS(BD_PLAN!$I$3:$I$312,BD_PLAN!$B$3:$B$312,E1441,BD_PLAN!$C$3:$C$312,INDEX(BD_CICLO!$F$3:$F$54,MATCH(E1441&amp;"|"&amp;H1441,BD_CICLO!$G$3:$G$54,0))),""))</f>
        <v/>
      </c>
      <c r="L1441" s="9"/>
      <c r="M1441" s="9"/>
      <c r="N1441" s="1" t="str">
        <f aca="false">IF(C1441="","",C1441&amp;"|"&amp;COUNTIF(C$3:C1441,C1441))</f>
        <v/>
      </c>
      <c r="O1441" s="1" t="str">
        <f aca="false">IF(OR(C1441="",M1441=""),"",C1441&amp;"|"&amp;COUNTIFS(C$3:C1441,C1441,M$3:M1441,"&lt;&gt;"))</f>
        <v/>
      </c>
    </row>
    <row r="1442" customFormat="false" ht="15" hidden="false" customHeight="false" outlineLevel="0" collapsed="false">
      <c r="B1442" s="7"/>
      <c r="C1442" s="5"/>
      <c r="D1442" s="9" t="str">
        <f aca="false">IF(C1442="","",IFERROR(VLOOKUP(C1442,EQUIPOS!$B$3:$C$18,2,0),"NO EXISTE"))</f>
        <v/>
      </c>
      <c r="E1442" s="9" t="str">
        <f aca="false">IF(C1442="","",IFERROR(VLOOKUP(C1442,EQUIPOS!$B$3:$F$18,5,0),""))</f>
        <v/>
      </c>
      <c r="F1442" s="5" t="str">
        <f aca="false">IF(C1442="","",IFERROR(VLOOKUP(C1442,EQUIPOS!$B$3:$G$18,6,0),""))</f>
        <v/>
      </c>
      <c r="G1442" s="8"/>
      <c r="H1442" s="5"/>
      <c r="I1442" s="5"/>
      <c r="J1442" s="9"/>
      <c r="K1442" s="17" t="str">
        <f aca="false">IF(H1442="","",IFERROR(SUMIFS(BD_PLAN!$I$3:$I$312,BD_PLAN!$B$3:$B$312,E1442,BD_PLAN!$C$3:$C$312,INDEX(BD_CICLO!$F$3:$F$54,MATCH(E1442&amp;"|"&amp;H1442,BD_CICLO!$G$3:$G$54,0))),""))</f>
        <v/>
      </c>
      <c r="L1442" s="9"/>
      <c r="M1442" s="9"/>
      <c r="N1442" s="1" t="str">
        <f aca="false">IF(C1442="","",C1442&amp;"|"&amp;COUNTIF(C$3:C1442,C1442))</f>
        <v/>
      </c>
      <c r="O1442" s="1" t="str">
        <f aca="false">IF(OR(C1442="",M1442=""),"",C1442&amp;"|"&amp;COUNTIFS(C$3:C1442,C1442,M$3:M1442,"&lt;&gt;"))</f>
        <v/>
      </c>
    </row>
    <row r="1443" customFormat="false" ht="15" hidden="false" customHeight="false" outlineLevel="0" collapsed="false">
      <c r="B1443" s="7"/>
      <c r="C1443" s="5"/>
      <c r="D1443" s="9" t="str">
        <f aca="false">IF(C1443="","",IFERROR(VLOOKUP(C1443,EQUIPOS!$B$3:$C$18,2,0),"NO EXISTE"))</f>
        <v/>
      </c>
      <c r="E1443" s="9" t="str">
        <f aca="false">IF(C1443="","",IFERROR(VLOOKUP(C1443,EQUIPOS!$B$3:$F$18,5,0),""))</f>
        <v/>
      </c>
      <c r="F1443" s="5" t="str">
        <f aca="false">IF(C1443="","",IFERROR(VLOOKUP(C1443,EQUIPOS!$B$3:$G$18,6,0),""))</f>
        <v/>
      </c>
      <c r="G1443" s="8"/>
      <c r="H1443" s="5"/>
      <c r="I1443" s="5"/>
      <c r="J1443" s="9"/>
      <c r="K1443" s="17" t="str">
        <f aca="false">IF(H1443="","",IFERROR(SUMIFS(BD_PLAN!$I$3:$I$312,BD_PLAN!$B$3:$B$312,E1443,BD_PLAN!$C$3:$C$312,INDEX(BD_CICLO!$F$3:$F$54,MATCH(E1443&amp;"|"&amp;H1443,BD_CICLO!$G$3:$G$54,0))),""))</f>
        <v/>
      </c>
      <c r="L1443" s="9"/>
      <c r="M1443" s="9"/>
      <c r="N1443" s="1" t="str">
        <f aca="false">IF(C1443="","",C1443&amp;"|"&amp;COUNTIF(C$3:C1443,C1443))</f>
        <v/>
      </c>
      <c r="O1443" s="1" t="str">
        <f aca="false">IF(OR(C1443="",M1443=""),"",C1443&amp;"|"&amp;COUNTIFS(C$3:C1443,C1443,M$3:M1443,"&lt;&gt;"))</f>
        <v/>
      </c>
    </row>
    <row r="1444" customFormat="false" ht="15" hidden="false" customHeight="false" outlineLevel="0" collapsed="false">
      <c r="B1444" s="7"/>
      <c r="C1444" s="5"/>
      <c r="D1444" s="9" t="str">
        <f aca="false">IF(C1444="","",IFERROR(VLOOKUP(C1444,EQUIPOS!$B$3:$C$18,2,0),"NO EXISTE"))</f>
        <v/>
      </c>
      <c r="E1444" s="9" t="str">
        <f aca="false">IF(C1444="","",IFERROR(VLOOKUP(C1444,EQUIPOS!$B$3:$F$18,5,0),""))</f>
        <v/>
      </c>
      <c r="F1444" s="5" t="str">
        <f aca="false">IF(C1444="","",IFERROR(VLOOKUP(C1444,EQUIPOS!$B$3:$G$18,6,0),""))</f>
        <v/>
      </c>
      <c r="G1444" s="8"/>
      <c r="H1444" s="5"/>
      <c r="I1444" s="5"/>
      <c r="J1444" s="9"/>
      <c r="K1444" s="17" t="str">
        <f aca="false">IF(H1444="","",IFERROR(SUMIFS(BD_PLAN!$I$3:$I$312,BD_PLAN!$B$3:$B$312,E1444,BD_PLAN!$C$3:$C$312,INDEX(BD_CICLO!$F$3:$F$54,MATCH(E1444&amp;"|"&amp;H1444,BD_CICLO!$G$3:$G$54,0))),""))</f>
        <v/>
      </c>
      <c r="L1444" s="9"/>
      <c r="M1444" s="9"/>
      <c r="N1444" s="1" t="str">
        <f aca="false">IF(C1444="","",C1444&amp;"|"&amp;COUNTIF(C$3:C1444,C1444))</f>
        <v/>
      </c>
      <c r="O1444" s="1" t="str">
        <f aca="false">IF(OR(C1444="",M1444=""),"",C1444&amp;"|"&amp;COUNTIFS(C$3:C1444,C1444,M$3:M1444,"&lt;&gt;"))</f>
        <v/>
      </c>
    </row>
    <row r="1445" customFormat="false" ht="15" hidden="false" customHeight="false" outlineLevel="0" collapsed="false">
      <c r="B1445" s="7"/>
      <c r="C1445" s="5"/>
      <c r="D1445" s="9" t="str">
        <f aca="false">IF(C1445="","",IFERROR(VLOOKUP(C1445,EQUIPOS!$B$3:$C$18,2,0),"NO EXISTE"))</f>
        <v/>
      </c>
      <c r="E1445" s="9" t="str">
        <f aca="false">IF(C1445="","",IFERROR(VLOOKUP(C1445,EQUIPOS!$B$3:$F$18,5,0),""))</f>
        <v/>
      </c>
      <c r="F1445" s="5" t="str">
        <f aca="false">IF(C1445="","",IFERROR(VLOOKUP(C1445,EQUIPOS!$B$3:$G$18,6,0),""))</f>
        <v/>
      </c>
      <c r="G1445" s="8"/>
      <c r="H1445" s="5"/>
      <c r="I1445" s="5"/>
      <c r="J1445" s="9"/>
      <c r="K1445" s="17" t="str">
        <f aca="false">IF(H1445="","",IFERROR(SUMIFS(BD_PLAN!$I$3:$I$312,BD_PLAN!$B$3:$B$312,E1445,BD_PLAN!$C$3:$C$312,INDEX(BD_CICLO!$F$3:$F$54,MATCH(E1445&amp;"|"&amp;H1445,BD_CICLO!$G$3:$G$54,0))),""))</f>
        <v/>
      </c>
      <c r="L1445" s="9"/>
      <c r="M1445" s="9"/>
      <c r="N1445" s="1" t="str">
        <f aca="false">IF(C1445="","",C1445&amp;"|"&amp;COUNTIF(C$3:C1445,C1445))</f>
        <v/>
      </c>
      <c r="O1445" s="1" t="str">
        <f aca="false">IF(OR(C1445="",M1445=""),"",C1445&amp;"|"&amp;COUNTIFS(C$3:C1445,C1445,M$3:M1445,"&lt;&gt;"))</f>
        <v/>
      </c>
    </row>
    <row r="1446" customFormat="false" ht="15" hidden="false" customHeight="false" outlineLevel="0" collapsed="false">
      <c r="B1446" s="7"/>
      <c r="C1446" s="5"/>
      <c r="D1446" s="9" t="str">
        <f aca="false">IF(C1446="","",IFERROR(VLOOKUP(C1446,EQUIPOS!$B$3:$C$18,2,0),"NO EXISTE"))</f>
        <v/>
      </c>
      <c r="E1446" s="9" t="str">
        <f aca="false">IF(C1446="","",IFERROR(VLOOKUP(C1446,EQUIPOS!$B$3:$F$18,5,0),""))</f>
        <v/>
      </c>
      <c r="F1446" s="5" t="str">
        <f aca="false">IF(C1446="","",IFERROR(VLOOKUP(C1446,EQUIPOS!$B$3:$G$18,6,0),""))</f>
        <v/>
      </c>
      <c r="G1446" s="8"/>
      <c r="H1446" s="5"/>
      <c r="I1446" s="5"/>
      <c r="J1446" s="9"/>
      <c r="K1446" s="17" t="str">
        <f aca="false">IF(H1446="","",IFERROR(SUMIFS(BD_PLAN!$I$3:$I$312,BD_PLAN!$B$3:$B$312,E1446,BD_PLAN!$C$3:$C$312,INDEX(BD_CICLO!$F$3:$F$54,MATCH(E1446&amp;"|"&amp;H1446,BD_CICLO!$G$3:$G$54,0))),""))</f>
        <v/>
      </c>
      <c r="L1446" s="9"/>
      <c r="M1446" s="9"/>
      <c r="N1446" s="1" t="str">
        <f aca="false">IF(C1446="","",C1446&amp;"|"&amp;COUNTIF(C$3:C1446,C1446))</f>
        <v/>
      </c>
      <c r="O1446" s="1" t="str">
        <f aca="false">IF(OR(C1446="",M1446=""),"",C1446&amp;"|"&amp;COUNTIFS(C$3:C1446,C1446,M$3:M1446,"&lt;&gt;"))</f>
        <v/>
      </c>
    </row>
    <row r="1447" customFormat="false" ht="15" hidden="false" customHeight="false" outlineLevel="0" collapsed="false">
      <c r="B1447" s="7"/>
      <c r="C1447" s="5"/>
      <c r="D1447" s="9" t="str">
        <f aca="false">IF(C1447="","",IFERROR(VLOOKUP(C1447,EQUIPOS!$B$3:$C$18,2,0),"NO EXISTE"))</f>
        <v/>
      </c>
      <c r="E1447" s="9" t="str">
        <f aca="false">IF(C1447="","",IFERROR(VLOOKUP(C1447,EQUIPOS!$B$3:$F$18,5,0),""))</f>
        <v/>
      </c>
      <c r="F1447" s="5" t="str">
        <f aca="false">IF(C1447="","",IFERROR(VLOOKUP(C1447,EQUIPOS!$B$3:$G$18,6,0),""))</f>
        <v/>
      </c>
      <c r="G1447" s="8"/>
      <c r="H1447" s="5"/>
      <c r="I1447" s="5"/>
      <c r="J1447" s="9"/>
      <c r="K1447" s="17" t="str">
        <f aca="false">IF(H1447="","",IFERROR(SUMIFS(BD_PLAN!$I$3:$I$312,BD_PLAN!$B$3:$B$312,E1447,BD_PLAN!$C$3:$C$312,INDEX(BD_CICLO!$F$3:$F$54,MATCH(E1447&amp;"|"&amp;H1447,BD_CICLO!$G$3:$G$54,0))),""))</f>
        <v/>
      </c>
      <c r="L1447" s="9"/>
      <c r="M1447" s="9"/>
      <c r="N1447" s="1" t="str">
        <f aca="false">IF(C1447="","",C1447&amp;"|"&amp;COUNTIF(C$3:C1447,C1447))</f>
        <v/>
      </c>
      <c r="O1447" s="1" t="str">
        <f aca="false">IF(OR(C1447="",M1447=""),"",C1447&amp;"|"&amp;COUNTIFS(C$3:C1447,C1447,M$3:M1447,"&lt;&gt;"))</f>
        <v/>
      </c>
    </row>
    <row r="1448" customFormat="false" ht="15" hidden="false" customHeight="false" outlineLevel="0" collapsed="false">
      <c r="B1448" s="7"/>
      <c r="C1448" s="5"/>
      <c r="D1448" s="9" t="str">
        <f aca="false">IF(C1448="","",IFERROR(VLOOKUP(C1448,EQUIPOS!$B$3:$C$18,2,0),"NO EXISTE"))</f>
        <v/>
      </c>
      <c r="E1448" s="9" t="str">
        <f aca="false">IF(C1448="","",IFERROR(VLOOKUP(C1448,EQUIPOS!$B$3:$F$18,5,0),""))</f>
        <v/>
      </c>
      <c r="F1448" s="5" t="str">
        <f aca="false">IF(C1448="","",IFERROR(VLOOKUP(C1448,EQUIPOS!$B$3:$G$18,6,0),""))</f>
        <v/>
      </c>
      <c r="G1448" s="8"/>
      <c r="H1448" s="5"/>
      <c r="I1448" s="5"/>
      <c r="J1448" s="9"/>
      <c r="K1448" s="17" t="str">
        <f aca="false">IF(H1448="","",IFERROR(SUMIFS(BD_PLAN!$I$3:$I$312,BD_PLAN!$B$3:$B$312,E1448,BD_PLAN!$C$3:$C$312,INDEX(BD_CICLO!$F$3:$F$54,MATCH(E1448&amp;"|"&amp;H1448,BD_CICLO!$G$3:$G$54,0))),""))</f>
        <v/>
      </c>
      <c r="L1448" s="9"/>
      <c r="M1448" s="9"/>
      <c r="N1448" s="1" t="str">
        <f aca="false">IF(C1448="","",C1448&amp;"|"&amp;COUNTIF(C$3:C1448,C1448))</f>
        <v/>
      </c>
      <c r="O1448" s="1" t="str">
        <f aca="false">IF(OR(C1448="",M1448=""),"",C1448&amp;"|"&amp;COUNTIFS(C$3:C1448,C1448,M$3:M1448,"&lt;&gt;"))</f>
        <v/>
      </c>
    </row>
    <row r="1449" customFormat="false" ht="15" hidden="false" customHeight="false" outlineLevel="0" collapsed="false">
      <c r="B1449" s="7"/>
      <c r="C1449" s="5"/>
      <c r="D1449" s="9" t="str">
        <f aca="false">IF(C1449="","",IFERROR(VLOOKUP(C1449,EQUIPOS!$B$3:$C$18,2,0),"NO EXISTE"))</f>
        <v/>
      </c>
      <c r="E1449" s="9" t="str">
        <f aca="false">IF(C1449="","",IFERROR(VLOOKUP(C1449,EQUIPOS!$B$3:$F$18,5,0),""))</f>
        <v/>
      </c>
      <c r="F1449" s="5" t="str">
        <f aca="false">IF(C1449="","",IFERROR(VLOOKUP(C1449,EQUIPOS!$B$3:$G$18,6,0),""))</f>
        <v/>
      </c>
      <c r="G1449" s="8"/>
      <c r="H1449" s="5"/>
      <c r="I1449" s="5"/>
      <c r="J1449" s="9"/>
      <c r="K1449" s="17" t="str">
        <f aca="false">IF(H1449="","",IFERROR(SUMIFS(BD_PLAN!$I$3:$I$312,BD_PLAN!$B$3:$B$312,E1449,BD_PLAN!$C$3:$C$312,INDEX(BD_CICLO!$F$3:$F$54,MATCH(E1449&amp;"|"&amp;H1449,BD_CICLO!$G$3:$G$54,0))),""))</f>
        <v/>
      </c>
      <c r="L1449" s="9"/>
      <c r="M1449" s="9"/>
      <c r="N1449" s="1" t="str">
        <f aca="false">IF(C1449="","",C1449&amp;"|"&amp;COUNTIF(C$3:C1449,C1449))</f>
        <v/>
      </c>
      <c r="O1449" s="1" t="str">
        <f aca="false">IF(OR(C1449="",M1449=""),"",C1449&amp;"|"&amp;COUNTIFS(C$3:C1449,C1449,M$3:M1449,"&lt;&gt;"))</f>
        <v/>
      </c>
    </row>
    <row r="1450" customFormat="false" ht="15" hidden="false" customHeight="false" outlineLevel="0" collapsed="false">
      <c r="B1450" s="7"/>
      <c r="C1450" s="5"/>
      <c r="D1450" s="9" t="str">
        <f aca="false">IF(C1450="","",IFERROR(VLOOKUP(C1450,EQUIPOS!$B$3:$C$18,2,0),"NO EXISTE"))</f>
        <v/>
      </c>
      <c r="E1450" s="9" t="str">
        <f aca="false">IF(C1450="","",IFERROR(VLOOKUP(C1450,EQUIPOS!$B$3:$F$18,5,0),""))</f>
        <v/>
      </c>
      <c r="F1450" s="5" t="str">
        <f aca="false">IF(C1450="","",IFERROR(VLOOKUP(C1450,EQUIPOS!$B$3:$G$18,6,0),""))</f>
        <v/>
      </c>
      <c r="G1450" s="8"/>
      <c r="H1450" s="5"/>
      <c r="I1450" s="5"/>
      <c r="J1450" s="9"/>
      <c r="K1450" s="17" t="str">
        <f aca="false">IF(H1450="","",IFERROR(SUMIFS(BD_PLAN!$I$3:$I$312,BD_PLAN!$B$3:$B$312,E1450,BD_PLAN!$C$3:$C$312,INDEX(BD_CICLO!$F$3:$F$54,MATCH(E1450&amp;"|"&amp;H1450,BD_CICLO!$G$3:$G$54,0))),""))</f>
        <v/>
      </c>
      <c r="L1450" s="9"/>
      <c r="M1450" s="9"/>
      <c r="N1450" s="1" t="str">
        <f aca="false">IF(C1450="","",C1450&amp;"|"&amp;COUNTIF(C$3:C1450,C1450))</f>
        <v/>
      </c>
      <c r="O1450" s="1" t="str">
        <f aca="false">IF(OR(C1450="",M1450=""),"",C1450&amp;"|"&amp;COUNTIFS(C$3:C1450,C1450,M$3:M1450,"&lt;&gt;"))</f>
        <v/>
      </c>
    </row>
    <row r="1451" customFormat="false" ht="15" hidden="false" customHeight="false" outlineLevel="0" collapsed="false">
      <c r="B1451" s="7"/>
      <c r="C1451" s="5"/>
      <c r="D1451" s="9" t="str">
        <f aca="false">IF(C1451="","",IFERROR(VLOOKUP(C1451,EQUIPOS!$B$3:$C$18,2,0),"NO EXISTE"))</f>
        <v/>
      </c>
      <c r="E1451" s="9" t="str">
        <f aca="false">IF(C1451="","",IFERROR(VLOOKUP(C1451,EQUIPOS!$B$3:$F$18,5,0),""))</f>
        <v/>
      </c>
      <c r="F1451" s="5" t="str">
        <f aca="false">IF(C1451="","",IFERROR(VLOOKUP(C1451,EQUIPOS!$B$3:$G$18,6,0),""))</f>
        <v/>
      </c>
      <c r="G1451" s="8"/>
      <c r="H1451" s="5"/>
      <c r="I1451" s="5"/>
      <c r="J1451" s="9"/>
      <c r="K1451" s="17" t="str">
        <f aca="false">IF(H1451="","",IFERROR(SUMIFS(BD_PLAN!$I$3:$I$312,BD_PLAN!$B$3:$B$312,E1451,BD_PLAN!$C$3:$C$312,INDEX(BD_CICLO!$F$3:$F$54,MATCH(E1451&amp;"|"&amp;H1451,BD_CICLO!$G$3:$G$54,0))),""))</f>
        <v/>
      </c>
      <c r="L1451" s="9"/>
      <c r="M1451" s="9"/>
      <c r="N1451" s="1" t="str">
        <f aca="false">IF(C1451="","",C1451&amp;"|"&amp;COUNTIF(C$3:C1451,C1451))</f>
        <v/>
      </c>
      <c r="O1451" s="1" t="str">
        <f aca="false">IF(OR(C1451="",M1451=""),"",C1451&amp;"|"&amp;COUNTIFS(C$3:C1451,C1451,M$3:M1451,"&lt;&gt;"))</f>
        <v/>
      </c>
    </row>
    <row r="1452" customFormat="false" ht="15" hidden="false" customHeight="false" outlineLevel="0" collapsed="false">
      <c r="B1452" s="7"/>
      <c r="C1452" s="5"/>
      <c r="D1452" s="9" t="str">
        <f aca="false">IF(C1452="","",IFERROR(VLOOKUP(C1452,EQUIPOS!$B$3:$C$18,2,0),"NO EXISTE"))</f>
        <v/>
      </c>
      <c r="E1452" s="9" t="str">
        <f aca="false">IF(C1452="","",IFERROR(VLOOKUP(C1452,EQUIPOS!$B$3:$F$18,5,0),""))</f>
        <v/>
      </c>
      <c r="F1452" s="5" t="str">
        <f aca="false">IF(C1452="","",IFERROR(VLOOKUP(C1452,EQUIPOS!$B$3:$G$18,6,0),""))</f>
        <v/>
      </c>
      <c r="G1452" s="8"/>
      <c r="H1452" s="5"/>
      <c r="I1452" s="5"/>
      <c r="J1452" s="9"/>
      <c r="K1452" s="17" t="str">
        <f aca="false">IF(H1452="","",IFERROR(SUMIFS(BD_PLAN!$I$3:$I$312,BD_PLAN!$B$3:$B$312,E1452,BD_PLAN!$C$3:$C$312,INDEX(BD_CICLO!$F$3:$F$54,MATCH(E1452&amp;"|"&amp;H1452,BD_CICLO!$G$3:$G$54,0))),""))</f>
        <v/>
      </c>
      <c r="L1452" s="9"/>
      <c r="M1452" s="9"/>
      <c r="N1452" s="1" t="str">
        <f aca="false">IF(C1452="","",C1452&amp;"|"&amp;COUNTIF(C$3:C1452,C1452))</f>
        <v/>
      </c>
      <c r="O1452" s="1" t="str">
        <f aca="false">IF(OR(C1452="",M1452=""),"",C1452&amp;"|"&amp;COUNTIFS(C$3:C1452,C1452,M$3:M1452,"&lt;&gt;"))</f>
        <v/>
      </c>
    </row>
    <row r="1453" customFormat="false" ht="15" hidden="false" customHeight="false" outlineLevel="0" collapsed="false">
      <c r="B1453" s="7"/>
      <c r="C1453" s="5"/>
      <c r="D1453" s="9" t="str">
        <f aca="false">IF(C1453="","",IFERROR(VLOOKUP(C1453,EQUIPOS!$B$3:$C$18,2,0),"NO EXISTE"))</f>
        <v/>
      </c>
      <c r="E1453" s="9" t="str">
        <f aca="false">IF(C1453="","",IFERROR(VLOOKUP(C1453,EQUIPOS!$B$3:$F$18,5,0),""))</f>
        <v/>
      </c>
      <c r="F1453" s="5" t="str">
        <f aca="false">IF(C1453="","",IFERROR(VLOOKUP(C1453,EQUIPOS!$B$3:$G$18,6,0),""))</f>
        <v/>
      </c>
      <c r="G1453" s="8"/>
      <c r="H1453" s="5"/>
      <c r="I1453" s="5"/>
      <c r="J1453" s="9"/>
      <c r="K1453" s="17" t="str">
        <f aca="false">IF(H1453="","",IFERROR(SUMIFS(BD_PLAN!$I$3:$I$312,BD_PLAN!$B$3:$B$312,E1453,BD_PLAN!$C$3:$C$312,INDEX(BD_CICLO!$F$3:$F$54,MATCH(E1453&amp;"|"&amp;H1453,BD_CICLO!$G$3:$G$54,0))),""))</f>
        <v/>
      </c>
      <c r="L1453" s="9"/>
      <c r="M1453" s="9"/>
      <c r="N1453" s="1" t="str">
        <f aca="false">IF(C1453="","",C1453&amp;"|"&amp;COUNTIF(C$3:C1453,C1453))</f>
        <v/>
      </c>
      <c r="O1453" s="1" t="str">
        <f aca="false">IF(OR(C1453="",M1453=""),"",C1453&amp;"|"&amp;COUNTIFS(C$3:C1453,C1453,M$3:M1453,"&lt;&gt;"))</f>
        <v/>
      </c>
    </row>
    <row r="1454" customFormat="false" ht="15" hidden="false" customHeight="false" outlineLevel="0" collapsed="false">
      <c r="B1454" s="7"/>
      <c r="C1454" s="5"/>
      <c r="D1454" s="9" t="str">
        <f aca="false">IF(C1454="","",IFERROR(VLOOKUP(C1454,EQUIPOS!$B$3:$C$18,2,0),"NO EXISTE"))</f>
        <v/>
      </c>
      <c r="E1454" s="9" t="str">
        <f aca="false">IF(C1454="","",IFERROR(VLOOKUP(C1454,EQUIPOS!$B$3:$F$18,5,0),""))</f>
        <v/>
      </c>
      <c r="F1454" s="5" t="str">
        <f aca="false">IF(C1454="","",IFERROR(VLOOKUP(C1454,EQUIPOS!$B$3:$G$18,6,0),""))</f>
        <v/>
      </c>
      <c r="G1454" s="8"/>
      <c r="H1454" s="5"/>
      <c r="I1454" s="5"/>
      <c r="J1454" s="9"/>
      <c r="K1454" s="17" t="str">
        <f aca="false">IF(H1454="","",IFERROR(SUMIFS(BD_PLAN!$I$3:$I$312,BD_PLAN!$B$3:$B$312,E1454,BD_PLAN!$C$3:$C$312,INDEX(BD_CICLO!$F$3:$F$54,MATCH(E1454&amp;"|"&amp;H1454,BD_CICLO!$G$3:$G$54,0))),""))</f>
        <v/>
      </c>
      <c r="L1454" s="9"/>
      <c r="M1454" s="9"/>
      <c r="N1454" s="1" t="str">
        <f aca="false">IF(C1454="","",C1454&amp;"|"&amp;COUNTIF(C$3:C1454,C1454))</f>
        <v/>
      </c>
      <c r="O1454" s="1" t="str">
        <f aca="false">IF(OR(C1454="",M1454=""),"",C1454&amp;"|"&amp;COUNTIFS(C$3:C1454,C1454,M$3:M1454,"&lt;&gt;"))</f>
        <v/>
      </c>
    </row>
    <row r="1455" customFormat="false" ht="15" hidden="false" customHeight="false" outlineLevel="0" collapsed="false">
      <c r="B1455" s="7"/>
      <c r="C1455" s="5"/>
      <c r="D1455" s="9" t="str">
        <f aca="false">IF(C1455="","",IFERROR(VLOOKUP(C1455,EQUIPOS!$B$3:$C$18,2,0),"NO EXISTE"))</f>
        <v/>
      </c>
      <c r="E1455" s="9" t="str">
        <f aca="false">IF(C1455="","",IFERROR(VLOOKUP(C1455,EQUIPOS!$B$3:$F$18,5,0),""))</f>
        <v/>
      </c>
      <c r="F1455" s="5" t="str">
        <f aca="false">IF(C1455="","",IFERROR(VLOOKUP(C1455,EQUIPOS!$B$3:$G$18,6,0),""))</f>
        <v/>
      </c>
      <c r="G1455" s="8"/>
      <c r="H1455" s="5"/>
      <c r="I1455" s="5"/>
      <c r="J1455" s="9"/>
      <c r="K1455" s="17" t="str">
        <f aca="false">IF(H1455="","",IFERROR(SUMIFS(BD_PLAN!$I$3:$I$312,BD_PLAN!$B$3:$B$312,E1455,BD_PLAN!$C$3:$C$312,INDEX(BD_CICLO!$F$3:$F$54,MATCH(E1455&amp;"|"&amp;H1455,BD_CICLO!$G$3:$G$54,0))),""))</f>
        <v/>
      </c>
      <c r="L1455" s="9"/>
      <c r="M1455" s="9"/>
      <c r="N1455" s="1" t="str">
        <f aca="false">IF(C1455="","",C1455&amp;"|"&amp;COUNTIF(C$3:C1455,C1455))</f>
        <v/>
      </c>
      <c r="O1455" s="1" t="str">
        <f aca="false">IF(OR(C1455="",M1455=""),"",C1455&amp;"|"&amp;COUNTIFS(C$3:C1455,C1455,M$3:M1455,"&lt;&gt;"))</f>
        <v/>
      </c>
    </row>
    <row r="1456" customFormat="false" ht="15" hidden="false" customHeight="false" outlineLevel="0" collapsed="false">
      <c r="B1456" s="7"/>
      <c r="C1456" s="5"/>
      <c r="D1456" s="9" t="str">
        <f aca="false">IF(C1456="","",IFERROR(VLOOKUP(C1456,EQUIPOS!$B$3:$C$18,2,0),"NO EXISTE"))</f>
        <v/>
      </c>
      <c r="E1456" s="9" t="str">
        <f aca="false">IF(C1456="","",IFERROR(VLOOKUP(C1456,EQUIPOS!$B$3:$F$18,5,0),""))</f>
        <v/>
      </c>
      <c r="F1456" s="5" t="str">
        <f aca="false">IF(C1456="","",IFERROR(VLOOKUP(C1456,EQUIPOS!$B$3:$G$18,6,0),""))</f>
        <v/>
      </c>
      <c r="G1456" s="8"/>
      <c r="H1456" s="5"/>
      <c r="I1456" s="5"/>
      <c r="J1456" s="9"/>
      <c r="K1456" s="17" t="str">
        <f aca="false">IF(H1456="","",IFERROR(SUMIFS(BD_PLAN!$I$3:$I$312,BD_PLAN!$B$3:$B$312,E1456,BD_PLAN!$C$3:$C$312,INDEX(BD_CICLO!$F$3:$F$54,MATCH(E1456&amp;"|"&amp;H1456,BD_CICLO!$G$3:$G$54,0))),""))</f>
        <v/>
      </c>
      <c r="L1456" s="9"/>
      <c r="M1456" s="9"/>
      <c r="N1456" s="1" t="str">
        <f aca="false">IF(C1456="","",C1456&amp;"|"&amp;COUNTIF(C$3:C1456,C1456))</f>
        <v/>
      </c>
      <c r="O1456" s="1" t="str">
        <f aca="false">IF(OR(C1456="",M1456=""),"",C1456&amp;"|"&amp;COUNTIFS(C$3:C1456,C1456,M$3:M1456,"&lt;&gt;"))</f>
        <v/>
      </c>
    </row>
    <row r="1457" customFormat="false" ht="15" hidden="false" customHeight="false" outlineLevel="0" collapsed="false">
      <c r="B1457" s="7"/>
      <c r="C1457" s="5"/>
      <c r="D1457" s="9" t="str">
        <f aca="false">IF(C1457="","",IFERROR(VLOOKUP(C1457,EQUIPOS!$B$3:$C$18,2,0),"NO EXISTE"))</f>
        <v/>
      </c>
      <c r="E1457" s="9" t="str">
        <f aca="false">IF(C1457="","",IFERROR(VLOOKUP(C1457,EQUIPOS!$B$3:$F$18,5,0),""))</f>
        <v/>
      </c>
      <c r="F1457" s="5" t="str">
        <f aca="false">IF(C1457="","",IFERROR(VLOOKUP(C1457,EQUIPOS!$B$3:$G$18,6,0),""))</f>
        <v/>
      </c>
      <c r="G1457" s="8"/>
      <c r="H1457" s="5"/>
      <c r="I1457" s="5"/>
      <c r="J1457" s="9"/>
      <c r="K1457" s="17" t="str">
        <f aca="false">IF(H1457="","",IFERROR(SUMIFS(BD_PLAN!$I$3:$I$312,BD_PLAN!$B$3:$B$312,E1457,BD_PLAN!$C$3:$C$312,INDEX(BD_CICLO!$F$3:$F$54,MATCH(E1457&amp;"|"&amp;H1457,BD_CICLO!$G$3:$G$54,0))),""))</f>
        <v/>
      </c>
      <c r="L1457" s="9"/>
      <c r="M1457" s="9"/>
      <c r="N1457" s="1" t="str">
        <f aca="false">IF(C1457="","",C1457&amp;"|"&amp;COUNTIF(C$3:C1457,C1457))</f>
        <v/>
      </c>
      <c r="O1457" s="1" t="str">
        <f aca="false">IF(OR(C1457="",M1457=""),"",C1457&amp;"|"&amp;COUNTIFS(C$3:C1457,C1457,M$3:M1457,"&lt;&gt;"))</f>
        <v/>
      </c>
    </row>
    <row r="1458" customFormat="false" ht="15" hidden="false" customHeight="false" outlineLevel="0" collapsed="false">
      <c r="B1458" s="7"/>
      <c r="C1458" s="5"/>
      <c r="D1458" s="9" t="str">
        <f aca="false">IF(C1458="","",IFERROR(VLOOKUP(C1458,EQUIPOS!$B$3:$C$18,2,0),"NO EXISTE"))</f>
        <v/>
      </c>
      <c r="E1458" s="9" t="str">
        <f aca="false">IF(C1458="","",IFERROR(VLOOKUP(C1458,EQUIPOS!$B$3:$F$18,5,0),""))</f>
        <v/>
      </c>
      <c r="F1458" s="5" t="str">
        <f aca="false">IF(C1458="","",IFERROR(VLOOKUP(C1458,EQUIPOS!$B$3:$G$18,6,0),""))</f>
        <v/>
      </c>
      <c r="G1458" s="8"/>
      <c r="H1458" s="5"/>
      <c r="I1458" s="5"/>
      <c r="J1458" s="9"/>
      <c r="K1458" s="17" t="str">
        <f aca="false">IF(H1458="","",IFERROR(SUMIFS(BD_PLAN!$I$3:$I$312,BD_PLAN!$B$3:$B$312,E1458,BD_PLAN!$C$3:$C$312,INDEX(BD_CICLO!$F$3:$F$54,MATCH(E1458&amp;"|"&amp;H1458,BD_CICLO!$G$3:$G$54,0))),""))</f>
        <v/>
      </c>
      <c r="L1458" s="9"/>
      <c r="M1458" s="9"/>
      <c r="N1458" s="1" t="str">
        <f aca="false">IF(C1458="","",C1458&amp;"|"&amp;COUNTIF(C$3:C1458,C1458))</f>
        <v/>
      </c>
      <c r="O1458" s="1" t="str">
        <f aca="false">IF(OR(C1458="",M1458=""),"",C1458&amp;"|"&amp;COUNTIFS(C$3:C1458,C1458,M$3:M1458,"&lt;&gt;"))</f>
        <v/>
      </c>
    </row>
    <row r="1459" customFormat="false" ht="15" hidden="false" customHeight="false" outlineLevel="0" collapsed="false">
      <c r="B1459" s="7"/>
      <c r="C1459" s="5"/>
      <c r="D1459" s="9" t="str">
        <f aca="false">IF(C1459="","",IFERROR(VLOOKUP(C1459,EQUIPOS!$B$3:$C$18,2,0),"NO EXISTE"))</f>
        <v/>
      </c>
      <c r="E1459" s="9" t="str">
        <f aca="false">IF(C1459="","",IFERROR(VLOOKUP(C1459,EQUIPOS!$B$3:$F$18,5,0),""))</f>
        <v/>
      </c>
      <c r="F1459" s="5" t="str">
        <f aca="false">IF(C1459="","",IFERROR(VLOOKUP(C1459,EQUIPOS!$B$3:$G$18,6,0),""))</f>
        <v/>
      </c>
      <c r="G1459" s="8"/>
      <c r="H1459" s="5"/>
      <c r="I1459" s="5"/>
      <c r="J1459" s="9"/>
      <c r="K1459" s="17" t="str">
        <f aca="false">IF(H1459="","",IFERROR(SUMIFS(BD_PLAN!$I$3:$I$312,BD_PLAN!$B$3:$B$312,E1459,BD_PLAN!$C$3:$C$312,INDEX(BD_CICLO!$F$3:$F$54,MATCH(E1459&amp;"|"&amp;H1459,BD_CICLO!$G$3:$G$54,0))),""))</f>
        <v/>
      </c>
      <c r="L1459" s="9"/>
      <c r="M1459" s="9"/>
      <c r="N1459" s="1" t="str">
        <f aca="false">IF(C1459="","",C1459&amp;"|"&amp;COUNTIF(C$3:C1459,C1459))</f>
        <v/>
      </c>
      <c r="O1459" s="1" t="str">
        <f aca="false">IF(OR(C1459="",M1459=""),"",C1459&amp;"|"&amp;COUNTIFS(C$3:C1459,C1459,M$3:M1459,"&lt;&gt;"))</f>
        <v/>
      </c>
    </row>
    <row r="1460" customFormat="false" ht="15" hidden="false" customHeight="false" outlineLevel="0" collapsed="false">
      <c r="B1460" s="7"/>
      <c r="C1460" s="5"/>
      <c r="D1460" s="9" t="str">
        <f aca="false">IF(C1460="","",IFERROR(VLOOKUP(C1460,EQUIPOS!$B$3:$C$18,2,0),"NO EXISTE"))</f>
        <v/>
      </c>
      <c r="E1460" s="9" t="str">
        <f aca="false">IF(C1460="","",IFERROR(VLOOKUP(C1460,EQUIPOS!$B$3:$F$18,5,0),""))</f>
        <v/>
      </c>
      <c r="F1460" s="5" t="str">
        <f aca="false">IF(C1460="","",IFERROR(VLOOKUP(C1460,EQUIPOS!$B$3:$G$18,6,0),""))</f>
        <v/>
      </c>
      <c r="G1460" s="8"/>
      <c r="H1460" s="5"/>
      <c r="I1460" s="5"/>
      <c r="J1460" s="9"/>
      <c r="K1460" s="17" t="str">
        <f aca="false">IF(H1460="","",IFERROR(SUMIFS(BD_PLAN!$I$3:$I$312,BD_PLAN!$B$3:$B$312,E1460,BD_PLAN!$C$3:$C$312,INDEX(BD_CICLO!$F$3:$F$54,MATCH(E1460&amp;"|"&amp;H1460,BD_CICLO!$G$3:$G$54,0))),""))</f>
        <v/>
      </c>
      <c r="L1460" s="9"/>
      <c r="M1460" s="9"/>
      <c r="N1460" s="1" t="str">
        <f aca="false">IF(C1460="","",C1460&amp;"|"&amp;COUNTIF(C$3:C1460,C1460))</f>
        <v/>
      </c>
      <c r="O1460" s="1" t="str">
        <f aca="false">IF(OR(C1460="",M1460=""),"",C1460&amp;"|"&amp;COUNTIFS(C$3:C1460,C1460,M$3:M1460,"&lt;&gt;"))</f>
        <v/>
      </c>
    </row>
    <row r="1461" customFormat="false" ht="15" hidden="false" customHeight="false" outlineLevel="0" collapsed="false">
      <c r="B1461" s="7"/>
      <c r="C1461" s="5"/>
      <c r="D1461" s="9" t="str">
        <f aca="false">IF(C1461="","",IFERROR(VLOOKUP(C1461,EQUIPOS!$B$3:$C$18,2,0),"NO EXISTE"))</f>
        <v/>
      </c>
      <c r="E1461" s="9" t="str">
        <f aca="false">IF(C1461="","",IFERROR(VLOOKUP(C1461,EQUIPOS!$B$3:$F$18,5,0),""))</f>
        <v/>
      </c>
      <c r="F1461" s="5" t="str">
        <f aca="false">IF(C1461="","",IFERROR(VLOOKUP(C1461,EQUIPOS!$B$3:$G$18,6,0),""))</f>
        <v/>
      </c>
      <c r="G1461" s="8"/>
      <c r="H1461" s="5"/>
      <c r="I1461" s="5"/>
      <c r="J1461" s="9"/>
      <c r="K1461" s="17" t="str">
        <f aca="false">IF(H1461="","",IFERROR(SUMIFS(BD_PLAN!$I$3:$I$312,BD_PLAN!$B$3:$B$312,E1461,BD_PLAN!$C$3:$C$312,INDEX(BD_CICLO!$F$3:$F$54,MATCH(E1461&amp;"|"&amp;H1461,BD_CICLO!$G$3:$G$54,0))),""))</f>
        <v/>
      </c>
      <c r="L1461" s="9"/>
      <c r="M1461" s="9"/>
      <c r="N1461" s="1" t="str">
        <f aca="false">IF(C1461="","",C1461&amp;"|"&amp;COUNTIF(C$3:C1461,C1461))</f>
        <v/>
      </c>
      <c r="O1461" s="1" t="str">
        <f aca="false">IF(OR(C1461="",M1461=""),"",C1461&amp;"|"&amp;COUNTIFS(C$3:C1461,C1461,M$3:M1461,"&lt;&gt;"))</f>
        <v/>
      </c>
    </row>
    <row r="1462" customFormat="false" ht="15" hidden="false" customHeight="false" outlineLevel="0" collapsed="false">
      <c r="B1462" s="7"/>
      <c r="C1462" s="5"/>
      <c r="D1462" s="9" t="str">
        <f aca="false">IF(C1462="","",IFERROR(VLOOKUP(C1462,EQUIPOS!$B$3:$C$18,2,0),"NO EXISTE"))</f>
        <v/>
      </c>
      <c r="E1462" s="9" t="str">
        <f aca="false">IF(C1462="","",IFERROR(VLOOKUP(C1462,EQUIPOS!$B$3:$F$18,5,0),""))</f>
        <v/>
      </c>
      <c r="F1462" s="5" t="str">
        <f aca="false">IF(C1462="","",IFERROR(VLOOKUP(C1462,EQUIPOS!$B$3:$G$18,6,0),""))</f>
        <v/>
      </c>
      <c r="G1462" s="8"/>
      <c r="H1462" s="5"/>
      <c r="I1462" s="5"/>
      <c r="J1462" s="9"/>
      <c r="K1462" s="17" t="str">
        <f aca="false">IF(H1462="","",IFERROR(SUMIFS(BD_PLAN!$I$3:$I$312,BD_PLAN!$B$3:$B$312,E1462,BD_PLAN!$C$3:$C$312,INDEX(BD_CICLO!$F$3:$F$54,MATCH(E1462&amp;"|"&amp;H1462,BD_CICLO!$G$3:$G$54,0))),""))</f>
        <v/>
      </c>
      <c r="L1462" s="9"/>
      <c r="M1462" s="9"/>
      <c r="N1462" s="1" t="str">
        <f aca="false">IF(C1462="","",C1462&amp;"|"&amp;COUNTIF(C$3:C1462,C1462))</f>
        <v/>
      </c>
      <c r="O1462" s="1" t="str">
        <f aca="false">IF(OR(C1462="",M1462=""),"",C1462&amp;"|"&amp;COUNTIFS(C$3:C1462,C1462,M$3:M1462,"&lt;&gt;"))</f>
        <v/>
      </c>
    </row>
    <row r="1463" customFormat="false" ht="15" hidden="false" customHeight="false" outlineLevel="0" collapsed="false">
      <c r="B1463" s="7"/>
      <c r="C1463" s="5"/>
      <c r="D1463" s="9" t="str">
        <f aca="false">IF(C1463="","",IFERROR(VLOOKUP(C1463,EQUIPOS!$B$3:$C$18,2,0),"NO EXISTE"))</f>
        <v/>
      </c>
      <c r="E1463" s="9" t="str">
        <f aca="false">IF(C1463="","",IFERROR(VLOOKUP(C1463,EQUIPOS!$B$3:$F$18,5,0),""))</f>
        <v/>
      </c>
      <c r="F1463" s="5" t="str">
        <f aca="false">IF(C1463="","",IFERROR(VLOOKUP(C1463,EQUIPOS!$B$3:$G$18,6,0),""))</f>
        <v/>
      </c>
      <c r="G1463" s="8"/>
      <c r="H1463" s="5"/>
      <c r="I1463" s="5"/>
      <c r="J1463" s="9"/>
      <c r="K1463" s="17" t="str">
        <f aca="false">IF(H1463="","",IFERROR(SUMIFS(BD_PLAN!$I$3:$I$312,BD_PLAN!$B$3:$B$312,E1463,BD_PLAN!$C$3:$C$312,INDEX(BD_CICLO!$F$3:$F$54,MATCH(E1463&amp;"|"&amp;H1463,BD_CICLO!$G$3:$G$54,0))),""))</f>
        <v/>
      </c>
      <c r="L1463" s="9"/>
      <c r="M1463" s="9"/>
      <c r="N1463" s="1" t="str">
        <f aca="false">IF(C1463="","",C1463&amp;"|"&amp;COUNTIF(C$3:C1463,C1463))</f>
        <v/>
      </c>
      <c r="O1463" s="1" t="str">
        <f aca="false">IF(OR(C1463="",M1463=""),"",C1463&amp;"|"&amp;COUNTIFS(C$3:C1463,C1463,M$3:M1463,"&lt;&gt;"))</f>
        <v/>
      </c>
    </row>
    <row r="1464" customFormat="false" ht="15" hidden="false" customHeight="false" outlineLevel="0" collapsed="false">
      <c r="B1464" s="7"/>
      <c r="C1464" s="5"/>
      <c r="D1464" s="9" t="str">
        <f aca="false">IF(C1464="","",IFERROR(VLOOKUP(C1464,EQUIPOS!$B$3:$C$18,2,0),"NO EXISTE"))</f>
        <v/>
      </c>
      <c r="E1464" s="9" t="str">
        <f aca="false">IF(C1464="","",IFERROR(VLOOKUP(C1464,EQUIPOS!$B$3:$F$18,5,0),""))</f>
        <v/>
      </c>
      <c r="F1464" s="5" t="str">
        <f aca="false">IF(C1464="","",IFERROR(VLOOKUP(C1464,EQUIPOS!$B$3:$G$18,6,0),""))</f>
        <v/>
      </c>
      <c r="G1464" s="8"/>
      <c r="H1464" s="5"/>
      <c r="I1464" s="5"/>
      <c r="J1464" s="9"/>
      <c r="K1464" s="17" t="str">
        <f aca="false">IF(H1464="","",IFERROR(SUMIFS(BD_PLAN!$I$3:$I$312,BD_PLAN!$B$3:$B$312,E1464,BD_PLAN!$C$3:$C$312,INDEX(BD_CICLO!$F$3:$F$54,MATCH(E1464&amp;"|"&amp;H1464,BD_CICLO!$G$3:$G$54,0))),""))</f>
        <v/>
      </c>
      <c r="L1464" s="9"/>
      <c r="M1464" s="9"/>
      <c r="N1464" s="1" t="str">
        <f aca="false">IF(C1464="","",C1464&amp;"|"&amp;COUNTIF(C$3:C1464,C1464))</f>
        <v/>
      </c>
      <c r="O1464" s="1" t="str">
        <f aca="false">IF(OR(C1464="",M1464=""),"",C1464&amp;"|"&amp;COUNTIFS(C$3:C1464,C1464,M$3:M1464,"&lt;&gt;"))</f>
        <v/>
      </c>
    </row>
    <row r="1465" customFormat="false" ht="15" hidden="false" customHeight="false" outlineLevel="0" collapsed="false">
      <c r="B1465" s="7"/>
      <c r="C1465" s="5"/>
      <c r="D1465" s="9" t="str">
        <f aca="false">IF(C1465="","",IFERROR(VLOOKUP(C1465,EQUIPOS!$B$3:$C$18,2,0),"NO EXISTE"))</f>
        <v/>
      </c>
      <c r="E1465" s="9" t="str">
        <f aca="false">IF(C1465="","",IFERROR(VLOOKUP(C1465,EQUIPOS!$B$3:$F$18,5,0),""))</f>
        <v/>
      </c>
      <c r="F1465" s="5" t="str">
        <f aca="false">IF(C1465="","",IFERROR(VLOOKUP(C1465,EQUIPOS!$B$3:$G$18,6,0),""))</f>
        <v/>
      </c>
      <c r="G1465" s="8"/>
      <c r="H1465" s="5"/>
      <c r="I1465" s="5"/>
      <c r="J1465" s="9"/>
      <c r="K1465" s="17" t="str">
        <f aca="false">IF(H1465="","",IFERROR(SUMIFS(BD_PLAN!$I$3:$I$312,BD_PLAN!$B$3:$B$312,E1465,BD_PLAN!$C$3:$C$312,INDEX(BD_CICLO!$F$3:$F$54,MATCH(E1465&amp;"|"&amp;H1465,BD_CICLO!$G$3:$G$54,0))),""))</f>
        <v/>
      </c>
      <c r="L1465" s="9"/>
      <c r="M1465" s="9"/>
      <c r="N1465" s="1" t="str">
        <f aca="false">IF(C1465="","",C1465&amp;"|"&amp;COUNTIF(C$3:C1465,C1465))</f>
        <v/>
      </c>
      <c r="O1465" s="1" t="str">
        <f aca="false">IF(OR(C1465="",M1465=""),"",C1465&amp;"|"&amp;COUNTIFS(C$3:C1465,C1465,M$3:M1465,"&lt;&gt;"))</f>
        <v/>
      </c>
    </row>
    <row r="1466" customFormat="false" ht="15" hidden="false" customHeight="false" outlineLevel="0" collapsed="false">
      <c r="B1466" s="7"/>
      <c r="C1466" s="5"/>
      <c r="D1466" s="9" t="str">
        <f aca="false">IF(C1466="","",IFERROR(VLOOKUP(C1466,EQUIPOS!$B$3:$C$18,2,0),"NO EXISTE"))</f>
        <v/>
      </c>
      <c r="E1466" s="9" t="str">
        <f aca="false">IF(C1466="","",IFERROR(VLOOKUP(C1466,EQUIPOS!$B$3:$F$18,5,0),""))</f>
        <v/>
      </c>
      <c r="F1466" s="5" t="str">
        <f aca="false">IF(C1466="","",IFERROR(VLOOKUP(C1466,EQUIPOS!$B$3:$G$18,6,0),""))</f>
        <v/>
      </c>
      <c r="G1466" s="8"/>
      <c r="H1466" s="5"/>
      <c r="I1466" s="5"/>
      <c r="J1466" s="9"/>
      <c r="K1466" s="17" t="str">
        <f aca="false">IF(H1466="","",IFERROR(SUMIFS(BD_PLAN!$I$3:$I$312,BD_PLAN!$B$3:$B$312,E1466,BD_PLAN!$C$3:$C$312,INDEX(BD_CICLO!$F$3:$F$54,MATCH(E1466&amp;"|"&amp;H1466,BD_CICLO!$G$3:$G$54,0))),""))</f>
        <v/>
      </c>
      <c r="L1466" s="9"/>
      <c r="M1466" s="9"/>
      <c r="N1466" s="1" t="str">
        <f aca="false">IF(C1466="","",C1466&amp;"|"&amp;COUNTIF(C$3:C1466,C1466))</f>
        <v/>
      </c>
      <c r="O1466" s="1" t="str">
        <f aca="false">IF(OR(C1466="",M1466=""),"",C1466&amp;"|"&amp;COUNTIFS(C$3:C1466,C1466,M$3:M1466,"&lt;&gt;"))</f>
        <v/>
      </c>
    </row>
    <row r="1467" customFormat="false" ht="15" hidden="false" customHeight="false" outlineLevel="0" collapsed="false">
      <c r="B1467" s="7"/>
      <c r="C1467" s="5"/>
      <c r="D1467" s="9" t="str">
        <f aca="false">IF(C1467="","",IFERROR(VLOOKUP(C1467,EQUIPOS!$B$3:$C$18,2,0),"NO EXISTE"))</f>
        <v/>
      </c>
      <c r="E1467" s="9" t="str">
        <f aca="false">IF(C1467="","",IFERROR(VLOOKUP(C1467,EQUIPOS!$B$3:$F$18,5,0),""))</f>
        <v/>
      </c>
      <c r="F1467" s="5" t="str">
        <f aca="false">IF(C1467="","",IFERROR(VLOOKUP(C1467,EQUIPOS!$B$3:$G$18,6,0),""))</f>
        <v/>
      </c>
      <c r="G1467" s="8"/>
      <c r="H1467" s="5"/>
      <c r="I1467" s="5"/>
      <c r="J1467" s="9"/>
      <c r="K1467" s="17" t="str">
        <f aca="false">IF(H1467="","",IFERROR(SUMIFS(BD_PLAN!$I$3:$I$312,BD_PLAN!$B$3:$B$312,E1467,BD_PLAN!$C$3:$C$312,INDEX(BD_CICLO!$F$3:$F$54,MATCH(E1467&amp;"|"&amp;H1467,BD_CICLO!$G$3:$G$54,0))),""))</f>
        <v/>
      </c>
      <c r="L1467" s="9"/>
      <c r="M1467" s="9"/>
      <c r="N1467" s="1" t="str">
        <f aca="false">IF(C1467="","",C1467&amp;"|"&amp;COUNTIF(C$3:C1467,C1467))</f>
        <v/>
      </c>
      <c r="O1467" s="1" t="str">
        <f aca="false">IF(OR(C1467="",M1467=""),"",C1467&amp;"|"&amp;COUNTIFS(C$3:C1467,C1467,M$3:M1467,"&lt;&gt;"))</f>
        <v/>
      </c>
    </row>
    <row r="1468" customFormat="false" ht="15" hidden="false" customHeight="false" outlineLevel="0" collapsed="false">
      <c r="B1468" s="7"/>
      <c r="C1468" s="5"/>
      <c r="D1468" s="9" t="str">
        <f aca="false">IF(C1468="","",IFERROR(VLOOKUP(C1468,EQUIPOS!$B$3:$C$18,2,0),"NO EXISTE"))</f>
        <v/>
      </c>
      <c r="E1468" s="9" t="str">
        <f aca="false">IF(C1468="","",IFERROR(VLOOKUP(C1468,EQUIPOS!$B$3:$F$18,5,0),""))</f>
        <v/>
      </c>
      <c r="F1468" s="5" t="str">
        <f aca="false">IF(C1468="","",IFERROR(VLOOKUP(C1468,EQUIPOS!$B$3:$G$18,6,0),""))</f>
        <v/>
      </c>
      <c r="G1468" s="8"/>
      <c r="H1468" s="5"/>
      <c r="I1468" s="5"/>
      <c r="J1468" s="9"/>
      <c r="K1468" s="17" t="str">
        <f aca="false">IF(H1468="","",IFERROR(SUMIFS(BD_PLAN!$I$3:$I$312,BD_PLAN!$B$3:$B$312,E1468,BD_PLAN!$C$3:$C$312,INDEX(BD_CICLO!$F$3:$F$54,MATCH(E1468&amp;"|"&amp;H1468,BD_CICLO!$G$3:$G$54,0))),""))</f>
        <v/>
      </c>
      <c r="L1468" s="9"/>
      <c r="M1468" s="9"/>
      <c r="N1468" s="1" t="str">
        <f aca="false">IF(C1468="","",C1468&amp;"|"&amp;COUNTIF(C$3:C1468,C1468))</f>
        <v/>
      </c>
      <c r="O1468" s="1" t="str">
        <f aca="false">IF(OR(C1468="",M1468=""),"",C1468&amp;"|"&amp;COUNTIFS(C$3:C1468,C1468,M$3:M1468,"&lt;&gt;"))</f>
        <v/>
      </c>
    </row>
    <row r="1469" customFormat="false" ht="15" hidden="false" customHeight="false" outlineLevel="0" collapsed="false">
      <c r="B1469" s="7"/>
      <c r="C1469" s="5"/>
      <c r="D1469" s="9" t="str">
        <f aca="false">IF(C1469="","",IFERROR(VLOOKUP(C1469,EQUIPOS!$B$3:$C$18,2,0),"NO EXISTE"))</f>
        <v/>
      </c>
      <c r="E1469" s="9" t="str">
        <f aca="false">IF(C1469="","",IFERROR(VLOOKUP(C1469,EQUIPOS!$B$3:$F$18,5,0),""))</f>
        <v/>
      </c>
      <c r="F1469" s="5" t="str">
        <f aca="false">IF(C1469="","",IFERROR(VLOOKUP(C1469,EQUIPOS!$B$3:$G$18,6,0),""))</f>
        <v/>
      </c>
      <c r="G1469" s="8"/>
      <c r="H1469" s="5"/>
      <c r="I1469" s="5"/>
      <c r="J1469" s="9"/>
      <c r="K1469" s="17" t="str">
        <f aca="false">IF(H1469="","",IFERROR(SUMIFS(BD_PLAN!$I$3:$I$312,BD_PLAN!$B$3:$B$312,E1469,BD_PLAN!$C$3:$C$312,INDEX(BD_CICLO!$F$3:$F$54,MATCH(E1469&amp;"|"&amp;H1469,BD_CICLO!$G$3:$G$54,0))),""))</f>
        <v/>
      </c>
      <c r="L1469" s="9"/>
      <c r="M1469" s="9"/>
      <c r="N1469" s="1" t="str">
        <f aca="false">IF(C1469="","",C1469&amp;"|"&amp;COUNTIF(C$3:C1469,C1469))</f>
        <v/>
      </c>
      <c r="O1469" s="1" t="str">
        <f aca="false">IF(OR(C1469="",M1469=""),"",C1469&amp;"|"&amp;COUNTIFS(C$3:C1469,C1469,M$3:M1469,"&lt;&gt;"))</f>
        <v/>
      </c>
    </row>
    <row r="1470" customFormat="false" ht="15" hidden="false" customHeight="false" outlineLevel="0" collapsed="false">
      <c r="B1470" s="7"/>
      <c r="C1470" s="5"/>
      <c r="D1470" s="9" t="str">
        <f aca="false">IF(C1470="","",IFERROR(VLOOKUP(C1470,EQUIPOS!$B$3:$C$18,2,0),"NO EXISTE"))</f>
        <v/>
      </c>
      <c r="E1470" s="9" t="str">
        <f aca="false">IF(C1470="","",IFERROR(VLOOKUP(C1470,EQUIPOS!$B$3:$F$18,5,0),""))</f>
        <v/>
      </c>
      <c r="F1470" s="5" t="str">
        <f aca="false">IF(C1470="","",IFERROR(VLOOKUP(C1470,EQUIPOS!$B$3:$G$18,6,0),""))</f>
        <v/>
      </c>
      <c r="G1470" s="8"/>
      <c r="H1470" s="5"/>
      <c r="I1470" s="5"/>
      <c r="J1470" s="9"/>
      <c r="K1470" s="17" t="str">
        <f aca="false">IF(H1470="","",IFERROR(SUMIFS(BD_PLAN!$I$3:$I$312,BD_PLAN!$B$3:$B$312,E1470,BD_PLAN!$C$3:$C$312,INDEX(BD_CICLO!$F$3:$F$54,MATCH(E1470&amp;"|"&amp;H1470,BD_CICLO!$G$3:$G$54,0))),""))</f>
        <v/>
      </c>
      <c r="L1470" s="9"/>
      <c r="M1470" s="9"/>
      <c r="N1470" s="1" t="str">
        <f aca="false">IF(C1470="","",C1470&amp;"|"&amp;COUNTIF(C$3:C1470,C1470))</f>
        <v/>
      </c>
      <c r="O1470" s="1" t="str">
        <f aca="false">IF(OR(C1470="",M1470=""),"",C1470&amp;"|"&amp;COUNTIFS(C$3:C1470,C1470,M$3:M1470,"&lt;&gt;"))</f>
        <v/>
      </c>
    </row>
    <row r="1471" customFormat="false" ht="15" hidden="false" customHeight="false" outlineLevel="0" collapsed="false">
      <c r="B1471" s="7"/>
      <c r="C1471" s="5"/>
      <c r="D1471" s="9" t="str">
        <f aca="false">IF(C1471="","",IFERROR(VLOOKUP(C1471,EQUIPOS!$B$3:$C$18,2,0),"NO EXISTE"))</f>
        <v/>
      </c>
      <c r="E1471" s="9" t="str">
        <f aca="false">IF(C1471="","",IFERROR(VLOOKUP(C1471,EQUIPOS!$B$3:$F$18,5,0),""))</f>
        <v/>
      </c>
      <c r="F1471" s="5" t="str">
        <f aca="false">IF(C1471="","",IFERROR(VLOOKUP(C1471,EQUIPOS!$B$3:$G$18,6,0),""))</f>
        <v/>
      </c>
      <c r="G1471" s="8"/>
      <c r="H1471" s="5"/>
      <c r="I1471" s="5"/>
      <c r="J1471" s="9"/>
      <c r="K1471" s="17" t="str">
        <f aca="false">IF(H1471="","",IFERROR(SUMIFS(BD_PLAN!$I$3:$I$312,BD_PLAN!$B$3:$B$312,E1471,BD_PLAN!$C$3:$C$312,INDEX(BD_CICLO!$F$3:$F$54,MATCH(E1471&amp;"|"&amp;H1471,BD_CICLO!$G$3:$G$54,0))),""))</f>
        <v/>
      </c>
      <c r="L1471" s="9"/>
      <c r="M1471" s="9"/>
      <c r="N1471" s="1" t="str">
        <f aca="false">IF(C1471="","",C1471&amp;"|"&amp;COUNTIF(C$3:C1471,C1471))</f>
        <v/>
      </c>
      <c r="O1471" s="1" t="str">
        <f aca="false">IF(OR(C1471="",M1471=""),"",C1471&amp;"|"&amp;COUNTIFS(C$3:C1471,C1471,M$3:M1471,"&lt;&gt;"))</f>
        <v/>
      </c>
    </row>
    <row r="1472" customFormat="false" ht="15" hidden="false" customHeight="false" outlineLevel="0" collapsed="false">
      <c r="B1472" s="7"/>
      <c r="C1472" s="5"/>
      <c r="D1472" s="9" t="str">
        <f aca="false">IF(C1472="","",IFERROR(VLOOKUP(C1472,EQUIPOS!$B$3:$C$18,2,0),"NO EXISTE"))</f>
        <v/>
      </c>
      <c r="E1472" s="9" t="str">
        <f aca="false">IF(C1472="","",IFERROR(VLOOKUP(C1472,EQUIPOS!$B$3:$F$18,5,0),""))</f>
        <v/>
      </c>
      <c r="F1472" s="5" t="str">
        <f aca="false">IF(C1472="","",IFERROR(VLOOKUP(C1472,EQUIPOS!$B$3:$G$18,6,0),""))</f>
        <v/>
      </c>
      <c r="G1472" s="8"/>
      <c r="H1472" s="5"/>
      <c r="I1472" s="5"/>
      <c r="J1472" s="9"/>
      <c r="K1472" s="17" t="str">
        <f aca="false">IF(H1472="","",IFERROR(SUMIFS(BD_PLAN!$I$3:$I$312,BD_PLAN!$B$3:$B$312,E1472,BD_PLAN!$C$3:$C$312,INDEX(BD_CICLO!$F$3:$F$54,MATCH(E1472&amp;"|"&amp;H1472,BD_CICLO!$G$3:$G$54,0))),""))</f>
        <v/>
      </c>
      <c r="L1472" s="9"/>
      <c r="M1472" s="9"/>
      <c r="N1472" s="1" t="str">
        <f aca="false">IF(C1472="","",C1472&amp;"|"&amp;COUNTIF(C$3:C1472,C1472))</f>
        <v/>
      </c>
      <c r="O1472" s="1" t="str">
        <f aca="false">IF(OR(C1472="",M1472=""),"",C1472&amp;"|"&amp;COUNTIFS(C$3:C1472,C1472,M$3:M1472,"&lt;&gt;"))</f>
        <v/>
      </c>
    </row>
    <row r="1473" customFormat="false" ht="15" hidden="false" customHeight="false" outlineLevel="0" collapsed="false">
      <c r="B1473" s="7"/>
      <c r="C1473" s="5"/>
      <c r="D1473" s="9" t="str">
        <f aca="false">IF(C1473="","",IFERROR(VLOOKUP(C1473,EQUIPOS!$B$3:$C$18,2,0),"NO EXISTE"))</f>
        <v/>
      </c>
      <c r="E1473" s="9" t="str">
        <f aca="false">IF(C1473="","",IFERROR(VLOOKUP(C1473,EQUIPOS!$B$3:$F$18,5,0),""))</f>
        <v/>
      </c>
      <c r="F1473" s="5" t="str">
        <f aca="false">IF(C1473="","",IFERROR(VLOOKUP(C1473,EQUIPOS!$B$3:$G$18,6,0),""))</f>
        <v/>
      </c>
      <c r="G1473" s="8"/>
      <c r="H1473" s="5"/>
      <c r="I1473" s="5"/>
      <c r="J1473" s="9"/>
      <c r="K1473" s="17" t="str">
        <f aca="false">IF(H1473="","",IFERROR(SUMIFS(BD_PLAN!$I$3:$I$312,BD_PLAN!$B$3:$B$312,E1473,BD_PLAN!$C$3:$C$312,INDEX(BD_CICLO!$F$3:$F$54,MATCH(E1473&amp;"|"&amp;H1473,BD_CICLO!$G$3:$G$54,0))),""))</f>
        <v/>
      </c>
      <c r="L1473" s="9"/>
      <c r="M1473" s="9"/>
      <c r="N1473" s="1" t="str">
        <f aca="false">IF(C1473="","",C1473&amp;"|"&amp;COUNTIF(C$3:C1473,C1473))</f>
        <v/>
      </c>
      <c r="O1473" s="1" t="str">
        <f aca="false">IF(OR(C1473="",M1473=""),"",C1473&amp;"|"&amp;COUNTIFS(C$3:C1473,C1473,M$3:M1473,"&lt;&gt;"))</f>
        <v/>
      </c>
    </row>
    <row r="1474" customFormat="false" ht="15" hidden="false" customHeight="false" outlineLevel="0" collapsed="false">
      <c r="B1474" s="7"/>
      <c r="C1474" s="5"/>
      <c r="D1474" s="9" t="str">
        <f aca="false">IF(C1474="","",IFERROR(VLOOKUP(C1474,EQUIPOS!$B$3:$C$18,2,0),"NO EXISTE"))</f>
        <v/>
      </c>
      <c r="E1474" s="9" t="str">
        <f aca="false">IF(C1474="","",IFERROR(VLOOKUP(C1474,EQUIPOS!$B$3:$F$18,5,0),""))</f>
        <v/>
      </c>
      <c r="F1474" s="5" t="str">
        <f aca="false">IF(C1474="","",IFERROR(VLOOKUP(C1474,EQUIPOS!$B$3:$G$18,6,0),""))</f>
        <v/>
      </c>
      <c r="G1474" s="8"/>
      <c r="H1474" s="5"/>
      <c r="I1474" s="5"/>
      <c r="J1474" s="9"/>
      <c r="K1474" s="17" t="str">
        <f aca="false">IF(H1474="","",IFERROR(SUMIFS(BD_PLAN!$I$3:$I$312,BD_PLAN!$B$3:$B$312,E1474,BD_PLAN!$C$3:$C$312,INDEX(BD_CICLO!$F$3:$F$54,MATCH(E1474&amp;"|"&amp;H1474,BD_CICLO!$G$3:$G$54,0))),""))</f>
        <v/>
      </c>
      <c r="L1474" s="9"/>
      <c r="M1474" s="9"/>
      <c r="N1474" s="1" t="str">
        <f aca="false">IF(C1474="","",C1474&amp;"|"&amp;COUNTIF(C$3:C1474,C1474))</f>
        <v/>
      </c>
      <c r="O1474" s="1" t="str">
        <f aca="false">IF(OR(C1474="",M1474=""),"",C1474&amp;"|"&amp;COUNTIFS(C$3:C1474,C1474,M$3:M1474,"&lt;&gt;"))</f>
        <v/>
      </c>
    </row>
    <row r="1475" customFormat="false" ht="15" hidden="false" customHeight="false" outlineLevel="0" collapsed="false">
      <c r="B1475" s="7"/>
      <c r="C1475" s="5"/>
      <c r="D1475" s="9" t="str">
        <f aca="false">IF(C1475="","",IFERROR(VLOOKUP(C1475,EQUIPOS!$B$3:$C$18,2,0),"NO EXISTE"))</f>
        <v/>
      </c>
      <c r="E1475" s="9" t="str">
        <f aca="false">IF(C1475="","",IFERROR(VLOOKUP(C1475,EQUIPOS!$B$3:$F$18,5,0),""))</f>
        <v/>
      </c>
      <c r="F1475" s="5" t="str">
        <f aca="false">IF(C1475="","",IFERROR(VLOOKUP(C1475,EQUIPOS!$B$3:$G$18,6,0),""))</f>
        <v/>
      </c>
      <c r="G1475" s="8"/>
      <c r="H1475" s="5"/>
      <c r="I1475" s="5"/>
      <c r="J1475" s="9"/>
      <c r="K1475" s="17" t="str">
        <f aca="false">IF(H1475="","",IFERROR(SUMIFS(BD_PLAN!$I$3:$I$312,BD_PLAN!$B$3:$B$312,E1475,BD_PLAN!$C$3:$C$312,INDEX(BD_CICLO!$F$3:$F$54,MATCH(E1475&amp;"|"&amp;H1475,BD_CICLO!$G$3:$G$54,0))),""))</f>
        <v/>
      </c>
      <c r="L1475" s="9"/>
      <c r="M1475" s="9"/>
      <c r="N1475" s="1" t="str">
        <f aca="false">IF(C1475="","",C1475&amp;"|"&amp;COUNTIF(C$3:C1475,C1475))</f>
        <v/>
      </c>
      <c r="O1475" s="1" t="str">
        <f aca="false">IF(OR(C1475="",M1475=""),"",C1475&amp;"|"&amp;COUNTIFS(C$3:C1475,C1475,M$3:M1475,"&lt;&gt;"))</f>
        <v/>
      </c>
    </row>
    <row r="1476" customFormat="false" ht="15" hidden="false" customHeight="false" outlineLevel="0" collapsed="false">
      <c r="B1476" s="7"/>
      <c r="C1476" s="5"/>
      <c r="D1476" s="9" t="str">
        <f aca="false">IF(C1476="","",IFERROR(VLOOKUP(C1476,EQUIPOS!$B$3:$C$18,2,0),"NO EXISTE"))</f>
        <v/>
      </c>
      <c r="E1476" s="9" t="str">
        <f aca="false">IF(C1476="","",IFERROR(VLOOKUP(C1476,EQUIPOS!$B$3:$F$18,5,0),""))</f>
        <v/>
      </c>
      <c r="F1476" s="5" t="str">
        <f aca="false">IF(C1476="","",IFERROR(VLOOKUP(C1476,EQUIPOS!$B$3:$G$18,6,0),""))</f>
        <v/>
      </c>
      <c r="G1476" s="8"/>
      <c r="H1476" s="5"/>
      <c r="I1476" s="5"/>
      <c r="J1476" s="9"/>
      <c r="K1476" s="17" t="str">
        <f aca="false">IF(H1476="","",IFERROR(SUMIFS(BD_PLAN!$I$3:$I$312,BD_PLAN!$B$3:$B$312,E1476,BD_PLAN!$C$3:$C$312,INDEX(BD_CICLO!$F$3:$F$54,MATCH(E1476&amp;"|"&amp;H1476,BD_CICLO!$G$3:$G$54,0))),""))</f>
        <v/>
      </c>
      <c r="L1476" s="9"/>
      <c r="M1476" s="9"/>
      <c r="N1476" s="1" t="str">
        <f aca="false">IF(C1476="","",C1476&amp;"|"&amp;COUNTIF(C$3:C1476,C1476))</f>
        <v/>
      </c>
      <c r="O1476" s="1" t="str">
        <f aca="false">IF(OR(C1476="",M1476=""),"",C1476&amp;"|"&amp;COUNTIFS(C$3:C1476,C1476,M$3:M1476,"&lt;&gt;"))</f>
        <v/>
      </c>
    </row>
    <row r="1477" customFormat="false" ht="15" hidden="false" customHeight="false" outlineLevel="0" collapsed="false">
      <c r="B1477" s="7"/>
      <c r="C1477" s="5"/>
      <c r="D1477" s="9" t="str">
        <f aca="false">IF(C1477="","",IFERROR(VLOOKUP(C1477,EQUIPOS!$B$3:$C$18,2,0),"NO EXISTE"))</f>
        <v/>
      </c>
      <c r="E1477" s="9" t="str">
        <f aca="false">IF(C1477="","",IFERROR(VLOOKUP(C1477,EQUIPOS!$B$3:$F$18,5,0),""))</f>
        <v/>
      </c>
      <c r="F1477" s="5" t="str">
        <f aca="false">IF(C1477="","",IFERROR(VLOOKUP(C1477,EQUIPOS!$B$3:$G$18,6,0),""))</f>
        <v/>
      </c>
      <c r="G1477" s="8"/>
      <c r="H1477" s="5"/>
      <c r="I1477" s="5"/>
      <c r="J1477" s="9"/>
      <c r="K1477" s="17" t="str">
        <f aca="false">IF(H1477="","",IFERROR(SUMIFS(BD_PLAN!$I$3:$I$312,BD_PLAN!$B$3:$B$312,E1477,BD_PLAN!$C$3:$C$312,INDEX(BD_CICLO!$F$3:$F$54,MATCH(E1477&amp;"|"&amp;H1477,BD_CICLO!$G$3:$G$54,0))),""))</f>
        <v/>
      </c>
      <c r="L1477" s="9"/>
      <c r="M1477" s="9"/>
      <c r="N1477" s="1" t="str">
        <f aca="false">IF(C1477="","",C1477&amp;"|"&amp;COUNTIF(C$3:C1477,C1477))</f>
        <v/>
      </c>
      <c r="O1477" s="1" t="str">
        <f aca="false">IF(OR(C1477="",M1477=""),"",C1477&amp;"|"&amp;COUNTIFS(C$3:C1477,C1477,M$3:M1477,"&lt;&gt;"))</f>
        <v/>
      </c>
    </row>
    <row r="1478" customFormat="false" ht="15" hidden="false" customHeight="false" outlineLevel="0" collapsed="false">
      <c r="B1478" s="7"/>
      <c r="C1478" s="5"/>
      <c r="D1478" s="9" t="str">
        <f aca="false">IF(C1478="","",IFERROR(VLOOKUP(C1478,EQUIPOS!$B$3:$C$18,2,0),"NO EXISTE"))</f>
        <v/>
      </c>
      <c r="E1478" s="9" t="str">
        <f aca="false">IF(C1478="","",IFERROR(VLOOKUP(C1478,EQUIPOS!$B$3:$F$18,5,0),""))</f>
        <v/>
      </c>
      <c r="F1478" s="5" t="str">
        <f aca="false">IF(C1478="","",IFERROR(VLOOKUP(C1478,EQUIPOS!$B$3:$G$18,6,0),""))</f>
        <v/>
      </c>
      <c r="G1478" s="8"/>
      <c r="H1478" s="5"/>
      <c r="I1478" s="5"/>
      <c r="J1478" s="9"/>
      <c r="K1478" s="17" t="str">
        <f aca="false">IF(H1478="","",IFERROR(SUMIFS(BD_PLAN!$I$3:$I$312,BD_PLAN!$B$3:$B$312,E1478,BD_PLAN!$C$3:$C$312,INDEX(BD_CICLO!$F$3:$F$54,MATCH(E1478&amp;"|"&amp;H1478,BD_CICLO!$G$3:$G$54,0))),""))</f>
        <v/>
      </c>
      <c r="L1478" s="9"/>
      <c r="M1478" s="9"/>
      <c r="N1478" s="1" t="str">
        <f aca="false">IF(C1478="","",C1478&amp;"|"&amp;COUNTIF(C$3:C1478,C1478))</f>
        <v/>
      </c>
      <c r="O1478" s="1" t="str">
        <f aca="false">IF(OR(C1478="",M1478=""),"",C1478&amp;"|"&amp;COUNTIFS(C$3:C1478,C1478,M$3:M1478,"&lt;&gt;"))</f>
        <v/>
      </c>
    </row>
    <row r="1479" customFormat="false" ht="15" hidden="false" customHeight="false" outlineLevel="0" collapsed="false">
      <c r="B1479" s="7"/>
      <c r="C1479" s="5"/>
      <c r="D1479" s="9" t="str">
        <f aca="false">IF(C1479="","",IFERROR(VLOOKUP(C1479,EQUIPOS!$B$3:$C$18,2,0),"NO EXISTE"))</f>
        <v/>
      </c>
      <c r="E1479" s="9" t="str">
        <f aca="false">IF(C1479="","",IFERROR(VLOOKUP(C1479,EQUIPOS!$B$3:$F$18,5,0),""))</f>
        <v/>
      </c>
      <c r="F1479" s="5" t="str">
        <f aca="false">IF(C1479="","",IFERROR(VLOOKUP(C1479,EQUIPOS!$B$3:$G$18,6,0),""))</f>
        <v/>
      </c>
      <c r="G1479" s="8"/>
      <c r="H1479" s="5"/>
      <c r="I1479" s="5"/>
      <c r="J1479" s="9"/>
      <c r="K1479" s="17" t="str">
        <f aca="false">IF(H1479="","",IFERROR(SUMIFS(BD_PLAN!$I$3:$I$312,BD_PLAN!$B$3:$B$312,E1479,BD_PLAN!$C$3:$C$312,INDEX(BD_CICLO!$F$3:$F$54,MATCH(E1479&amp;"|"&amp;H1479,BD_CICLO!$G$3:$G$54,0))),""))</f>
        <v/>
      </c>
      <c r="L1479" s="9"/>
      <c r="M1479" s="9"/>
      <c r="N1479" s="1" t="str">
        <f aca="false">IF(C1479="","",C1479&amp;"|"&amp;COUNTIF(C$3:C1479,C1479))</f>
        <v/>
      </c>
      <c r="O1479" s="1" t="str">
        <f aca="false">IF(OR(C1479="",M1479=""),"",C1479&amp;"|"&amp;COUNTIFS(C$3:C1479,C1479,M$3:M1479,"&lt;&gt;"))</f>
        <v/>
      </c>
    </row>
    <row r="1480" customFormat="false" ht="15" hidden="false" customHeight="false" outlineLevel="0" collapsed="false">
      <c r="B1480" s="7"/>
      <c r="C1480" s="5"/>
      <c r="D1480" s="9" t="str">
        <f aca="false">IF(C1480="","",IFERROR(VLOOKUP(C1480,EQUIPOS!$B$3:$C$18,2,0),"NO EXISTE"))</f>
        <v/>
      </c>
      <c r="E1480" s="9" t="str">
        <f aca="false">IF(C1480="","",IFERROR(VLOOKUP(C1480,EQUIPOS!$B$3:$F$18,5,0),""))</f>
        <v/>
      </c>
      <c r="F1480" s="5" t="str">
        <f aca="false">IF(C1480="","",IFERROR(VLOOKUP(C1480,EQUIPOS!$B$3:$G$18,6,0),""))</f>
        <v/>
      </c>
      <c r="G1480" s="8"/>
      <c r="H1480" s="5"/>
      <c r="I1480" s="5"/>
      <c r="J1480" s="9"/>
      <c r="K1480" s="17" t="str">
        <f aca="false">IF(H1480="","",IFERROR(SUMIFS(BD_PLAN!$I$3:$I$312,BD_PLAN!$B$3:$B$312,E1480,BD_PLAN!$C$3:$C$312,INDEX(BD_CICLO!$F$3:$F$54,MATCH(E1480&amp;"|"&amp;H1480,BD_CICLO!$G$3:$G$54,0))),""))</f>
        <v/>
      </c>
      <c r="L1480" s="9"/>
      <c r="M1480" s="9"/>
      <c r="N1480" s="1" t="str">
        <f aca="false">IF(C1480="","",C1480&amp;"|"&amp;COUNTIF(C$3:C1480,C1480))</f>
        <v/>
      </c>
      <c r="O1480" s="1" t="str">
        <f aca="false">IF(OR(C1480="",M1480=""),"",C1480&amp;"|"&amp;COUNTIFS(C$3:C1480,C1480,M$3:M1480,"&lt;&gt;"))</f>
        <v/>
      </c>
    </row>
    <row r="1481" customFormat="false" ht="15" hidden="false" customHeight="false" outlineLevel="0" collapsed="false">
      <c r="B1481" s="7"/>
      <c r="C1481" s="5"/>
      <c r="D1481" s="9" t="str">
        <f aca="false">IF(C1481="","",IFERROR(VLOOKUP(C1481,EQUIPOS!$B$3:$C$18,2,0),"NO EXISTE"))</f>
        <v/>
      </c>
      <c r="E1481" s="9" t="str">
        <f aca="false">IF(C1481="","",IFERROR(VLOOKUP(C1481,EQUIPOS!$B$3:$F$18,5,0),""))</f>
        <v/>
      </c>
      <c r="F1481" s="5" t="str">
        <f aca="false">IF(C1481="","",IFERROR(VLOOKUP(C1481,EQUIPOS!$B$3:$G$18,6,0),""))</f>
        <v/>
      </c>
      <c r="G1481" s="8"/>
      <c r="H1481" s="5"/>
      <c r="I1481" s="5"/>
      <c r="J1481" s="9"/>
      <c r="K1481" s="17" t="str">
        <f aca="false">IF(H1481="","",IFERROR(SUMIFS(BD_PLAN!$I$3:$I$312,BD_PLAN!$B$3:$B$312,E1481,BD_PLAN!$C$3:$C$312,INDEX(BD_CICLO!$F$3:$F$54,MATCH(E1481&amp;"|"&amp;H1481,BD_CICLO!$G$3:$G$54,0))),""))</f>
        <v/>
      </c>
      <c r="L1481" s="9"/>
      <c r="M1481" s="9"/>
      <c r="N1481" s="1" t="str">
        <f aca="false">IF(C1481="","",C1481&amp;"|"&amp;COUNTIF(C$3:C1481,C1481))</f>
        <v/>
      </c>
      <c r="O1481" s="1" t="str">
        <f aca="false">IF(OR(C1481="",M1481=""),"",C1481&amp;"|"&amp;COUNTIFS(C$3:C1481,C1481,M$3:M1481,"&lt;&gt;"))</f>
        <v/>
      </c>
    </row>
    <row r="1482" customFormat="false" ht="15" hidden="false" customHeight="false" outlineLevel="0" collapsed="false">
      <c r="B1482" s="7"/>
      <c r="C1482" s="5"/>
      <c r="D1482" s="9" t="str">
        <f aca="false">IF(C1482="","",IFERROR(VLOOKUP(C1482,EQUIPOS!$B$3:$C$18,2,0),"NO EXISTE"))</f>
        <v/>
      </c>
      <c r="E1482" s="9" t="str">
        <f aca="false">IF(C1482="","",IFERROR(VLOOKUP(C1482,EQUIPOS!$B$3:$F$18,5,0),""))</f>
        <v/>
      </c>
      <c r="F1482" s="5" t="str">
        <f aca="false">IF(C1482="","",IFERROR(VLOOKUP(C1482,EQUIPOS!$B$3:$G$18,6,0),""))</f>
        <v/>
      </c>
      <c r="G1482" s="8"/>
      <c r="H1482" s="5"/>
      <c r="I1482" s="5"/>
      <c r="J1482" s="9"/>
      <c r="K1482" s="17" t="str">
        <f aca="false">IF(H1482="","",IFERROR(SUMIFS(BD_PLAN!$I$3:$I$312,BD_PLAN!$B$3:$B$312,E1482,BD_PLAN!$C$3:$C$312,INDEX(BD_CICLO!$F$3:$F$54,MATCH(E1482&amp;"|"&amp;H1482,BD_CICLO!$G$3:$G$54,0))),""))</f>
        <v/>
      </c>
      <c r="L1482" s="9"/>
      <c r="M1482" s="9"/>
      <c r="N1482" s="1" t="str">
        <f aca="false">IF(C1482="","",C1482&amp;"|"&amp;COUNTIF(C$3:C1482,C1482))</f>
        <v/>
      </c>
      <c r="O1482" s="1" t="str">
        <f aca="false">IF(OR(C1482="",M1482=""),"",C1482&amp;"|"&amp;COUNTIFS(C$3:C1482,C1482,M$3:M1482,"&lt;&gt;"))</f>
        <v/>
      </c>
    </row>
    <row r="1483" customFormat="false" ht="15" hidden="false" customHeight="false" outlineLevel="0" collapsed="false">
      <c r="B1483" s="7"/>
      <c r="C1483" s="5"/>
      <c r="D1483" s="9" t="str">
        <f aca="false">IF(C1483="","",IFERROR(VLOOKUP(C1483,EQUIPOS!$B$3:$C$18,2,0),"NO EXISTE"))</f>
        <v/>
      </c>
      <c r="E1483" s="9" t="str">
        <f aca="false">IF(C1483="","",IFERROR(VLOOKUP(C1483,EQUIPOS!$B$3:$F$18,5,0),""))</f>
        <v/>
      </c>
      <c r="F1483" s="5" t="str">
        <f aca="false">IF(C1483="","",IFERROR(VLOOKUP(C1483,EQUIPOS!$B$3:$G$18,6,0),""))</f>
        <v/>
      </c>
      <c r="G1483" s="8"/>
      <c r="H1483" s="5"/>
      <c r="I1483" s="5"/>
      <c r="J1483" s="9"/>
      <c r="K1483" s="17" t="str">
        <f aca="false">IF(H1483="","",IFERROR(SUMIFS(BD_PLAN!$I$3:$I$312,BD_PLAN!$B$3:$B$312,E1483,BD_PLAN!$C$3:$C$312,INDEX(BD_CICLO!$F$3:$F$54,MATCH(E1483&amp;"|"&amp;H1483,BD_CICLO!$G$3:$G$54,0))),""))</f>
        <v/>
      </c>
      <c r="L1483" s="9"/>
      <c r="M1483" s="9"/>
      <c r="N1483" s="1" t="str">
        <f aca="false">IF(C1483="","",C1483&amp;"|"&amp;COUNTIF(C$3:C1483,C1483))</f>
        <v/>
      </c>
      <c r="O1483" s="1" t="str">
        <f aca="false">IF(OR(C1483="",M1483=""),"",C1483&amp;"|"&amp;COUNTIFS(C$3:C1483,C1483,M$3:M1483,"&lt;&gt;"))</f>
        <v/>
      </c>
    </row>
    <row r="1484" customFormat="false" ht="15" hidden="false" customHeight="false" outlineLevel="0" collapsed="false">
      <c r="B1484" s="7"/>
      <c r="C1484" s="5"/>
      <c r="D1484" s="9" t="str">
        <f aca="false">IF(C1484="","",IFERROR(VLOOKUP(C1484,EQUIPOS!$B$3:$C$18,2,0),"NO EXISTE"))</f>
        <v/>
      </c>
      <c r="E1484" s="9" t="str">
        <f aca="false">IF(C1484="","",IFERROR(VLOOKUP(C1484,EQUIPOS!$B$3:$F$18,5,0),""))</f>
        <v/>
      </c>
      <c r="F1484" s="5" t="str">
        <f aca="false">IF(C1484="","",IFERROR(VLOOKUP(C1484,EQUIPOS!$B$3:$G$18,6,0),""))</f>
        <v/>
      </c>
      <c r="G1484" s="8"/>
      <c r="H1484" s="5"/>
      <c r="I1484" s="5"/>
      <c r="J1484" s="9"/>
      <c r="K1484" s="17" t="str">
        <f aca="false">IF(H1484="","",IFERROR(SUMIFS(BD_PLAN!$I$3:$I$312,BD_PLAN!$B$3:$B$312,E1484,BD_PLAN!$C$3:$C$312,INDEX(BD_CICLO!$F$3:$F$54,MATCH(E1484&amp;"|"&amp;H1484,BD_CICLO!$G$3:$G$54,0))),""))</f>
        <v/>
      </c>
      <c r="L1484" s="9"/>
      <c r="M1484" s="9"/>
      <c r="N1484" s="1" t="str">
        <f aca="false">IF(C1484="","",C1484&amp;"|"&amp;COUNTIF(C$3:C1484,C1484))</f>
        <v/>
      </c>
      <c r="O1484" s="1" t="str">
        <f aca="false">IF(OR(C1484="",M1484=""),"",C1484&amp;"|"&amp;COUNTIFS(C$3:C1484,C1484,M$3:M1484,"&lt;&gt;"))</f>
        <v/>
      </c>
    </row>
    <row r="1485" customFormat="false" ht="15" hidden="false" customHeight="false" outlineLevel="0" collapsed="false">
      <c r="B1485" s="7"/>
      <c r="C1485" s="5"/>
      <c r="D1485" s="9" t="str">
        <f aca="false">IF(C1485="","",IFERROR(VLOOKUP(C1485,EQUIPOS!$B$3:$C$18,2,0),"NO EXISTE"))</f>
        <v/>
      </c>
      <c r="E1485" s="9" t="str">
        <f aca="false">IF(C1485="","",IFERROR(VLOOKUP(C1485,EQUIPOS!$B$3:$F$18,5,0),""))</f>
        <v/>
      </c>
      <c r="F1485" s="5" t="str">
        <f aca="false">IF(C1485="","",IFERROR(VLOOKUP(C1485,EQUIPOS!$B$3:$G$18,6,0),""))</f>
        <v/>
      </c>
      <c r="G1485" s="8"/>
      <c r="H1485" s="5"/>
      <c r="I1485" s="5"/>
      <c r="J1485" s="9"/>
      <c r="K1485" s="17" t="str">
        <f aca="false">IF(H1485="","",IFERROR(SUMIFS(BD_PLAN!$I$3:$I$312,BD_PLAN!$B$3:$B$312,E1485,BD_PLAN!$C$3:$C$312,INDEX(BD_CICLO!$F$3:$F$54,MATCH(E1485&amp;"|"&amp;H1485,BD_CICLO!$G$3:$G$54,0))),""))</f>
        <v/>
      </c>
      <c r="L1485" s="9"/>
      <c r="M1485" s="9"/>
      <c r="N1485" s="1" t="str">
        <f aca="false">IF(C1485="","",C1485&amp;"|"&amp;COUNTIF(C$3:C1485,C1485))</f>
        <v/>
      </c>
      <c r="O1485" s="1" t="str">
        <f aca="false">IF(OR(C1485="",M1485=""),"",C1485&amp;"|"&amp;COUNTIFS(C$3:C1485,C1485,M$3:M1485,"&lt;&gt;"))</f>
        <v/>
      </c>
    </row>
    <row r="1486" customFormat="false" ht="15" hidden="false" customHeight="false" outlineLevel="0" collapsed="false">
      <c r="B1486" s="7"/>
      <c r="C1486" s="5"/>
      <c r="D1486" s="9" t="str">
        <f aca="false">IF(C1486="","",IFERROR(VLOOKUP(C1486,EQUIPOS!$B$3:$C$18,2,0),"NO EXISTE"))</f>
        <v/>
      </c>
      <c r="E1486" s="9" t="str">
        <f aca="false">IF(C1486="","",IFERROR(VLOOKUP(C1486,EQUIPOS!$B$3:$F$18,5,0),""))</f>
        <v/>
      </c>
      <c r="F1486" s="5" t="str">
        <f aca="false">IF(C1486="","",IFERROR(VLOOKUP(C1486,EQUIPOS!$B$3:$G$18,6,0),""))</f>
        <v/>
      </c>
      <c r="G1486" s="8"/>
      <c r="H1486" s="5"/>
      <c r="I1486" s="5"/>
      <c r="J1486" s="9"/>
      <c r="K1486" s="17" t="str">
        <f aca="false">IF(H1486="","",IFERROR(SUMIFS(BD_PLAN!$I$3:$I$312,BD_PLAN!$B$3:$B$312,E1486,BD_PLAN!$C$3:$C$312,INDEX(BD_CICLO!$F$3:$F$54,MATCH(E1486&amp;"|"&amp;H1486,BD_CICLO!$G$3:$G$54,0))),""))</f>
        <v/>
      </c>
      <c r="L1486" s="9"/>
      <c r="M1486" s="9"/>
      <c r="N1486" s="1" t="str">
        <f aca="false">IF(C1486="","",C1486&amp;"|"&amp;COUNTIF(C$3:C1486,C1486))</f>
        <v/>
      </c>
      <c r="O1486" s="1" t="str">
        <f aca="false">IF(OR(C1486="",M1486=""),"",C1486&amp;"|"&amp;COUNTIFS(C$3:C1486,C1486,M$3:M1486,"&lt;&gt;"))</f>
        <v/>
      </c>
    </row>
    <row r="1487" customFormat="false" ht="15" hidden="false" customHeight="false" outlineLevel="0" collapsed="false">
      <c r="B1487" s="7"/>
      <c r="C1487" s="5"/>
      <c r="D1487" s="9" t="str">
        <f aca="false">IF(C1487="","",IFERROR(VLOOKUP(C1487,EQUIPOS!$B$3:$C$18,2,0),"NO EXISTE"))</f>
        <v/>
      </c>
      <c r="E1487" s="9" t="str">
        <f aca="false">IF(C1487="","",IFERROR(VLOOKUP(C1487,EQUIPOS!$B$3:$F$18,5,0),""))</f>
        <v/>
      </c>
      <c r="F1487" s="5" t="str">
        <f aca="false">IF(C1487="","",IFERROR(VLOOKUP(C1487,EQUIPOS!$B$3:$G$18,6,0),""))</f>
        <v/>
      </c>
      <c r="G1487" s="8"/>
      <c r="H1487" s="5"/>
      <c r="I1487" s="5"/>
      <c r="J1487" s="9"/>
      <c r="K1487" s="17" t="str">
        <f aca="false">IF(H1487="","",IFERROR(SUMIFS(BD_PLAN!$I$3:$I$312,BD_PLAN!$B$3:$B$312,E1487,BD_PLAN!$C$3:$C$312,INDEX(BD_CICLO!$F$3:$F$54,MATCH(E1487&amp;"|"&amp;H1487,BD_CICLO!$G$3:$G$54,0))),""))</f>
        <v/>
      </c>
      <c r="L1487" s="9"/>
      <c r="M1487" s="9"/>
      <c r="N1487" s="1" t="str">
        <f aca="false">IF(C1487="","",C1487&amp;"|"&amp;COUNTIF(C$3:C1487,C1487))</f>
        <v/>
      </c>
      <c r="O1487" s="1" t="str">
        <f aca="false">IF(OR(C1487="",M1487=""),"",C1487&amp;"|"&amp;COUNTIFS(C$3:C1487,C1487,M$3:M1487,"&lt;&gt;"))</f>
        <v/>
      </c>
    </row>
    <row r="1488" customFormat="false" ht="15" hidden="false" customHeight="false" outlineLevel="0" collapsed="false">
      <c r="B1488" s="7"/>
      <c r="C1488" s="5"/>
      <c r="D1488" s="9" t="str">
        <f aca="false">IF(C1488="","",IFERROR(VLOOKUP(C1488,EQUIPOS!$B$3:$C$18,2,0),"NO EXISTE"))</f>
        <v/>
      </c>
      <c r="E1488" s="9" t="str">
        <f aca="false">IF(C1488="","",IFERROR(VLOOKUP(C1488,EQUIPOS!$B$3:$F$18,5,0),""))</f>
        <v/>
      </c>
      <c r="F1488" s="5" t="str">
        <f aca="false">IF(C1488="","",IFERROR(VLOOKUP(C1488,EQUIPOS!$B$3:$G$18,6,0),""))</f>
        <v/>
      </c>
      <c r="G1488" s="8"/>
      <c r="H1488" s="5"/>
      <c r="I1488" s="5"/>
      <c r="J1488" s="9"/>
      <c r="K1488" s="17" t="str">
        <f aca="false">IF(H1488="","",IFERROR(SUMIFS(BD_PLAN!$I$3:$I$312,BD_PLAN!$B$3:$B$312,E1488,BD_PLAN!$C$3:$C$312,INDEX(BD_CICLO!$F$3:$F$54,MATCH(E1488&amp;"|"&amp;H1488,BD_CICLO!$G$3:$G$54,0))),""))</f>
        <v/>
      </c>
      <c r="L1488" s="9"/>
      <c r="M1488" s="9"/>
      <c r="N1488" s="1" t="str">
        <f aca="false">IF(C1488="","",C1488&amp;"|"&amp;COUNTIF(C$3:C1488,C1488))</f>
        <v/>
      </c>
      <c r="O1488" s="1" t="str">
        <f aca="false">IF(OR(C1488="",M1488=""),"",C1488&amp;"|"&amp;COUNTIFS(C$3:C1488,C1488,M$3:M1488,"&lt;&gt;"))</f>
        <v/>
      </c>
    </row>
    <row r="1489" customFormat="false" ht="15" hidden="false" customHeight="false" outlineLevel="0" collapsed="false">
      <c r="B1489" s="7"/>
      <c r="C1489" s="5"/>
      <c r="D1489" s="9" t="str">
        <f aca="false">IF(C1489="","",IFERROR(VLOOKUP(C1489,EQUIPOS!$B$3:$C$18,2,0),"NO EXISTE"))</f>
        <v/>
      </c>
      <c r="E1489" s="9" t="str">
        <f aca="false">IF(C1489="","",IFERROR(VLOOKUP(C1489,EQUIPOS!$B$3:$F$18,5,0),""))</f>
        <v/>
      </c>
      <c r="F1489" s="5" t="str">
        <f aca="false">IF(C1489="","",IFERROR(VLOOKUP(C1489,EQUIPOS!$B$3:$G$18,6,0),""))</f>
        <v/>
      </c>
      <c r="G1489" s="8"/>
      <c r="H1489" s="5"/>
      <c r="I1489" s="5"/>
      <c r="J1489" s="9"/>
      <c r="K1489" s="17" t="str">
        <f aca="false">IF(H1489="","",IFERROR(SUMIFS(BD_PLAN!$I$3:$I$312,BD_PLAN!$B$3:$B$312,E1489,BD_PLAN!$C$3:$C$312,INDEX(BD_CICLO!$F$3:$F$54,MATCH(E1489&amp;"|"&amp;H1489,BD_CICLO!$G$3:$G$54,0))),""))</f>
        <v/>
      </c>
      <c r="L1489" s="9"/>
      <c r="M1489" s="9"/>
      <c r="N1489" s="1" t="str">
        <f aca="false">IF(C1489="","",C1489&amp;"|"&amp;COUNTIF(C$3:C1489,C1489))</f>
        <v/>
      </c>
      <c r="O1489" s="1" t="str">
        <f aca="false">IF(OR(C1489="",M1489=""),"",C1489&amp;"|"&amp;COUNTIFS(C$3:C1489,C1489,M$3:M1489,"&lt;&gt;"))</f>
        <v/>
      </c>
    </row>
    <row r="1490" customFormat="false" ht="15" hidden="false" customHeight="false" outlineLevel="0" collapsed="false">
      <c r="B1490" s="7"/>
      <c r="C1490" s="5"/>
      <c r="D1490" s="9" t="str">
        <f aca="false">IF(C1490="","",IFERROR(VLOOKUP(C1490,EQUIPOS!$B$3:$C$18,2,0),"NO EXISTE"))</f>
        <v/>
      </c>
      <c r="E1490" s="9" t="str">
        <f aca="false">IF(C1490="","",IFERROR(VLOOKUP(C1490,EQUIPOS!$B$3:$F$18,5,0),""))</f>
        <v/>
      </c>
      <c r="F1490" s="5" t="str">
        <f aca="false">IF(C1490="","",IFERROR(VLOOKUP(C1490,EQUIPOS!$B$3:$G$18,6,0),""))</f>
        <v/>
      </c>
      <c r="G1490" s="8"/>
      <c r="H1490" s="5"/>
      <c r="I1490" s="5"/>
      <c r="J1490" s="9"/>
      <c r="K1490" s="17" t="str">
        <f aca="false">IF(H1490="","",IFERROR(SUMIFS(BD_PLAN!$I$3:$I$312,BD_PLAN!$B$3:$B$312,E1490,BD_PLAN!$C$3:$C$312,INDEX(BD_CICLO!$F$3:$F$54,MATCH(E1490&amp;"|"&amp;H1490,BD_CICLO!$G$3:$G$54,0))),""))</f>
        <v/>
      </c>
      <c r="L1490" s="9"/>
      <c r="M1490" s="9"/>
      <c r="N1490" s="1" t="str">
        <f aca="false">IF(C1490="","",C1490&amp;"|"&amp;COUNTIF(C$3:C1490,C1490))</f>
        <v/>
      </c>
      <c r="O1490" s="1" t="str">
        <f aca="false">IF(OR(C1490="",M1490=""),"",C1490&amp;"|"&amp;COUNTIFS(C$3:C1490,C1490,M$3:M1490,"&lt;&gt;"))</f>
        <v/>
      </c>
    </row>
    <row r="1491" customFormat="false" ht="15" hidden="false" customHeight="false" outlineLevel="0" collapsed="false">
      <c r="B1491" s="7"/>
      <c r="C1491" s="5"/>
      <c r="D1491" s="9" t="str">
        <f aca="false">IF(C1491="","",IFERROR(VLOOKUP(C1491,EQUIPOS!$B$3:$C$18,2,0),"NO EXISTE"))</f>
        <v/>
      </c>
      <c r="E1491" s="9" t="str">
        <f aca="false">IF(C1491="","",IFERROR(VLOOKUP(C1491,EQUIPOS!$B$3:$F$18,5,0),""))</f>
        <v/>
      </c>
      <c r="F1491" s="5" t="str">
        <f aca="false">IF(C1491="","",IFERROR(VLOOKUP(C1491,EQUIPOS!$B$3:$G$18,6,0),""))</f>
        <v/>
      </c>
      <c r="G1491" s="8"/>
      <c r="H1491" s="5"/>
      <c r="I1491" s="5"/>
      <c r="J1491" s="9"/>
      <c r="K1491" s="17" t="str">
        <f aca="false">IF(H1491="","",IFERROR(SUMIFS(BD_PLAN!$I$3:$I$312,BD_PLAN!$B$3:$B$312,E1491,BD_PLAN!$C$3:$C$312,INDEX(BD_CICLO!$F$3:$F$54,MATCH(E1491&amp;"|"&amp;H1491,BD_CICLO!$G$3:$G$54,0))),""))</f>
        <v/>
      </c>
      <c r="L1491" s="9"/>
      <c r="M1491" s="9"/>
      <c r="N1491" s="1" t="str">
        <f aca="false">IF(C1491="","",C1491&amp;"|"&amp;COUNTIF(C$3:C1491,C1491))</f>
        <v/>
      </c>
      <c r="O1491" s="1" t="str">
        <f aca="false">IF(OR(C1491="",M1491=""),"",C1491&amp;"|"&amp;COUNTIFS(C$3:C1491,C1491,M$3:M1491,"&lt;&gt;"))</f>
        <v/>
      </c>
    </row>
    <row r="1492" customFormat="false" ht="15" hidden="false" customHeight="false" outlineLevel="0" collapsed="false">
      <c r="B1492" s="7"/>
      <c r="C1492" s="5"/>
      <c r="D1492" s="9" t="str">
        <f aca="false">IF(C1492="","",IFERROR(VLOOKUP(C1492,EQUIPOS!$B$3:$C$18,2,0),"NO EXISTE"))</f>
        <v/>
      </c>
      <c r="E1492" s="9" t="str">
        <f aca="false">IF(C1492="","",IFERROR(VLOOKUP(C1492,EQUIPOS!$B$3:$F$18,5,0),""))</f>
        <v/>
      </c>
      <c r="F1492" s="5" t="str">
        <f aca="false">IF(C1492="","",IFERROR(VLOOKUP(C1492,EQUIPOS!$B$3:$G$18,6,0),""))</f>
        <v/>
      </c>
      <c r="G1492" s="8"/>
      <c r="H1492" s="5"/>
      <c r="I1492" s="5"/>
      <c r="J1492" s="9"/>
      <c r="K1492" s="17" t="str">
        <f aca="false">IF(H1492="","",IFERROR(SUMIFS(BD_PLAN!$I$3:$I$312,BD_PLAN!$B$3:$B$312,E1492,BD_PLAN!$C$3:$C$312,INDEX(BD_CICLO!$F$3:$F$54,MATCH(E1492&amp;"|"&amp;H1492,BD_CICLO!$G$3:$G$54,0))),""))</f>
        <v/>
      </c>
      <c r="L1492" s="9"/>
      <c r="M1492" s="9"/>
      <c r="N1492" s="1" t="str">
        <f aca="false">IF(C1492="","",C1492&amp;"|"&amp;COUNTIF(C$3:C1492,C1492))</f>
        <v/>
      </c>
      <c r="O1492" s="1" t="str">
        <f aca="false">IF(OR(C1492="",M1492=""),"",C1492&amp;"|"&amp;COUNTIFS(C$3:C1492,C1492,M$3:M1492,"&lt;&gt;"))</f>
        <v/>
      </c>
    </row>
    <row r="1493" customFormat="false" ht="15" hidden="false" customHeight="false" outlineLevel="0" collapsed="false">
      <c r="B1493" s="7"/>
      <c r="C1493" s="5"/>
      <c r="D1493" s="9" t="str">
        <f aca="false">IF(C1493="","",IFERROR(VLOOKUP(C1493,EQUIPOS!$B$3:$C$18,2,0),"NO EXISTE"))</f>
        <v/>
      </c>
      <c r="E1493" s="9" t="str">
        <f aca="false">IF(C1493="","",IFERROR(VLOOKUP(C1493,EQUIPOS!$B$3:$F$18,5,0),""))</f>
        <v/>
      </c>
      <c r="F1493" s="5" t="str">
        <f aca="false">IF(C1493="","",IFERROR(VLOOKUP(C1493,EQUIPOS!$B$3:$G$18,6,0),""))</f>
        <v/>
      </c>
      <c r="G1493" s="8"/>
      <c r="H1493" s="5"/>
      <c r="I1493" s="5"/>
      <c r="J1493" s="9"/>
      <c r="K1493" s="17" t="str">
        <f aca="false">IF(H1493="","",IFERROR(SUMIFS(BD_PLAN!$I$3:$I$312,BD_PLAN!$B$3:$B$312,E1493,BD_PLAN!$C$3:$C$312,INDEX(BD_CICLO!$F$3:$F$54,MATCH(E1493&amp;"|"&amp;H1493,BD_CICLO!$G$3:$G$54,0))),""))</f>
        <v/>
      </c>
      <c r="L1493" s="9"/>
      <c r="M1493" s="9"/>
      <c r="N1493" s="1" t="str">
        <f aca="false">IF(C1493="","",C1493&amp;"|"&amp;COUNTIF(C$3:C1493,C1493))</f>
        <v/>
      </c>
      <c r="O1493" s="1" t="str">
        <f aca="false">IF(OR(C1493="",M1493=""),"",C1493&amp;"|"&amp;COUNTIFS(C$3:C1493,C1493,M$3:M1493,"&lt;&gt;"))</f>
        <v/>
      </c>
    </row>
    <row r="1494" customFormat="false" ht="15" hidden="false" customHeight="false" outlineLevel="0" collapsed="false">
      <c r="B1494" s="7"/>
      <c r="C1494" s="5"/>
      <c r="D1494" s="9" t="str">
        <f aca="false">IF(C1494="","",IFERROR(VLOOKUP(C1494,EQUIPOS!$B$3:$C$18,2,0),"NO EXISTE"))</f>
        <v/>
      </c>
      <c r="E1494" s="9" t="str">
        <f aca="false">IF(C1494="","",IFERROR(VLOOKUP(C1494,EQUIPOS!$B$3:$F$18,5,0),""))</f>
        <v/>
      </c>
      <c r="F1494" s="5" t="str">
        <f aca="false">IF(C1494="","",IFERROR(VLOOKUP(C1494,EQUIPOS!$B$3:$G$18,6,0),""))</f>
        <v/>
      </c>
      <c r="G1494" s="8"/>
      <c r="H1494" s="5"/>
      <c r="I1494" s="5"/>
      <c r="J1494" s="9"/>
      <c r="K1494" s="17" t="str">
        <f aca="false">IF(H1494="","",IFERROR(SUMIFS(BD_PLAN!$I$3:$I$312,BD_PLAN!$B$3:$B$312,E1494,BD_PLAN!$C$3:$C$312,INDEX(BD_CICLO!$F$3:$F$54,MATCH(E1494&amp;"|"&amp;H1494,BD_CICLO!$G$3:$G$54,0))),""))</f>
        <v/>
      </c>
      <c r="L1494" s="9"/>
      <c r="M1494" s="9"/>
      <c r="N1494" s="1" t="str">
        <f aca="false">IF(C1494="","",C1494&amp;"|"&amp;COUNTIF(C$3:C1494,C1494))</f>
        <v/>
      </c>
      <c r="O1494" s="1" t="str">
        <f aca="false">IF(OR(C1494="",M1494=""),"",C1494&amp;"|"&amp;COUNTIFS(C$3:C1494,C1494,M$3:M1494,"&lt;&gt;"))</f>
        <v/>
      </c>
    </row>
    <row r="1495" customFormat="false" ht="15" hidden="false" customHeight="false" outlineLevel="0" collapsed="false">
      <c r="B1495" s="7"/>
      <c r="C1495" s="5"/>
      <c r="D1495" s="9" t="str">
        <f aca="false">IF(C1495="","",IFERROR(VLOOKUP(C1495,EQUIPOS!$B$3:$C$18,2,0),"NO EXISTE"))</f>
        <v/>
      </c>
      <c r="E1495" s="9" t="str">
        <f aca="false">IF(C1495="","",IFERROR(VLOOKUP(C1495,EQUIPOS!$B$3:$F$18,5,0),""))</f>
        <v/>
      </c>
      <c r="F1495" s="5" t="str">
        <f aca="false">IF(C1495="","",IFERROR(VLOOKUP(C1495,EQUIPOS!$B$3:$G$18,6,0),""))</f>
        <v/>
      </c>
      <c r="G1495" s="8"/>
      <c r="H1495" s="5"/>
      <c r="I1495" s="5"/>
      <c r="J1495" s="9"/>
      <c r="K1495" s="17" t="str">
        <f aca="false">IF(H1495="","",IFERROR(SUMIFS(BD_PLAN!$I$3:$I$312,BD_PLAN!$B$3:$B$312,E1495,BD_PLAN!$C$3:$C$312,INDEX(BD_CICLO!$F$3:$F$54,MATCH(E1495&amp;"|"&amp;H1495,BD_CICLO!$G$3:$G$54,0))),""))</f>
        <v/>
      </c>
      <c r="L1495" s="9"/>
      <c r="M1495" s="9"/>
      <c r="N1495" s="1" t="str">
        <f aca="false">IF(C1495="","",C1495&amp;"|"&amp;COUNTIF(C$3:C1495,C1495))</f>
        <v/>
      </c>
      <c r="O1495" s="1" t="str">
        <f aca="false">IF(OR(C1495="",M1495=""),"",C1495&amp;"|"&amp;COUNTIFS(C$3:C1495,C1495,M$3:M1495,"&lt;&gt;"))</f>
        <v/>
      </c>
    </row>
    <row r="1496" customFormat="false" ht="15" hidden="false" customHeight="false" outlineLevel="0" collapsed="false">
      <c r="B1496" s="7"/>
      <c r="C1496" s="5"/>
      <c r="D1496" s="9" t="str">
        <f aca="false">IF(C1496="","",IFERROR(VLOOKUP(C1496,EQUIPOS!$B$3:$C$18,2,0),"NO EXISTE"))</f>
        <v/>
      </c>
      <c r="E1496" s="9" t="str">
        <f aca="false">IF(C1496="","",IFERROR(VLOOKUP(C1496,EQUIPOS!$B$3:$F$18,5,0),""))</f>
        <v/>
      </c>
      <c r="F1496" s="5" t="str">
        <f aca="false">IF(C1496="","",IFERROR(VLOOKUP(C1496,EQUIPOS!$B$3:$G$18,6,0),""))</f>
        <v/>
      </c>
      <c r="G1496" s="8"/>
      <c r="H1496" s="5"/>
      <c r="I1496" s="5"/>
      <c r="J1496" s="9"/>
      <c r="K1496" s="17" t="str">
        <f aca="false">IF(H1496="","",IFERROR(SUMIFS(BD_PLAN!$I$3:$I$312,BD_PLAN!$B$3:$B$312,E1496,BD_PLAN!$C$3:$C$312,INDEX(BD_CICLO!$F$3:$F$54,MATCH(E1496&amp;"|"&amp;H1496,BD_CICLO!$G$3:$G$54,0))),""))</f>
        <v/>
      </c>
      <c r="L1496" s="9"/>
      <c r="M1496" s="9"/>
      <c r="N1496" s="1" t="str">
        <f aca="false">IF(C1496="","",C1496&amp;"|"&amp;COUNTIF(C$3:C1496,C1496))</f>
        <v/>
      </c>
      <c r="O1496" s="1" t="str">
        <f aca="false">IF(OR(C1496="",M1496=""),"",C1496&amp;"|"&amp;COUNTIFS(C$3:C1496,C1496,M$3:M1496,"&lt;&gt;"))</f>
        <v/>
      </c>
    </row>
    <row r="1497" customFormat="false" ht="15" hidden="false" customHeight="false" outlineLevel="0" collapsed="false">
      <c r="B1497" s="7"/>
      <c r="C1497" s="5"/>
      <c r="D1497" s="9" t="str">
        <f aca="false">IF(C1497="","",IFERROR(VLOOKUP(C1497,EQUIPOS!$B$3:$C$18,2,0),"NO EXISTE"))</f>
        <v/>
      </c>
      <c r="E1497" s="9" t="str">
        <f aca="false">IF(C1497="","",IFERROR(VLOOKUP(C1497,EQUIPOS!$B$3:$F$18,5,0),""))</f>
        <v/>
      </c>
      <c r="F1497" s="5" t="str">
        <f aca="false">IF(C1497="","",IFERROR(VLOOKUP(C1497,EQUIPOS!$B$3:$G$18,6,0),""))</f>
        <v/>
      </c>
      <c r="G1497" s="8"/>
      <c r="H1497" s="5"/>
      <c r="I1497" s="5"/>
      <c r="J1497" s="9"/>
      <c r="K1497" s="17" t="str">
        <f aca="false">IF(H1497="","",IFERROR(SUMIFS(BD_PLAN!$I$3:$I$312,BD_PLAN!$B$3:$B$312,E1497,BD_PLAN!$C$3:$C$312,INDEX(BD_CICLO!$F$3:$F$54,MATCH(E1497&amp;"|"&amp;H1497,BD_CICLO!$G$3:$G$54,0))),""))</f>
        <v/>
      </c>
      <c r="L1497" s="9"/>
      <c r="M1497" s="9"/>
      <c r="N1497" s="1" t="str">
        <f aca="false">IF(C1497="","",C1497&amp;"|"&amp;COUNTIF(C$3:C1497,C1497))</f>
        <v/>
      </c>
      <c r="O1497" s="1" t="str">
        <f aca="false">IF(OR(C1497="",M1497=""),"",C1497&amp;"|"&amp;COUNTIFS(C$3:C1497,C1497,M$3:M1497,"&lt;&gt;"))</f>
        <v/>
      </c>
    </row>
    <row r="1498" customFormat="false" ht="15" hidden="false" customHeight="false" outlineLevel="0" collapsed="false">
      <c r="B1498" s="7"/>
      <c r="C1498" s="5"/>
      <c r="D1498" s="9" t="str">
        <f aca="false">IF(C1498="","",IFERROR(VLOOKUP(C1498,EQUIPOS!$B$3:$C$18,2,0),"NO EXISTE"))</f>
        <v/>
      </c>
      <c r="E1498" s="9" t="str">
        <f aca="false">IF(C1498="","",IFERROR(VLOOKUP(C1498,EQUIPOS!$B$3:$F$18,5,0),""))</f>
        <v/>
      </c>
      <c r="F1498" s="5" t="str">
        <f aca="false">IF(C1498="","",IFERROR(VLOOKUP(C1498,EQUIPOS!$B$3:$G$18,6,0),""))</f>
        <v/>
      </c>
      <c r="G1498" s="8"/>
      <c r="H1498" s="5"/>
      <c r="I1498" s="5"/>
      <c r="J1498" s="9"/>
      <c r="K1498" s="17" t="str">
        <f aca="false">IF(H1498="","",IFERROR(SUMIFS(BD_PLAN!$I$3:$I$312,BD_PLAN!$B$3:$B$312,E1498,BD_PLAN!$C$3:$C$312,INDEX(BD_CICLO!$F$3:$F$54,MATCH(E1498&amp;"|"&amp;H1498,BD_CICLO!$G$3:$G$54,0))),""))</f>
        <v/>
      </c>
      <c r="L1498" s="9"/>
      <c r="M1498" s="9"/>
      <c r="N1498" s="1" t="str">
        <f aca="false">IF(C1498="","",C1498&amp;"|"&amp;COUNTIF(C$3:C1498,C1498))</f>
        <v/>
      </c>
      <c r="O1498" s="1" t="str">
        <f aca="false">IF(OR(C1498="",M1498=""),"",C1498&amp;"|"&amp;COUNTIFS(C$3:C1498,C1498,M$3:M1498,"&lt;&gt;"))</f>
        <v/>
      </c>
    </row>
    <row r="1499" customFormat="false" ht="15" hidden="false" customHeight="false" outlineLevel="0" collapsed="false">
      <c r="B1499" s="7"/>
      <c r="C1499" s="5"/>
      <c r="D1499" s="9" t="str">
        <f aca="false">IF(C1499="","",IFERROR(VLOOKUP(C1499,EQUIPOS!$B$3:$C$18,2,0),"NO EXISTE"))</f>
        <v/>
      </c>
      <c r="E1499" s="9" t="str">
        <f aca="false">IF(C1499="","",IFERROR(VLOOKUP(C1499,EQUIPOS!$B$3:$F$18,5,0),""))</f>
        <v/>
      </c>
      <c r="F1499" s="5" t="str">
        <f aca="false">IF(C1499="","",IFERROR(VLOOKUP(C1499,EQUIPOS!$B$3:$G$18,6,0),""))</f>
        <v/>
      </c>
      <c r="G1499" s="8"/>
      <c r="H1499" s="5"/>
      <c r="I1499" s="5"/>
      <c r="J1499" s="9"/>
      <c r="K1499" s="17" t="str">
        <f aca="false">IF(H1499="","",IFERROR(SUMIFS(BD_PLAN!$I$3:$I$312,BD_PLAN!$B$3:$B$312,E1499,BD_PLAN!$C$3:$C$312,INDEX(BD_CICLO!$F$3:$F$54,MATCH(E1499&amp;"|"&amp;H1499,BD_CICLO!$G$3:$G$54,0))),""))</f>
        <v/>
      </c>
      <c r="L1499" s="9"/>
      <c r="M1499" s="9"/>
      <c r="N1499" s="1" t="str">
        <f aca="false">IF(C1499="","",C1499&amp;"|"&amp;COUNTIF(C$3:C1499,C1499))</f>
        <v/>
      </c>
      <c r="O1499" s="1" t="str">
        <f aca="false">IF(OR(C1499="",M1499=""),"",C1499&amp;"|"&amp;COUNTIFS(C$3:C1499,C1499,M$3:M1499,"&lt;&gt;"))</f>
        <v/>
      </c>
    </row>
    <row r="1500" customFormat="false" ht="15" hidden="false" customHeight="false" outlineLevel="0" collapsed="false">
      <c r="B1500" s="7"/>
      <c r="C1500" s="5"/>
      <c r="D1500" s="9" t="str">
        <f aca="false">IF(C1500="","",IFERROR(VLOOKUP(C1500,EQUIPOS!$B$3:$C$18,2,0),"NO EXISTE"))</f>
        <v/>
      </c>
      <c r="E1500" s="9" t="str">
        <f aca="false">IF(C1500="","",IFERROR(VLOOKUP(C1500,EQUIPOS!$B$3:$F$18,5,0),""))</f>
        <v/>
      </c>
      <c r="F1500" s="5" t="str">
        <f aca="false">IF(C1500="","",IFERROR(VLOOKUP(C1500,EQUIPOS!$B$3:$G$18,6,0),""))</f>
        <v/>
      </c>
      <c r="G1500" s="8"/>
      <c r="H1500" s="5"/>
      <c r="I1500" s="5"/>
      <c r="J1500" s="9"/>
      <c r="K1500" s="17" t="str">
        <f aca="false">IF(H1500="","",IFERROR(SUMIFS(BD_PLAN!$I$3:$I$312,BD_PLAN!$B$3:$B$312,E1500,BD_PLAN!$C$3:$C$312,INDEX(BD_CICLO!$F$3:$F$54,MATCH(E1500&amp;"|"&amp;H1500,BD_CICLO!$G$3:$G$54,0))),""))</f>
        <v/>
      </c>
      <c r="L1500" s="9"/>
      <c r="M1500" s="9"/>
      <c r="N1500" s="1" t="str">
        <f aca="false">IF(C1500="","",C1500&amp;"|"&amp;COUNTIF(C$3:C1500,C1500))</f>
        <v/>
      </c>
      <c r="O1500" s="1" t="str">
        <f aca="false">IF(OR(C1500="",M1500=""),"",C1500&amp;"|"&amp;COUNTIFS(C$3:C1500,C1500,M$3:M1500,"&lt;&gt;"))</f>
        <v/>
      </c>
    </row>
    <row r="1501" customFormat="false" ht="15" hidden="false" customHeight="false" outlineLevel="0" collapsed="false">
      <c r="B1501" s="7"/>
      <c r="C1501" s="5"/>
      <c r="D1501" s="9" t="str">
        <f aca="false">IF(C1501="","",IFERROR(VLOOKUP(C1501,EQUIPOS!$B$3:$C$18,2,0),"NO EXISTE"))</f>
        <v/>
      </c>
      <c r="E1501" s="9" t="str">
        <f aca="false">IF(C1501="","",IFERROR(VLOOKUP(C1501,EQUIPOS!$B$3:$F$18,5,0),""))</f>
        <v/>
      </c>
      <c r="F1501" s="5" t="str">
        <f aca="false">IF(C1501="","",IFERROR(VLOOKUP(C1501,EQUIPOS!$B$3:$G$18,6,0),""))</f>
        <v/>
      </c>
      <c r="G1501" s="8"/>
      <c r="H1501" s="5"/>
      <c r="I1501" s="5"/>
      <c r="J1501" s="9"/>
      <c r="K1501" s="17" t="str">
        <f aca="false">IF(H1501="","",IFERROR(SUMIFS(BD_PLAN!$I$3:$I$312,BD_PLAN!$B$3:$B$312,E1501,BD_PLAN!$C$3:$C$312,INDEX(BD_CICLO!$F$3:$F$54,MATCH(E1501&amp;"|"&amp;H1501,BD_CICLO!$G$3:$G$54,0))),""))</f>
        <v/>
      </c>
      <c r="L1501" s="9"/>
      <c r="M1501" s="9"/>
      <c r="N1501" s="1" t="str">
        <f aca="false">IF(C1501="","",C1501&amp;"|"&amp;COUNTIF(C$3:C1501,C1501))</f>
        <v/>
      </c>
      <c r="O1501" s="1" t="str">
        <f aca="false">IF(OR(C1501="",M1501=""),"",C1501&amp;"|"&amp;COUNTIFS(C$3:C1501,C1501,M$3:M1501,"&lt;&gt;"))</f>
        <v/>
      </c>
    </row>
    <row r="1502" customFormat="false" ht="15" hidden="false" customHeight="false" outlineLevel="0" collapsed="false">
      <c r="B1502" s="7"/>
      <c r="C1502" s="5"/>
      <c r="D1502" s="9" t="str">
        <f aca="false">IF(C1502="","",IFERROR(VLOOKUP(C1502,EQUIPOS!$B$3:$C$18,2,0),"NO EXISTE"))</f>
        <v/>
      </c>
      <c r="E1502" s="9" t="str">
        <f aca="false">IF(C1502="","",IFERROR(VLOOKUP(C1502,EQUIPOS!$B$3:$F$18,5,0),""))</f>
        <v/>
      </c>
      <c r="F1502" s="5" t="str">
        <f aca="false">IF(C1502="","",IFERROR(VLOOKUP(C1502,EQUIPOS!$B$3:$G$18,6,0),""))</f>
        <v/>
      </c>
      <c r="G1502" s="8"/>
      <c r="H1502" s="5"/>
      <c r="I1502" s="5"/>
      <c r="J1502" s="9"/>
      <c r="K1502" s="17" t="str">
        <f aca="false">IF(H1502="","",IFERROR(SUMIFS(BD_PLAN!$I$3:$I$312,BD_PLAN!$B$3:$B$312,E1502,BD_PLAN!$C$3:$C$312,INDEX(BD_CICLO!$F$3:$F$54,MATCH(E1502&amp;"|"&amp;H1502,BD_CICLO!$G$3:$G$54,0))),""))</f>
        <v/>
      </c>
      <c r="L1502" s="9"/>
      <c r="M1502" s="9"/>
      <c r="N1502" s="1" t="str">
        <f aca="false">IF(C1502="","",C1502&amp;"|"&amp;COUNTIF(C$3:C1502,C1502))</f>
        <v/>
      </c>
      <c r="O1502" s="1" t="str">
        <f aca="false">IF(OR(C1502="",M1502=""),"",C1502&amp;"|"&amp;COUNTIFS(C$3:C1502,C1502,M$3:M1502,"&lt;&gt;"))</f>
        <v/>
      </c>
    </row>
    <row r="1503" customFormat="false" ht="15" hidden="false" customHeight="false" outlineLevel="0" collapsed="false">
      <c r="B1503" s="7"/>
      <c r="C1503" s="5"/>
      <c r="D1503" s="9" t="str">
        <f aca="false">IF(C1503="","",IFERROR(VLOOKUP(C1503,EQUIPOS!$B$3:$C$18,2,0),"NO EXISTE"))</f>
        <v/>
      </c>
      <c r="E1503" s="9" t="str">
        <f aca="false">IF(C1503="","",IFERROR(VLOOKUP(C1503,EQUIPOS!$B$3:$F$18,5,0),""))</f>
        <v/>
      </c>
      <c r="F1503" s="5" t="str">
        <f aca="false">IF(C1503="","",IFERROR(VLOOKUP(C1503,EQUIPOS!$B$3:$G$18,6,0),""))</f>
        <v/>
      </c>
      <c r="G1503" s="8"/>
      <c r="H1503" s="5"/>
      <c r="I1503" s="5"/>
      <c r="J1503" s="9"/>
      <c r="K1503" s="17" t="str">
        <f aca="false">IF(H1503="","",IFERROR(SUMIFS(BD_PLAN!$I$3:$I$312,BD_PLAN!$B$3:$B$312,E1503,BD_PLAN!$C$3:$C$312,INDEX(BD_CICLO!$F$3:$F$54,MATCH(E1503&amp;"|"&amp;H1503,BD_CICLO!$G$3:$G$54,0))),""))</f>
        <v/>
      </c>
      <c r="L1503" s="9"/>
      <c r="M1503" s="9"/>
      <c r="N1503" s="1" t="str">
        <f aca="false">IF(C1503="","",C1503&amp;"|"&amp;COUNTIF(C$3:C1503,C1503))</f>
        <v/>
      </c>
      <c r="O1503" s="1" t="str">
        <f aca="false">IF(OR(C1503="",M1503=""),"",C1503&amp;"|"&amp;COUNTIFS(C$3:C1503,C1503,M$3:M1503,"&lt;&gt;"))</f>
        <v/>
      </c>
    </row>
    <row r="1504" customFormat="false" ht="15" hidden="false" customHeight="false" outlineLevel="0" collapsed="false">
      <c r="B1504" s="7"/>
      <c r="C1504" s="5"/>
      <c r="D1504" s="9" t="str">
        <f aca="false">IF(C1504="","",IFERROR(VLOOKUP(C1504,EQUIPOS!$B$3:$C$18,2,0),"NO EXISTE"))</f>
        <v/>
      </c>
      <c r="E1504" s="9" t="str">
        <f aca="false">IF(C1504="","",IFERROR(VLOOKUP(C1504,EQUIPOS!$B$3:$F$18,5,0),""))</f>
        <v/>
      </c>
      <c r="F1504" s="5" t="str">
        <f aca="false">IF(C1504="","",IFERROR(VLOOKUP(C1504,EQUIPOS!$B$3:$G$18,6,0),""))</f>
        <v/>
      </c>
      <c r="G1504" s="8"/>
      <c r="H1504" s="5"/>
      <c r="I1504" s="5"/>
      <c r="J1504" s="9"/>
      <c r="K1504" s="17" t="str">
        <f aca="false">IF(H1504="","",IFERROR(SUMIFS(BD_PLAN!$I$3:$I$312,BD_PLAN!$B$3:$B$312,E1504,BD_PLAN!$C$3:$C$312,INDEX(BD_CICLO!$F$3:$F$54,MATCH(E1504&amp;"|"&amp;H1504,BD_CICLO!$G$3:$G$54,0))),""))</f>
        <v/>
      </c>
      <c r="L1504" s="9"/>
      <c r="M1504" s="9"/>
      <c r="N1504" s="1" t="str">
        <f aca="false">IF(C1504="","",C1504&amp;"|"&amp;COUNTIF(C$3:C1504,C1504))</f>
        <v/>
      </c>
      <c r="O1504" s="1" t="str">
        <f aca="false">IF(OR(C1504="",M1504=""),"",C1504&amp;"|"&amp;COUNTIFS(C$3:C1504,C1504,M$3:M1504,"&lt;&gt;"))</f>
        <v/>
      </c>
    </row>
    <row r="1505" customFormat="false" ht="15" hidden="false" customHeight="false" outlineLevel="0" collapsed="false">
      <c r="B1505" s="7"/>
      <c r="C1505" s="5"/>
      <c r="D1505" s="9" t="str">
        <f aca="false">IF(C1505="","",IFERROR(VLOOKUP(C1505,EQUIPOS!$B$3:$C$18,2,0),"NO EXISTE"))</f>
        <v/>
      </c>
      <c r="E1505" s="9" t="str">
        <f aca="false">IF(C1505="","",IFERROR(VLOOKUP(C1505,EQUIPOS!$B$3:$F$18,5,0),""))</f>
        <v/>
      </c>
      <c r="F1505" s="5" t="str">
        <f aca="false">IF(C1505="","",IFERROR(VLOOKUP(C1505,EQUIPOS!$B$3:$G$18,6,0),""))</f>
        <v/>
      </c>
      <c r="G1505" s="8"/>
      <c r="H1505" s="5"/>
      <c r="I1505" s="5"/>
      <c r="J1505" s="9"/>
      <c r="K1505" s="17" t="str">
        <f aca="false">IF(H1505="","",IFERROR(SUMIFS(BD_PLAN!$I$3:$I$312,BD_PLAN!$B$3:$B$312,E1505,BD_PLAN!$C$3:$C$312,INDEX(BD_CICLO!$F$3:$F$54,MATCH(E1505&amp;"|"&amp;H1505,BD_CICLO!$G$3:$G$54,0))),""))</f>
        <v/>
      </c>
      <c r="L1505" s="9"/>
      <c r="M1505" s="9"/>
      <c r="N1505" s="1" t="str">
        <f aca="false">IF(C1505="","",C1505&amp;"|"&amp;COUNTIF(C$3:C1505,C1505))</f>
        <v/>
      </c>
      <c r="O1505" s="1" t="str">
        <f aca="false">IF(OR(C1505="",M1505=""),"",C1505&amp;"|"&amp;COUNTIFS(C$3:C1505,C1505,M$3:M1505,"&lt;&gt;"))</f>
        <v/>
      </c>
    </row>
    <row r="1506" customFormat="false" ht="15" hidden="false" customHeight="false" outlineLevel="0" collapsed="false">
      <c r="B1506" s="7"/>
      <c r="C1506" s="5"/>
      <c r="D1506" s="9" t="str">
        <f aca="false">IF(C1506="","",IFERROR(VLOOKUP(C1506,EQUIPOS!$B$3:$C$18,2,0),"NO EXISTE"))</f>
        <v/>
      </c>
      <c r="E1506" s="9" t="str">
        <f aca="false">IF(C1506="","",IFERROR(VLOOKUP(C1506,EQUIPOS!$B$3:$F$18,5,0),""))</f>
        <v/>
      </c>
      <c r="F1506" s="5" t="str">
        <f aca="false">IF(C1506="","",IFERROR(VLOOKUP(C1506,EQUIPOS!$B$3:$G$18,6,0),""))</f>
        <v/>
      </c>
      <c r="G1506" s="8"/>
      <c r="H1506" s="5"/>
      <c r="I1506" s="5"/>
      <c r="J1506" s="9"/>
      <c r="K1506" s="17" t="str">
        <f aca="false">IF(H1506="","",IFERROR(SUMIFS(BD_PLAN!$I$3:$I$312,BD_PLAN!$B$3:$B$312,E1506,BD_PLAN!$C$3:$C$312,INDEX(BD_CICLO!$F$3:$F$54,MATCH(E1506&amp;"|"&amp;H1506,BD_CICLO!$G$3:$G$54,0))),""))</f>
        <v/>
      </c>
      <c r="L1506" s="9"/>
      <c r="M1506" s="9"/>
      <c r="N1506" s="1" t="str">
        <f aca="false">IF(C1506="","",C1506&amp;"|"&amp;COUNTIF(C$3:C1506,C1506))</f>
        <v/>
      </c>
      <c r="O1506" s="1" t="str">
        <f aca="false">IF(OR(C1506="",M1506=""),"",C1506&amp;"|"&amp;COUNTIFS(C$3:C1506,C1506,M$3:M1506,"&lt;&gt;"))</f>
        <v/>
      </c>
    </row>
    <row r="1507" customFormat="false" ht="15" hidden="false" customHeight="false" outlineLevel="0" collapsed="false">
      <c r="B1507" s="7"/>
      <c r="C1507" s="5"/>
      <c r="D1507" s="9" t="str">
        <f aca="false">IF(C1507="","",IFERROR(VLOOKUP(C1507,EQUIPOS!$B$3:$C$18,2,0),"NO EXISTE"))</f>
        <v/>
      </c>
      <c r="E1507" s="9" t="str">
        <f aca="false">IF(C1507="","",IFERROR(VLOOKUP(C1507,EQUIPOS!$B$3:$F$18,5,0),""))</f>
        <v/>
      </c>
      <c r="F1507" s="5" t="str">
        <f aca="false">IF(C1507="","",IFERROR(VLOOKUP(C1507,EQUIPOS!$B$3:$G$18,6,0),""))</f>
        <v/>
      </c>
      <c r="G1507" s="8"/>
      <c r="H1507" s="5"/>
      <c r="I1507" s="5"/>
      <c r="J1507" s="9"/>
      <c r="K1507" s="17" t="str">
        <f aca="false">IF(H1507="","",IFERROR(SUMIFS(BD_PLAN!$I$3:$I$312,BD_PLAN!$B$3:$B$312,E1507,BD_PLAN!$C$3:$C$312,INDEX(BD_CICLO!$F$3:$F$54,MATCH(E1507&amp;"|"&amp;H1507,BD_CICLO!$G$3:$G$54,0))),""))</f>
        <v/>
      </c>
      <c r="L1507" s="9"/>
      <c r="M1507" s="9"/>
      <c r="N1507" s="1" t="str">
        <f aca="false">IF(C1507="","",C1507&amp;"|"&amp;COUNTIF(C$3:C1507,C1507))</f>
        <v/>
      </c>
      <c r="O1507" s="1" t="str">
        <f aca="false">IF(OR(C1507="",M1507=""),"",C1507&amp;"|"&amp;COUNTIFS(C$3:C1507,C1507,M$3:M1507,"&lt;&gt;"))</f>
        <v/>
      </c>
    </row>
    <row r="1508" customFormat="false" ht="15" hidden="false" customHeight="false" outlineLevel="0" collapsed="false">
      <c r="B1508" s="7"/>
      <c r="C1508" s="5"/>
      <c r="D1508" s="9" t="str">
        <f aca="false">IF(C1508="","",IFERROR(VLOOKUP(C1508,EQUIPOS!$B$3:$C$18,2,0),"NO EXISTE"))</f>
        <v/>
      </c>
      <c r="E1508" s="9" t="str">
        <f aca="false">IF(C1508="","",IFERROR(VLOOKUP(C1508,EQUIPOS!$B$3:$F$18,5,0),""))</f>
        <v/>
      </c>
      <c r="F1508" s="5" t="str">
        <f aca="false">IF(C1508="","",IFERROR(VLOOKUP(C1508,EQUIPOS!$B$3:$G$18,6,0),""))</f>
        <v/>
      </c>
      <c r="G1508" s="8"/>
      <c r="H1508" s="5"/>
      <c r="I1508" s="5"/>
      <c r="J1508" s="9"/>
      <c r="K1508" s="17" t="str">
        <f aca="false">IF(H1508="","",IFERROR(SUMIFS(BD_PLAN!$I$3:$I$312,BD_PLAN!$B$3:$B$312,E1508,BD_PLAN!$C$3:$C$312,INDEX(BD_CICLO!$F$3:$F$54,MATCH(E1508&amp;"|"&amp;H1508,BD_CICLO!$G$3:$G$54,0))),""))</f>
        <v/>
      </c>
      <c r="L1508" s="9"/>
      <c r="M1508" s="9"/>
      <c r="N1508" s="1" t="str">
        <f aca="false">IF(C1508="","",C1508&amp;"|"&amp;COUNTIF(C$3:C1508,C1508))</f>
        <v/>
      </c>
      <c r="O1508" s="1" t="str">
        <f aca="false">IF(OR(C1508="",M1508=""),"",C1508&amp;"|"&amp;COUNTIFS(C$3:C1508,C1508,M$3:M1508,"&lt;&gt;"))</f>
        <v/>
      </c>
    </row>
    <row r="1509" customFormat="false" ht="15" hidden="false" customHeight="false" outlineLevel="0" collapsed="false">
      <c r="B1509" s="7"/>
      <c r="C1509" s="5"/>
      <c r="D1509" s="9" t="str">
        <f aca="false">IF(C1509="","",IFERROR(VLOOKUP(C1509,EQUIPOS!$B$3:$C$18,2,0),"NO EXISTE"))</f>
        <v/>
      </c>
      <c r="E1509" s="9" t="str">
        <f aca="false">IF(C1509="","",IFERROR(VLOOKUP(C1509,EQUIPOS!$B$3:$F$18,5,0),""))</f>
        <v/>
      </c>
      <c r="F1509" s="5" t="str">
        <f aca="false">IF(C1509="","",IFERROR(VLOOKUP(C1509,EQUIPOS!$B$3:$G$18,6,0),""))</f>
        <v/>
      </c>
      <c r="G1509" s="8"/>
      <c r="H1509" s="5"/>
      <c r="I1509" s="5"/>
      <c r="J1509" s="9"/>
      <c r="K1509" s="17" t="str">
        <f aca="false">IF(H1509="","",IFERROR(SUMIFS(BD_PLAN!$I$3:$I$312,BD_PLAN!$B$3:$B$312,E1509,BD_PLAN!$C$3:$C$312,INDEX(BD_CICLO!$F$3:$F$54,MATCH(E1509&amp;"|"&amp;H1509,BD_CICLO!$G$3:$G$54,0))),""))</f>
        <v/>
      </c>
      <c r="L1509" s="9"/>
      <c r="M1509" s="9"/>
      <c r="N1509" s="1" t="str">
        <f aca="false">IF(C1509="","",C1509&amp;"|"&amp;COUNTIF(C$3:C1509,C1509))</f>
        <v/>
      </c>
      <c r="O1509" s="1" t="str">
        <f aca="false">IF(OR(C1509="",M1509=""),"",C1509&amp;"|"&amp;COUNTIFS(C$3:C1509,C1509,M$3:M1509,"&lt;&gt;"))</f>
        <v/>
      </c>
    </row>
    <row r="1510" customFormat="false" ht="15" hidden="false" customHeight="false" outlineLevel="0" collapsed="false">
      <c r="B1510" s="7"/>
      <c r="C1510" s="5"/>
      <c r="D1510" s="9" t="str">
        <f aca="false">IF(C1510="","",IFERROR(VLOOKUP(C1510,EQUIPOS!$B$3:$C$18,2,0),"NO EXISTE"))</f>
        <v/>
      </c>
      <c r="E1510" s="9" t="str">
        <f aca="false">IF(C1510="","",IFERROR(VLOOKUP(C1510,EQUIPOS!$B$3:$F$18,5,0),""))</f>
        <v/>
      </c>
      <c r="F1510" s="5" t="str">
        <f aca="false">IF(C1510="","",IFERROR(VLOOKUP(C1510,EQUIPOS!$B$3:$G$18,6,0),""))</f>
        <v/>
      </c>
      <c r="G1510" s="8"/>
      <c r="H1510" s="5"/>
      <c r="I1510" s="5"/>
      <c r="J1510" s="9"/>
      <c r="K1510" s="17" t="str">
        <f aca="false">IF(H1510="","",IFERROR(SUMIFS(BD_PLAN!$I$3:$I$312,BD_PLAN!$B$3:$B$312,E1510,BD_PLAN!$C$3:$C$312,INDEX(BD_CICLO!$F$3:$F$54,MATCH(E1510&amp;"|"&amp;H1510,BD_CICLO!$G$3:$G$54,0))),""))</f>
        <v/>
      </c>
      <c r="L1510" s="9"/>
      <c r="M1510" s="9"/>
      <c r="N1510" s="1" t="str">
        <f aca="false">IF(C1510="","",C1510&amp;"|"&amp;COUNTIF(C$3:C1510,C1510))</f>
        <v/>
      </c>
      <c r="O1510" s="1" t="str">
        <f aca="false">IF(OR(C1510="",M1510=""),"",C1510&amp;"|"&amp;COUNTIFS(C$3:C1510,C1510,M$3:M1510,"&lt;&gt;"))</f>
        <v/>
      </c>
    </row>
    <row r="1511" customFormat="false" ht="15" hidden="false" customHeight="false" outlineLevel="0" collapsed="false">
      <c r="B1511" s="7"/>
      <c r="C1511" s="5"/>
      <c r="D1511" s="9" t="str">
        <f aca="false">IF(C1511="","",IFERROR(VLOOKUP(C1511,EQUIPOS!$B$3:$C$18,2,0),"NO EXISTE"))</f>
        <v/>
      </c>
      <c r="E1511" s="9" t="str">
        <f aca="false">IF(C1511="","",IFERROR(VLOOKUP(C1511,EQUIPOS!$B$3:$F$18,5,0),""))</f>
        <v/>
      </c>
      <c r="F1511" s="5" t="str">
        <f aca="false">IF(C1511="","",IFERROR(VLOOKUP(C1511,EQUIPOS!$B$3:$G$18,6,0),""))</f>
        <v/>
      </c>
      <c r="G1511" s="8"/>
      <c r="H1511" s="5"/>
      <c r="I1511" s="5"/>
      <c r="J1511" s="9"/>
      <c r="K1511" s="17" t="str">
        <f aca="false">IF(H1511="","",IFERROR(SUMIFS(BD_PLAN!$I$3:$I$312,BD_PLAN!$B$3:$B$312,E1511,BD_PLAN!$C$3:$C$312,INDEX(BD_CICLO!$F$3:$F$54,MATCH(E1511&amp;"|"&amp;H1511,BD_CICLO!$G$3:$G$54,0))),""))</f>
        <v/>
      </c>
      <c r="L1511" s="9"/>
      <c r="M1511" s="9"/>
      <c r="N1511" s="1" t="str">
        <f aca="false">IF(C1511="","",C1511&amp;"|"&amp;COUNTIF(C$3:C1511,C1511))</f>
        <v/>
      </c>
      <c r="O1511" s="1" t="str">
        <f aca="false">IF(OR(C1511="",M1511=""),"",C1511&amp;"|"&amp;COUNTIFS(C$3:C1511,C1511,M$3:M1511,"&lt;&gt;"))</f>
        <v/>
      </c>
    </row>
    <row r="1512" customFormat="false" ht="15" hidden="false" customHeight="false" outlineLevel="0" collapsed="false">
      <c r="B1512" s="7"/>
      <c r="C1512" s="5"/>
      <c r="D1512" s="9" t="str">
        <f aca="false">IF(C1512="","",IFERROR(VLOOKUP(C1512,EQUIPOS!$B$3:$C$18,2,0),"NO EXISTE"))</f>
        <v/>
      </c>
      <c r="E1512" s="9" t="str">
        <f aca="false">IF(C1512="","",IFERROR(VLOOKUP(C1512,EQUIPOS!$B$3:$F$18,5,0),""))</f>
        <v/>
      </c>
      <c r="F1512" s="5" t="str">
        <f aca="false">IF(C1512="","",IFERROR(VLOOKUP(C1512,EQUIPOS!$B$3:$G$18,6,0),""))</f>
        <v/>
      </c>
      <c r="G1512" s="8"/>
      <c r="H1512" s="5"/>
      <c r="I1512" s="5"/>
      <c r="J1512" s="9"/>
      <c r="K1512" s="17" t="str">
        <f aca="false">IF(H1512="","",IFERROR(SUMIFS(BD_PLAN!$I$3:$I$312,BD_PLAN!$B$3:$B$312,E1512,BD_PLAN!$C$3:$C$312,INDEX(BD_CICLO!$F$3:$F$54,MATCH(E1512&amp;"|"&amp;H1512,BD_CICLO!$G$3:$G$54,0))),""))</f>
        <v/>
      </c>
      <c r="L1512" s="9"/>
      <c r="M1512" s="9"/>
      <c r="N1512" s="1" t="str">
        <f aca="false">IF(C1512="","",C1512&amp;"|"&amp;COUNTIF(C$3:C1512,C1512))</f>
        <v/>
      </c>
      <c r="O1512" s="1" t="str">
        <f aca="false">IF(OR(C1512="",M1512=""),"",C1512&amp;"|"&amp;COUNTIFS(C$3:C1512,C1512,M$3:M1512,"&lt;&gt;"))</f>
        <v/>
      </c>
    </row>
    <row r="1513" customFormat="false" ht="15" hidden="false" customHeight="false" outlineLevel="0" collapsed="false">
      <c r="B1513" s="7"/>
      <c r="C1513" s="5"/>
      <c r="D1513" s="9" t="str">
        <f aca="false">IF(C1513="","",IFERROR(VLOOKUP(C1513,EQUIPOS!$B$3:$C$18,2,0),"NO EXISTE"))</f>
        <v/>
      </c>
      <c r="E1513" s="9" t="str">
        <f aca="false">IF(C1513="","",IFERROR(VLOOKUP(C1513,EQUIPOS!$B$3:$F$18,5,0),""))</f>
        <v/>
      </c>
      <c r="F1513" s="5" t="str">
        <f aca="false">IF(C1513="","",IFERROR(VLOOKUP(C1513,EQUIPOS!$B$3:$G$18,6,0),""))</f>
        <v/>
      </c>
      <c r="G1513" s="8"/>
      <c r="H1513" s="5"/>
      <c r="I1513" s="5"/>
      <c r="J1513" s="9"/>
      <c r="K1513" s="17" t="str">
        <f aca="false">IF(H1513="","",IFERROR(SUMIFS(BD_PLAN!$I$3:$I$312,BD_PLAN!$B$3:$B$312,E1513,BD_PLAN!$C$3:$C$312,INDEX(BD_CICLO!$F$3:$F$54,MATCH(E1513&amp;"|"&amp;H1513,BD_CICLO!$G$3:$G$54,0))),""))</f>
        <v/>
      </c>
      <c r="L1513" s="9"/>
      <c r="M1513" s="9"/>
      <c r="N1513" s="1" t="str">
        <f aca="false">IF(C1513="","",C1513&amp;"|"&amp;COUNTIF(C$3:C1513,C1513))</f>
        <v/>
      </c>
      <c r="O1513" s="1" t="str">
        <f aca="false">IF(OR(C1513="",M1513=""),"",C1513&amp;"|"&amp;COUNTIFS(C$3:C1513,C1513,M$3:M1513,"&lt;&gt;"))</f>
        <v/>
      </c>
    </row>
    <row r="1514" customFormat="false" ht="15" hidden="false" customHeight="false" outlineLevel="0" collapsed="false">
      <c r="B1514" s="7"/>
      <c r="C1514" s="5"/>
      <c r="D1514" s="9" t="str">
        <f aca="false">IF(C1514="","",IFERROR(VLOOKUP(C1514,EQUIPOS!$B$3:$C$18,2,0),"NO EXISTE"))</f>
        <v/>
      </c>
      <c r="E1514" s="9" t="str">
        <f aca="false">IF(C1514="","",IFERROR(VLOOKUP(C1514,EQUIPOS!$B$3:$F$18,5,0),""))</f>
        <v/>
      </c>
      <c r="F1514" s="5" t="str">
        <f aca="false">IF(C1514="","",IFERROR(VLOOKUP(C1514,EQUIPOS!$B$3:$G$18,6,0),""))</f>
        <v/>
      </c>
      <c r="G1514" s="8"/>
      <c r="H1514" s="5"/>
      <c r="I1514" s="5"/>
      <c r="J1514" s="9"/>
      <c r="K1514" s="17" t="str">
        <f aca="false">IF(H1514="","",IFERROR(SUMIFS(BD_PLAN!$I$3:$I$312,BD_PLAN!$B$3:$B$312,E1514,BD_PLAN!$C$3:$C$312,INDEX(BD_CICLO!$F$3:$F$54,MATCH(E1514&amp;"|"&amp;H1514,BD_CICLO!$G$3:$G$54,0))),""))</f>
        <v/>
      </c>
      <c r="L1514" s="9"/>
      <c r="M1514" s="9"/>
      <c r="N1514" s="1" t="str">
        <f aca="false">IF(C1514="","",C1514&amp;"|"&amp;COUNTIF(C$3:C1514,C1514))</f>
        <v/>
      </c>
      <c r="O1514" s="1" t="str">
        <f aca="false">IF(OR(C1514="",M1514=""),"",C1514&amp;"|"&amp;COUNTIFS(C$3:C1514,C1514,M$3:M1514,"&lt;&gt;"))</f>
        <v/>
      </c>
    </row>
    <row r="1515" customFormat="false" ht="15" hidden="false" customHeight="false" outlineLevel="0" collapsed="false">
      <c r="B1515" s="7"/>
      <c r="C1515" s="5"/>
      <c r="D1515" s="9" t="str">
        <f aca="false">IF(C1515="","",IFERROR(VLOOKUP(C1515,EQUIPOS!$B$3:$C$18,2,0),"NO EXISTE"))</f>
        <v/>
      </c>
      <c r="E1515" s="9" t="str">
        <f aca="false">IF(C1515="","",IFERROR(VLOOKUP(C1515,EQUIPOS!$B$3:$F$18,5,0),""))</f>
        <v/>
      </c>
      <c r="F1515" s="5" t="str">
        <f aca="false">IF(C1515="","",IFERROR(VLOOKUP(C1515,EQUIPOS!$B$3:$G$18,6,0),""))</f>
        <v/>
      </c>
      <c r="G1515" s="8"/>
      <c r="H1515" s="5"/>
      <c r="I1515" s="5"/>
      <c r="J1515" s="9"/>
      <c r="K1515" s="17" t="str">
        <f aca="false">IF(H1515="","",IFERROR(SUMIFS(BD_PLAN!$I$3:$I$312,BD_PLAN!$B$3:$B$312,E1515,BD_PLAN!$C$3:$C$312,INDEX(BD_CICLO!$F$3:$F$54,MATCH(E1515&amp;"|"&amp;H1515,BD_CICLO!$G$3:$G$54,0))),""))</f>
        <v/>
      </c>
      <c r="L1515" s="9"/>
      <c r="M1515" s="9"/>
      <c r="N1515" s="1" t="str">
        <f aca="false">IF(C1515="","",C1515&amp;"|"&amp;COUNTIF(C$3:C1515,C1515))</f>
        <v/>
      </c>
      <c r="O1515" s="1" t="str">
        <f aca="false">IF(OR(C1515="",M1515=""),"",C1515&amp;"|"&amp;COUNTIFS(C$3:C1515,C1515,M$3:M1515,"&lt;&gt;"))</f>
        <v/>
      </c>
    </row>
    <row r="1516" customFormat="false" ht="15" hidden="false" customHeight="false" outlineLevel="0" collapsed="false">
      <c r="B1516" s="7"/>
      <c r="C1516" s="5"/>
      <c r="D1516" s="9" t="str">
        <f aca="false">IF(C1516="","",IFERROR(VLOOKUP(C1516,EQUIPOS!$B$3:$C$18,2,0),"NO EXISTE"))</f>
        <v/>
      </c>
      <c r="E1516" s="9" t="str">
        <f aca="false">IF(C1516="","",IFERROR(VLOOKUP(C1516,EQUIPOS!$B$3:$F$18,5,0),""))</f>
        <v/>
      </c>
      <c r="F1516" s="5" t="str">
        <f aca="false">IF(C1516="","",IFERROR(VLOOKUP(C1516,EQUIPOS!$B$3:$G$18,6,0),""))</f>
        <v/>
      </c>
      <c r="G1516" s="8"/>
      <c r="H1516" s="5"/>
      <c r="I1516" s="5"/>
      <c r="J1516" s="9"/>
      <c r="K1516" s="17" t="str">
        <f aca="false">IF(H1516="","",IFERROR(SUMIFS(BD_PLAN!$I$3:$I$312,BD_PLAN!$B$3:$B$312,E1516,BD_PLAN!$C$3:$C$312,INDEX(BD_CICLO!$F$3:$F$54,MATCH(E1516&amp;"|"&amp;H1516,BD_CICLO!$G$3:$G$54,0))),""))</f>
        <v/>
      </c>
      <c r="L1516" s="9"/>
      <c r="M1516" s="9"/>
      <c r="N1516" s="1" t="str">
        <f aca="false">IF(C1516="","",C1516&amp;"|"&amp;COUNTIF(C$3:C1516,C1516))</f>
        <v/>
      </c>
      <c r="O1516" s="1" t="str">
        <f aca="false">IF(OR(C1516="",M1516=""),"",C1516&amp;"|"&amp;COUNTIFS(C$3:C1516,C1516,M$3:M1516,"&lt;&gt;"))</f>
        <v/>
      </c>
    </row>
    <row r="1517" customFormat="false" ht="15" hidden="false" customHeight="false" outlineLevel="0" collapsed="false">
      <c r="B1517" s="7"/>
      <c r="C1517" s="5"/>
      <c r="D1517" s="9" t="str">
        <f aca="false">IF(C1517="","",IFERROR(VLOOKUP(C1517,EQUIPOS!$B$3:$C$18,2,0),"NO EXISTE"))</f>
        <v/>
      </c>
      <c r="E1517" s="9" t="str">
        <f aca="false">IF(C1517="","",IFERROR(VLOOKUP(C1517,EQUIPOS!$B$3:$F$18,5,0),""))</f>
        <v/>
      </c>
      <c r="F1517" s="5" t="str">
        <f aca="false">IF(C1517="","",IFERROR(VLOOKUP(C1517,EQUIPOS!$B$3:$G$18,6,0),""))</f>
        <v/>
      </c>
      <c r="G1517" s="8"/>
      <c r="H1517" s="5"/>
      <c r="I1517" s="5"/>
      <c r="J1517" s="9"/>
      <c r="K1517" s="17" t="str">
        <f aca="false">IF(H1517="","",IFERROR(SUMIFS(BD_PLAN!$I$3:$I$312,BD_PLAN!$B$3:$B$312,E1517,BD_PLAN!$C$3:$C$312,INDEX(BD_CICLO!$F$3:$F$54,MATCH(E1517&amp;"|"&amp;H1517,BD_CICLO!$G$3:$G$54,0))),""))</f>
        <v/>
      </c>
      <c r="L1517" s="9"/>
      <c r="M1517" s="9"/>
      <c r="N1517" s="1" t="str">
        <f aca="false">IF(C1517="","",C1517&amp;"|"&amp;COUNTIF(C$3:C1517,C1517))</f>
        <v/>
      </c>
      <c r="O1517" s="1" t="str">
        <f aca="false">IF(OR(C1517="",M1517=""),"",C1517&amp;"|"&amp;COUNTIFS(C$3:C1517,C1517,M$3:M1517,"&lt;&gt;"))</f>
        <v/>
      </c>
    </row>
    <row r="1518" customFormat="false" ht="15" hidden="false" customHeight="false" outlineLevel="0" collapsed="false">
      <c r="B1518" s="7"/>
      <c r="C1518" s="5"/>
      <c r="D1518" s="9" t="str">
        <f aca="false">IF(C1518="","",IFERROR(VLOOKUP(C1518,EQUIPOS!$B$3:$C$18,2,0),"NO EXISTE"))</f>
        <v/>
      </c>
      <c r="E1518" s="9" t="str">
        <f aca="false">IF(C1518="","",IFERROR(VLOOKUP(C1518,EQUIPOS!$B$3:$F$18,5,0),""))</f>
        <v/>
      </c>
      <c r="F1518" s="5" t="str">
        <f aca="false">IF(C1518="","",IFERROR(VLOOKUP(C1518,EQUIPOS!$B$3:$G$18,6,0),""))</f>
        <v/>
      </c>
      <c r="G1518" s="8"/>
      <c r="H1518" s="5"/>
      <c r="I1518" s="5"/>
      <c r="J1518" s="9"/>
      <c r="K1518" s="17" t="str">
        <f aca="false">IF(H1518="","",IFERROR(SUMIFS(BD_PLAN!$I$3:$I$312,BD_PLAN!$B$3:$B$312,E1518,BD_PLAN!$C$3:$C$312,INDEX(BD_CICLO!$F$3:$F$54,MATCH(E1518&amp;"|"&amp;H1518,BD_CICLO!$G$3:$G$54,0))),""))</f>
        <v/>
      </c>
      <c r="L1518" s="9"/>
      <c r="M1518" s="9"/>
      <c r="N1518" s="1" t="str">
        <f aca="false">IF(C1518="","",C1518&amp;"|"&amp;COUNTIF(C$3:C1518,C1518))</f>
        <v/>
      </c>
      <c r="O1518" s="1" t="str">
        <f aca="false">IF(OR(C1518="",M1518=""),"",C1518&amp;"|"&amp;COUNTIFS(C$3:C1518,C1518,M$3:M1518,"&lt;&gt;"))</f>
        <v/>
      </c>
    </row>
    <row r="1519" customFormat="false" ht="15" hidden="false" customHeight="false" outlineLevel="0" collapsed="false">
      <c r="B1519" s="7"/>
      <c r="C1519" s="5"/>
      <c r="D1519" s="9" t="str">
        <f aca="false">IF(C1519="","",IFERROR(VLOOKUP(C1519,EQUIPOS!$B$3:$C$18,2,0),"NO EXISTE"))</f>
        <v/>
      </c>
      <c r="E1519" s="9" t="str">
        <f aca="false">IF(C1519="","",IFERROR(VLOOKUP(C1519,EQUIPOS!$B$3:$F$18,5,0),""))</f>
        <v/>
      </c>
      <c r="F1519" s="5" t="str">
        <f aca="false">IF(C1519="","",IFERROR(VLOOKUP(C1519,EQUIPOS!$B$3:$G$18,6,0),""))</f>
        <v/>
      </c>
      <c r="G1519" s="8"/>
      <c r="H1519" s="5"/>
      <c r="I1519" s="5"/>
      <c r="J1519" s="9"/>
      <c r="K1519" s="17" t="str">
        <f aca="false">IF(H1519="","",IFERROR(SUMIFS(BD_PLAN!$I$3:$I$312,BD_PLAN!$B$3:$B$312,E1519,BD_PLAN!$C$3:$C$312,INDEX(BD_CICLO!$F$3:$F$54,MATCH(E1519&amp;"|"&amp;H1519,BD_CICLO!$G$3:$G$54,0))),""))</f>
        <v/>
      </c>
      <c r="L1519" s="9"/>
      <c r="M1519" s="9"/>
      <c r="N1519" s="1" t="str">
        <f aca="false">IF(C1519="","",C1519&amp;"|"&amp;COUNTIF(C$3:C1519,C1519))</f>
        <v/>
      </c>
      <c r="O1519" s="1" t="str">
        <f aca="false">IF(OR(C1519="",M1519=""),"",C1519&amp;"|"&amp;COUNTIFS(C$3:C1519,C1519,M$3:M1519,"&lt;&gt;"))</f>
        <v/>
      </c>
    </row>
    <row r="1520" customFormat="false" ht="15" hidden="false" customHeight="false" outlineLevel="0" collapsed="false">
      <c r="B1520" s="7"/>
      <c r="C1520" s="5"/>
      <c r="D1520" s="9" t="str">
        <f aca="false">IF(C1520="","",IFERROR(VLOOKUP(C1520,EQUIPOS!$B$3:$C$18,2,0),"NO EXISTE"))</f>
        <v/>
      </c>
      <c r="E1520" s="9" t="str">
        <f aca="false">IF(C1520="","",IFERROR(VLOOKUP(C1520,EQUIPOS!$B$3:$F$18,5,0),""))</f>
        <v/>
      </c>
      <c r="F1520" s="5" t="str">
        <f aca="false">IF(C1520="","",IFERROR(VLOOKUP(C1520,EQUIPOS!$B$3:$G$18,6,0),""))</f>
        <v/>
      </c>
      <c r="G1520" s="8"/>
      <c r="H1520" s="5"/>
      <c r="I1520" s="5"/>
      <c r="J1520" s="9"/>
      <c r="K1520" s="17" t="str">
        <f aca="false">IF(H1520="","",IFERROR(SUMIFS(BD_PLAN!$I$3:$I$312,BD_PLAN!$B$3:$B$312,E1520,BD_PLAN!$C$3:$C$312,INDEX(BD_CICLO!$F$3:$F$54,MATCH(E1520&amp;"|"&amp;H1520,BD_CICLO!$G$3:$G$54,0))),""))</f>
        <v/>
      </c>
      <c r="L1520" s="9"/>
      <c r="M1520" s="9"/>
      <c r="N1520" s="1" t="str">
        <f aca="false">IF(C1520="","",C1520&amp;"|"&amp;COUNTIF(C$3:C1520,C1520))</f>
        <v/>
      </c>
      <c r="O1520" s="1" t="str">
        <f aca="false">IF(OR(C1520="",M1520=""),"",C1520&amp;"|"&amp;COUNTIFS(C$3:C1520,C1520,M$3:M1520,"&lt;&gt;"))</f>
        <v/>
      </c>
    </row>
    <row r="1521" customFormat="false" ht="15" hidden="false" customHeight="false" outlineLevel="0" collapsed="false">
      <c r="B1521" s="7"/>
      <c r="C1521" s="5"/>
      <c r="D1521" s="9" t="str">
        <f aca="false">IF(C1521="","",IFERROR(VLOOKUP(C1521,EQUIPOS!$B$3:$C$18,2,0),"NO EXISTE"))</f>
        <v/>
      </c>
      <c r="E1521" s="9" t="str">
        <f aca="false">IF(C1521="","",IFERROR(VLOOKUP(C1521,EQUIPOS!$B$3:$F$18,5,0),""))</f>
        <v/>
      </c>
      <c r="F1521" s="5" t="str">
        <f aca="false">IF(C1521="","",IFERROR(VLOOKUP(C1521,EQUIPOS!$B$3:$G$18,6,0),""))</f>
        <v/>
      </c>
      <c r="G1521" s="8"/>
      <c r="H1521" s="5"/>
      <c r="I1521" s="5"/>
      <c r="J1521" s="9"/>
      <c r="K1521" s="17" t="str">
        <f aca="false">IF(H1521="","",IFERROR(SUMIFS(BD_PLAN!$I$3:$I$312,BD_PLAN!$B$3:$B$312,E1521,BD_PLAN!$C$3:$C$312,INDEX(BD_CICLO!$F$3:$F$54,MATCH(E1521&amp;"|"&amp;H1521,BD_CICLO!$G$3:$G$54,0))),""))</f>
        <v/>
      </c>
      <c r="L1521" s="9"/>
      <c r="M1521" s="9"/>
      <c r="N1521" s="1" t="str">
        <f aca="false">IF(C1521="","",C1521&amp;"|"&amp;COUNTIF(C$3:C1521,C1521))</f>
        <v/>
      </c>
      <c r="O1521" s="1" t="str">
        <f aca="false">IF(OR(C1521="",M1521=""),"",C1521&amp;"|"&amp;COUNTIFS(C$3:C1521,C1521,M$3:M1521,"&lt;&gt;"))</f>
        <v/>
      </c>
    </row>
    <row r="1522" customFormat="false" ht="15" hidden="false" customHeight="false" outlineLevel="0" collapsed="false">
      <c r="B1522" s="7"/>
      <c r="C1522" s="5"/>
      <c r="D1522" s="9" t="str">
        <f aca="false">IF(C1522="","",IFERROR(VLOOKUP(C1522,EQUIPOS!$B$3:$C$18,2,0),"NO EXISTE"))</f>
        <v/>
      </c>
      <c r="E1522" s="9" t="str">
        <f aca="false">IF(C1522="","",IFERROR(VLOOKUP(C1522,EQUIPOS!$B$3:$F$18,5,0),""))</f>
        <v/>
      </c>
      <c r="F1522" s="5" t="str">
        <f aca="false">IF(C1522="","",IFERROR(VLOOKUP(C1522,EQUIPOS!$B$3:$G$18,6,0),""))</f>
        <v/>
      </c>
      <c r="G1522" s="8"/>
      <c r="H1522" s="5"/>
      <c r="I1522" s="5"/>
      <c r="J1522" s="9"/>
      <c r="K1522" s="17" t="str">
        <f aca="false">IF(H1522="","",IFERROR(SUMIFS(BD_PLAN!$I$3:$I$312,BD_PLAN!$B$3:$B$312,E1522,BD_PLAN!$C$3:$C$312,INDEX(BD_CICLO!$F$3:$F$54,MATCH(E1522&amp;"|"&amp;H1522,BD_CICLO!$G$3:$G$54,0))),""))</f>
        <v/>
      </c>
      <c r="L1522" s="9"/>
      <c r="M1522" s="9"/>
      <c r="N1522" s="1" t="str">
        <f aca="false">IF(C1522="","",C1522&amp;"|"&amp;COUNTIF(C$3:C1522,C1522))</f>
        <v/>
      </c>
      <c r="O1522" s="1" t="str">
        <f aca="false">IF(OR(C1522="",M1522=""),"",C1522&amp;"|"&amp;COUNTIFS(C$3:C1522,C1522,M$3:M1522,"&lt;&gt;"))</f>
        <v/>
      </c>
    </row>
    <row r="1523" customFormat="false" ht="15" hidden="false" customHeight="false" outlineLevel="0" collapsed="false">
      <c r="B1523" s="7"/>
      <c r="C1523" s="5"/>
      <c r="D1523" s="9" t="str">
        <f aca="false">IF(C1523="","",IFERROR(VLOOKUP(C1523,EQUIPOS!$B$3:$C$18,2,0),"NO EXISTE"))</f>
        <v/>
      </c>
      <c r="E1523" s="9" t="str">
        <f aca="false">IF(C1523="","",IFERROR(VLOOKUP(C1523,EQUIPOS!$B$3:$F$18,5,0),""))</f>
        <v/>
      </c>
      <c r="F1523" s="5" t="str">
        <f aca="false">IF(C1523="","",IFERROR(VLOOKUP(C1523,EQUIPOS!$B$3:$G$18,6,0),""))</f>
        <v/>
      </c>
      <c r="G1523" s="8"/>
      <c r="H1523" s="5"/>
      <c r="I1523" s="5"/>
      <c r="J1523" s="9"/>
      <c r="K1523" s="17" t="str">
        <f aca="false">IF(H1523="","",IFERROR(SUMIFS(BD_PLAN!$I$3:$I$312,BD_PLAN!$B$3:$B$312,E1523,BD_PLAN!$C$3:$C$312,INDEX(BD_CICLO!$F$3:$F$54,MATCH(E1523&amp;"|"&amp;H1523,BD_CICLO!$G$3:$G$54,0))),""))</f>
        <v/>
      </c>
      <c r="L1523" s="9"/>
      <c r="M1523" s="9"/>
      <c r="N1523" s="1" t="str">
        <f aca="false">IF(C1523="","",C1523&amp;"|"&amp;COUNTIF(C$3:C1523,C1523))</f>
        <v/>
      </c>
      <c r="O1523" s="1" t="str">
        <f aca="false">IF(OR(C1523="",M1523=""),"",C1523&amp;"|"&amp;COUNTIFS(C$3:C1523,C1523,M$3:M1523,"&lt;&gt;"))</f>
        <v/>
      </c>
    </row>
    <row r="1524" customFormat="false" ht="15" hidden="false" customHeight="false" outlineLevel="0" collapsed="false">
      <c r="B1524" s="7"/>
      <c r="C1524" s="5"/>
      <c r="D1524" s="9" t="str">
        <f aca="false">IF(C1524="","",IFERROR(VLOOKUP(C1524,EQUIPOS!$B$3:$C$18,2,0),"NO EXISTE"))</f>
        <v/>
      </c>
      <c r="E1524" s="9" t="str">
        <f aca="false">IF(C1524="","",IFERROR(VLOOKUP(C1524,EQUIPOS!$B$3:$F$18,5,0),""))</f>
        <v/>
      </c>
      <c r="F1524" s="5" t="str">
        <f aca="false">IF(C1524="","",IFERROR(VLOOKUP(C1524,EQUIPOS!$B$3:$G$18,6,0),""))</f>
        <v/>
      </c>
      <c r="G1524" s="8"/>
      <c r="H1524" s="5"/>
      <c r="I1524" s="5"/>
      <c r="J1524" s="9"/>
      <c r="K1524" s="17" t="str">
        <f aca="false">IF(H1524="","",IFERROR(SUMIFS(BD_PLAN!$I$3:$I$312,BD_PLAN!$B$3:$B$312,E1524,BD_PLAN!$C$3:$C$312,INDEX(BD_CICLO!$F$3:$F$54,MATCH(E1524&amp;"|"&amp;H1524,BD_CICLO!$G$3:$G$54,0))),""))</f>
        <v/>
      </c>
      <c r="L1524" s="9"/>
      <c r="M1524" s="9"/>
      <c r="N1524" s="1" t="str">
        <f aca="false">IF(C1524="","",C1524&amp;"|"&amp;COUNTIF(C$3:C1524,C1524))</f>
        <v/>
      </c>
      <c r="O1524" s="1" t="str">
        <f aca="false">IF(OR(C1524="",M1524=""),"",C1524&amp;"|"&amp;COUNTIFS(C$3:C1524,C1524,M$3:M1524,"&lt;&gt;"))</f>
        <v/>
      </c>
    </row>
    <row r="1525" customFormat="false" ht="15" hidden="false" customHeight="false" outlineLevel="0" collapsed="false">
      <c r="B1525" s="7"/>
      <c r="C1525" s="5"/>
      <c r="D1525" s="9" t="str">
        <f aca="false">IF(C1525="","",IFERROR(VLOOKUP(C1525,EQUIPOS!$B$3:$C$18,2,0),"NO EXISTE"))</f>
        <v/>
      </c>
      <c r="E1525" s="9" t="str">
        <f aca="false">IF(C1525="","",IFERROR(VLOOKUP(C1525,EQUIPOS!$B$3:$F$18,5,0),""))</f>
        <v/>
      </c>
      <c r="F1525" s="5" t="str">
        <f aca="false">IF(C1525="","",IFERROR(VLOOKUP(C1525,EQUIPOS!$B$3:$G$18,6,0),""))</f>
        <v/>
      </c>
      <c r="G1525" s="8"/>
      <c r="H1525" s="5"/>
      <c r="I1525" s="5"/>
      <c r="J1525" s="9"/>
      <c r="K1525" s="17" t="str">
        <f aca="false">IF(H1525="","",IFERROR(SUMIFS(BD_PLAN!$I$3:$I$312,BD_PLAN!$B$3:$B$312,E1525,BD_PLAN!$C$3:$C$312,INDEX(BD_CICLO!$F$3:$F$54,MATCH(E1525&amp;"|"&amp;H1525,BD_CICLO!$G$3:$G$54,0))),""))</f>
        <v/>
      </c>
      <c r="L1525" s="9"/>
      <c r="M1525" s="9"/>
      <c r="N1525" s="1" t="str">
        <f aca="false">IF(C1525="","",C1525&amp;"|"&amp;COUNTIF(C$3:C1525,C1525))</f>
        <v/>
      </c>
      <c r="O1525" s="1" t="str">
        <f aca="false">IF(OR(C1525="",M1525=""),"",C1525&amp;"|"&amp;COUNTIFS(C$3:C1525,C1525,M$3:M1525,"&lt;&gt;"))</f>
        <v/>
      </c>
    </row>
    <row r="1526" customFormat="false" ht="15" hidden="false" customHeight="false" outlineLevel="0" collapsed="false">
      <c r="B1526" s="7"/>
      <c r="C1526" s="5"/>
      <c r="D1526" s="9" t="str">
        <f aca="false">IF(C1526="","",IFERROR(VLOOKUP(C1526,EQUIPOS!$B$3:$C$18,2,0),"NO EXISTE"))</f>
        <v/>
      </c>
      <c r="E1526" s="9" t="str">
        <f aca="false">IF(C1526="","",IFERROR(VLOOKUP(C1526,EQUIPOS!$B$3:$F$18,5,0),""))</f>
        <v/>
      </c>
      <c r="F1526" s="5" t="str">
        <f aca="false">IF(C1526="","",IFERROR(VLOOKUP(C1526,EQUIPOS!$B$3:$G$18,6,0),""))</f>
        <v/>
      </c>
      <c r="G1526" s="8"/>
      <c r="H1526" s="5"/>
      <c r="I1526" s="5"/>
      <c r="J1526" s="9"/>
      <c r="K1526" s="17" t="str">
        <f aca="false">IF(H1526="","",IFERROR(SUMIFS(BD_PLAN!$I$3:$I$312,BD_PLAN!$B$3:$B$312,E1526,BD_PLAN!$C$3:$C$312,INDEX(BD_CICLO!$F$3:$F$54,MATCH(E1526&amp;"|"&amp;H1526,BD_CICLO!$G$3:$G$54,0))),""))</f>
        <v/>
      </c>
      <c r="L1526" s="9"/>
      <c r="M1526" s="9"/>
      <c r="N1526" s="1" t="str">
        <f aca="false">IF(C1526="","",C1526&amp;"|"&amp;COUNTIF(C$3:C1526,C1526))</f>
        <v/>
      </c>
      <c r="O1526" s="1" t="str">
        <f aca="false">IF(OR(C1526="",M1526=""),"",C1526&amp;"|"&amp;COUNTIFS(C$3:C1526,C1526,M$3:M1526,"&lt;&gt;"))</f>
        <v/>
      </c>
    </row>
    <row r="1527" customFormat="false" ht="15" hidden="false" customHeight="false" outlineLevel="0" collapsed="false">
      <c r="B1527" s="7"/>
      <c r="C1527" s="5"/>
      <c r="D1527" s="9" t="str">
        <f aca="false">IF(C1527="","",IFERROR(VLOOKUP(C1527,EQUIPOS!$B$3:$C$18,2,0),"NO EXISTE"))</f>
        <v/>
      </c>
      <c r="E1527" s="9" t="str">
        <f aca="false">IF(C1527="","",IFERROR(VLOOKUP(C1527,EQUIPOS!$B$3:$F$18,5,0),""))</f>
        <v/>
      </c>
      <c r="F1527" s="5" t="str">
        <f aca="false">IF(C1527="","",IFERROR(VLOOKUP(C1527,EQUIPOS!$B$3:$G$18,6,0),""))</f>
        <v/>
      </c>
      <c r="G1527" s="8"/>
      <c r="H1527" s="5"/>
      <c r="I1527" s="5"/>
      <c r="J1527" s="9"/>
      <c r="K1527" s="17" t="str">
        <f aca="false">IF(H1527="","",IFERROR(SUMIFS(BD_PLAN!$I$3:$I$312,BD_PLAN!$B$3:$B$312,E1527,BD_PLAN!$C$3:$C$312,INDEX(BD_CICLO!$F$3:$F$54,MATCH(E1527&amp;"|"&amp;H1527,BD_CICLO!$G$3:$G$54,0))),""))</f>
        <v/>
      </c>
      <c r="L1527" s="9"/>
      <c r="M1527" s="9"/>
      <c r="N1527" s="1" t="str">
        <f aca="false">IF(C1527="","",C1527&amp;"|"&amp;COUNTIF(C$3:C1527,C1527))</f>
        <v/>
      </c>
      <c r="O1527" s="1" t="str">
        <f aca="false">IF(OR(C1527="",M1527=""),"",C1527&amp;"|"&amp;COUNTIFS(C$3:C1527,C1527,M$3:M1527,"&lt;&gt;"))</f>
        <v/>
      </c>
    </row>
    <row r="1528" customFormat="false" ht="15" hidden="false" customHeight="false" outlineLevel="0" collapsed="false">
      <c r="B1528" s="7"/>
      <c r="C1528" s="5"/>
      <c r="D1528" s="9" t="str">
        <f aca="false">IF(C1528="","",IFERROR(VLOOKUP(C1528,EQUIPOS!$B$3:$C$18,2,0),"NO EXISTE"))</f>
        <v/>
      </c>
      <c r="E1528" s="9" t="str">
        <f aca="false">IF(C1528="","",IFERROR(VLOOKUP(C1528,EQUIPOS!$B$3:$F$18,5,0),""))</f>
        <v/>
      </c>
      <c r="F1528" s="5" t="str">
        <f aca="false">IF(C1528="","",IFERROR(VLOOKUP(C1528,EQUIPOS!$B$3:$G$18,6,0),""))</f>
        <v/>
      </c>
      <c r="G1528" s="8"/>
      <c r="H1528" s="5"/>
      <c r="I1528" s="5"/>
      <c r="J1528" s="9"/>
      <c r="K1528" s="17" t="str">
        <f aca="false">IF(H1528="","",IFERROR(SUMIFS(BD_PLAN!$I$3:$I$312,BD_PLAN!$B$3:$B$312,E1528,BD_PLAN!$C$3:$C$312,INDEX(BD_CICLO!$F$3:$F$54,MATCH(E1528&amp;"|"&amp;H1528,BD_CICLO!$G$3:$G$54,0))),""))</f>
        <v/>
      </c>
      <c r="L1528" s="9"/>
      <c r="M1528" s="9"/>
      <c r="N1528" s="1" t="str">
        <f aca="false">IF(C1528="","",C1528&amp;"|"&amp;COUNTIF(C$3:C1528,C1528))</f>
        <v/>
      </c>
      <c r="O1528" s="1" t="str">
        <f aca="false">IF(OR(C1528="",M1528=""),"",C1528&amp;"|"&amp;COUNTIFS(C$3:C1528,C1528,M$3:M1528,"&lt;&gt;"))</f>
        <v/>
      </c>
    </row>
    <row r="1529" customFormat="false" ht="15" hidden="false" customHeight="false" outlineLevel="0" collapsed="false">
      <c r="B1529" s="7"/>
      <c r="C1529" s="5"/>
      <c r="D1529" s="9" t="str">
        <f aca="false">IF(C1529="","",IFERROR(VLOOKUP(C1529,EQUIPOS!$B$3:$C$18,2,0),"NO EXISTE"))</f>
        <v/>
      </c>
      <c r="E1529" s="9" t="str">
        <f aca="false">IF(C1529="","",IFERROR(VLOOKUP(C1529,EQUIPOS!$B$3:$F$18,5,0),""))</f>
        <v/>
      </c>
      <c r="F1529" s="5" t="str">
        <f aca="false">IF(C1529="","",IFERROR(VLOOKUP(C1529,EQUIPOS!$B$3:$G$18,6,0),""))</f>
        <v/>
      </c>
      <c r="G1529" s="8"/>
      <c r="H1529" s="5"/>
      <c r="I1529" s="5"/>
      <c r="J1529" s="9"/>
      <c r="K1529" s="17" t="str">
        <f aca="false">IF(H1529="","",IFERROR(SUMIFS(BD_PLAN!$I$3:$I$312,BD_PLAN!$B$3:$B$312,E1529,BD_PLAN!$C$3:$C$312,INDEX(BD_CICLO!$F$3:$F$54,MATCH(E1529&amp;"|"&amp;H1529,BD_CICLO!$G$3:$G$54,0))),""))</f>
        <v/>
      </c>
      <c r="L1529" s="9"/>
      <c r="M1529" s="9"/>
      <c r="N1529" s="1" t="str">
        <f aca="false">IF(C1529="","",C1529&amp;"|"&amp;COUNTIF(C$3:C1529,C1529))</f>
        <v/>
      </c>
      <c r="O1529" s="1" t="str">
        <f aca="false">IF(OR(C1529="",M1529=""),"",C1529&amp;"|"&amp;COUNTIFS(C$3:C1529,C1529,M$3:M1529,"&lt;&gt;"))</f>
        <v/>
      </c>
    </row>
    <row r="1530" customFormat="false" ht="15" hidden="false" customHeight="false" outlineLevel="0" collapsed="false">
      <c r="B1530" s="7"/>
      <c r="C1530" s="5"/>
      <c r="D1530" s="9" t="str">
        <f aca="false">IF(C1530="","",IFERROR(VLOOKUP(C1530,EQUIPOS!$B$3:$C$18,2,0),"NO EXISTE"))</f>
        <v/>
      </c>
      <c r="E1530" s="9" t="str">
        <f aca="false">IF(C1530="","",IFERROR(VLOOKUP(C1530,EQUIPOS!$B$3:$F$18,5,0),""))</f>
        <v/>
      </c>
      <c r="F1530" s="5" t="str">
        <f aca="false">IF(C1530="","",IFERROR(VLOOKUP(C1530,EQUIPOS!$B$3:$G$18,6,0),""))</f>
        <v/>
      </c>
      <c r="G1530" s="8"/>
      <c r="H1530" s="5"/>
      <c r="I1530" s="5"/>
      <c r="J1530" s="9"/>
      <c r="K1530" s="17" t="str">
        <f aca="false">IF(H1530="","",IFERROR(SUMIFS(BD_PLAN!$I$3:$I$312,BD_PLAN!$B$3:$B$312,E1530,BD_PLAN!$C$3:$C$312,INDEX(BD_CICLO!$F$3:$F$54,MATCH(E1530&amp;"|"&amp;H1530,BD_CICLO!$G$3:$G$54,0))),""))</f>
        <v/>
      </c>
      <c r="L1530" s="9"/>
      <c r="M1530" s="9"/>
      <c r="N1530" s="1" t="str">
        <f aca="false">IF(C1530="","",C1530&amp;"|"&amp;COUNTIF(C$3:C1530,C1530))</f>
        <v/>
      </c>
      <c r="O1530" s="1" t="str">
        <f aca="false">IF(OR(C1530="",M1530=""),"",C1530&amp;"|"&amp;COUNTIFS(C$3:C1530,C1530,M$3:M1530,"&lt;&gt;"))</f>
        <v/>
      </c>
    </row>
    <row r="1531" customFormat="false" ht="15" hidden="false" customHeight="false" outlineLevel="0" collapsed="false">
      <c r="B1531" s="7"/>
      <c r="C1531" s="5"/>
      <c r="D1531" s="9" t="str">
        <f aca="false">IF(C1531="","",IFERROR(VLOOKUP(C1531,EQUIPOS!$B$3:$C$18,2,0),"NO EXISTE"))</f>
        <v/>
      </c>
      <c r="E1531" s="9" t="str">
        <f aca="false">IF(C1531="","",IFERROR(VLOOKUP(C1531,EQUIPOS!$B$3:$F$18,5,0),""))</f>
        <v/>
      </c>
      <c r="F1531" s="5" t="str">
        <f aca="false">IF(C1531="","",IFERROR(VLOOKUP(C1531,EQUIPOS!$B$3:$G$18,6,0),""))</f>
        <v/>
      </c>
      <c r="G1531" s="8"/>
      <c r="H1531" s="5"/>
      <c r="I1531" s="5"/>
      <c r="J1531" s="9"/>
      <c r="K1531" s="17" t="str">
        <f aca="false">IF(H1531="","",IFERROR(SUMIFS(BD_PLAN!$I$3:$I$312,BD_PLAN!$B$3:$B$312,E1531,BD_PLAN!$C$3:$C$312,INDEX(BD_CICLO!$F$3:$F$54,MATCH(E1531&amp;"|"&amp;H1531,BD_CICLO!$G$3:$G$54,0))),""))</f>
        <v/>
      </c>
      <c r="L1531" s="9"/>
      <c r="M1531" s="9"/>
      <c r="N1531" s="1" t="str">
        <f aca="false">IF(C1531="","",C1531&amp;"|"&amp;COUNTIF(C$3:C1531,C1531))</f>
        <v/>
      </c>
      <c r="O1531" s="1" t="str">
        <f aca="false">IF(OR(C1531="",M1531=""),"",C1531&amp;"|"&amp;COUNTIFS(C$3:C1531,C1531,M$3:M1531,"&lt;&gt;"))</f>
        <v/>
      </c>
    </row>
    <row r="1532" customFormat="false" ht="15" hidden="false" customHeight="false" outlineLevel="0" collapsed="false">
      <c r="B1532" s="7"/>
      <c r="C1532" s="5"/>
      <c r="D1532" s="9" t="str">
        <f aca="false">IF(C1532="","",IFERROR(VLOOKUP(C1532,EQUIPOS!$B$3:$C$18,2,0),"NO EXISTE"))</f>
        <v/>
      </c>
      <c r="E1532" s="9" t="str">
        <f aca="false">IF(C1532="","",IFERROR(VLOOKUP(C1532,EQUIPOS!$B$3:$F$18,5,0),""))</f>
        <v/>
      </c>
      <c r="F1532" s="5" t="str">
        <f aca="false">IF(C1532="","",IFERROR(VLOOKUP(C1532,EQUIPOS!$B$3:$G$18,6,0),""))</f>
        <v/>
      </c>
      <c r="G1532" s="8"/>
      <c r="H1532" s="5"/>
      <c r="I1532" s="5"/>
      <c r="J1532" s="9"/>
      <c r="K1532" s="17" t="str">
        <f aca="false">IF(H1532="","",IFERROR(SUMIFS(BD_PLAN!$I$3:$I$312,BD_PLAN!$B$3:$B$312,E1532,BD_PLAN!$C$3:$C$312,INDEX(BD_CICLO!$F$3:$F$54,MATCH(E1532&amp;"|"&amp;H1532,BD_CICLO!$G$3:$G$54,0))),""))</f>
        <v/>
      </c>
      <c r="L1532" s="9"/>
      <c r="M1532" s="9"/>
      <c r="N1532" s="1" t="str">
        <f aca="false">IF(C1532="","",C1532&amp;"|"&amp;COUNTIF(C$3:C1532,C1532))</f>
        <v/>
      </c>
      <c r="O1532" s="1" t="str">
        <f aca="false">IF(OR(C1532="",M1532=""),"",C1532&amp;"|"&amp;COUNTIFS(C$3:C1532,C1532,M$3:M1532,"&lt;&gt;"))</f>
        <v/>
      </c>
    </row>
    <row r="1533" customFormat="false" ht="15" hidden="false" customHeight="false" outlineLevel="0" collapsed="false">
      <c r="B1533" s="7"/>
      <c r="C1533" s="5"/>
      <c r="D1533" s="9" t="str">
        <f aca="false">IF(C1533="","",IFERROR(VLOOKUP(C1533,EQUIPOS!$B$3:$C$18,2,0),"NO EXISTE"))</f>
        <v/>
      </c>
      <c r="E1533" s="9" t="str">
        <f aca="false">IF(C1533="","",IFERROR(VLOOKUP(C1533,EQUIPOS!$B$3:$F$18,5,0),""))</f>
        <v/>
      </c>
      <c r="F1533" s="5" t="str">
        <f aca="false">IF(C1533="","",IFERROR(VLOOKUP(C1533,EQUIPOS!$B$3:$G$18,6,0),""))</f>
        <v/>
      </c>
      <c r="G1533" s="8"/>
      <c r="H1533" s="5"/>
      <c r="I1533" s="5"/>
      <c r="J1533" s="9"/>
      <c r="K1533" s="17" t="str">
        <f aca="false">IF(H1533="","",IFERROR(SUMIFS(BD_PLAN!$I$3:$I$312,BD_PLAN!$B$3:$B$312,E1533,BD_PLAN!$C$3:$C$312,INDEX(BD_CICLO!$F$3:$F$54,MATCH(E1533&amp;"|"&amp;H1533,BD_CICLO!$G$3:$G$54,0))),""))</f>
        <v/>
      </c>
      <c r="L1533" s="9"/>
      <c r="M1533" s="9"/>
      <c r="N1533" s="1" t="str">
        <f aca="false">IF(C1533="","",C1533&amp;"|"&amp;COUNTIF(C$3:C1533,C1533))</f>
        <v/>
      </c>
      <c r="O1533" s="1" t="str">
        <f aca="false">IF(OR(C1533="",M1533=""),"",C1533&amp;"|"&amp;COUNTIFS(C$3:C1533,C1533,M$3:M1533,"&lt;&gt;"))</f>
        <v/>
      </c>
    </row>
    <row r="1534" customFormat="false" ht="15" hidden="false" customHeight="false" outlineLevel="0" collapsed="false">
      <c r="B1534" s="7"/>
      <c r="C1534" s="5"/>
      <c r="D1534" s="9" t="str">
        <f aca="false">IF(C1534="","",IFERROR(VLOOKUP(C1534,EQUIPOS!$B$3:$C$18,2,0),"NO EXISTE"))</f>
        <v/>
      </c>
      <c r="E1534" s="9" t="str">
        <f aca="false">IF(C1534="","",IFERROR(VLOOKUP(C1534,EQUIPOS!$B$3:$F$18,5,0),""))</f>
        <v/>
      </c>
      <c r="F1534" s="5" t="str">
        <f aca="false">IF(C1534="","",IFERROR(VLOOKUP(C1534,EQUIPOS!$B$3:$G$18,6,0),""))</f>
        <v/>
      </c>
      <c r="G1534" s="8"/>
      <c r="H1534" s="5"/>
      <c r="I1534" s="5"/>
      <c r="J1534" s="9"/>
      <c r="K1534" s="17" t="str">
        <f aca="false">IF(H1534="","",IFERROR(SUMIFS(BD_PLAN!$I$3:$I$312,BD_PLAN!$B$3:$B$312,E1534,BD_PLAN!$C$3:$C$312,INDEX(BD_CICLO!$F$3:$F$54,MATCH(E1534&amp;"|"&amp;H1534,BD_CICLO!$G$3:$G$54,0))),""))</f>
        <v/>
      </c>
      <c r="L1534" s="9"/>
      <c r="M1534" s="9"/>
      <c r="N1534" s="1" t="str">
        <f aca="false">IF(C1534="","",C1534&amp;"|"&amp;COUNTIF(C$3:C1534,C1534))</f>
        <v/>
      </c>
      <c r="O1534" s="1" t="str">
        <f aca="false">IF(OR(C1534="",M1534=""),"",C1534&amp;"|"&amp;COUNTIFS(C$3:C1534,C1534,M$3:M1534,"&lt;&gt;"))</f>
        <v/>
      </c>
    </row>
    <row r="1535" customFormat="false" ht="15" hidden="false" customHeight="false" outlineLevel="0" collapsed="false">
      <c r="B1535" s="7"/>
      <c r="C1535" s="5"/>
      <c r="D1535" s="9" t="str">
        <f aca="false">IF(C1535="","",IFERROR(VLOOKUP(C1535,EQUIPOS!$B$3:$C$18,2,0),"NO EXISTE"))</f>
        <v/>
      </c>
      <c r="E1535" s="9" t="str">
        <f aca="false">IF(C1535="","",IFERROR(VLOOKUP(C1535,EQUIPOS!$B$3:$F$18,5,0),""))</f>
        <v/>
      </c>
      <c r="F1535" s="5" t="str">
        <f aca="false">IF(C1535="","",IFERROR(VLOOKUP(C1535,EQUIPOS!$B$3:$G$18,6,0),""))</f>
        <v/>
      </c>
      <c r="G1535" s="8"/>
      <c r="H1535" s="5"/>
      <c r="I1535" s="5"/>
      <c r="J1535" s="9"/>
      <c r="K1535" s="17" t="str">
        <f aca="false">IF(H1535="","",IFERROR(SUMIFS(BD_PLAN!$I$3:$I$312,BD_PLAN!$B$3:$B$312,E1535,BD_PLAN!$C$3:$C$312,INDEX(BD_CICLO!$F$3:$F$54,MATCH(E1535&amp;"|"&amp;H1535,BD_CICLO!$G$3:$G$54,0))),""))</f>
        <v/>
      </c>
      <c r="L1535" s="9"/>
      <c r="M1535" s="9"/>
      <c r="N1535" s="1" t="str">
        <f aca="false">IF(C1535="","",C1535&amp;"|"&amp;COUNTIF(C$3:C1535,C1535))</f>
        <v/>
      </c>
      <c r="O1535" s="1" t="str">
        <f aca="false">IF(OR(C1535="",M1535=""),"",C1535&amp;"|"&amp;COUNTIFS(C$3:C1535,C1535,M$3:M1535,"&lt;&gt;"))</f>
        <v/>
      </c>
    </row>
    <row r="1536" customFormat="false" ht="15" hidden="false" customHeight="false" outlineLevel="0" collapsed="false">
      <c r="B1536" s="7"/>
      <c r="C1536" s="5"/>
      <c r="D1536" s="9" t="str">
        <f aca="false">IF(C1536="","",IFERROR(VLOOKUP(C1536,EQUIPOS!$B$3:$C$18,2,0),"NO EXISTE"))</f>
        <v/>
      </c>
      <c r="E1536" s="9" t="str">
        <f aca="false">IF(C1536="","",IFERROR(VLOOKUP(C1536,EQUIPOS!$B$3:$F$18,5,0),""))</f>
        <v/>
      </c>
      <c r="F1536" s="5" t="str">
        <f aca="false">IF(C1536="","",IFERROR(VLOOKUP(C1536,EQUIPOS!$B$3:$G$18,6,0),""))</f>
        <v/>
      </c>
      <c r="G1536" s="8"/>
      <c r="H1536" s="5"/>
      <c r="I1536" s="5"/>
      <c r="J1536" s="9"/>
      <c r="K1536" s="17" t="str">
        <f aca="false">IF(H1536="","",IFERROR(SUMIFS(BD_PLAN!$I$3:$I$312,BD_PLAN!$B$3:$B$312,E1536,BD_PLAN!$C$3:$C$312,INDEX(BD_CICLO!$F$3:$F$54,MATCH(E1536&amp;"|"&amp;H1536,BD_CICLO!$G$3:$G$54,0))),""))</f>
        <v/>
      </c>
      <c r="L1536" s="9"/>
      <c r="M1536" s="9"/>
      <c r="N1536" s="1" t="str">
        <f aca="false">IF(C1536="","",C1536&amp;"|"&amp;COUNTIF(C$3:C1536,C1536))</f>
        <v/>
      </c>
      <c r="O1536" s="1" t="str">
        <f aca="false">IF(OR(C1536="",M1536=""),"",C1536&amp;"|"&amp;COUNTIFS(C$3:C1536,C1536,M$3:M1536,"&lt;&gt;"))</f>
        <v/>
      </c>
    </row>
    <row r="1537" customFormat="false" ht="15" hidden="false" customHeight="false" outlineLevel="0" collapsed="false">
      <c r="B1537" s="7"/>
      <c r="C1537" s="5"/>
      <c r="D1537" s="9" t="str">
        <f aca="false">IF(C1537="","",IFERROR(VLOOKUP(C1537,EQUIPOS!$B$3:$C$18,2,0),"NO EXISTE"))</f>
        <v/>
      </c>
      <c r="E1537" s="9" t="str">
        <f aca="false">IF(C1537="","",IFERROR(VLOOKUP(C1537,EQUIPOS!$B$3:$F$18,5,0),""))</f>
        <v/>
      </c>
      <c r="F1537" s="5" t="str">
        <f aca="false">IF(C1537="","",IFERROR(VLOOKUP(C1537,EQUIPOS!$B$3:$G$18,6,0),""))</f>
        <v/>
      </c>
      <c r="G1537" s="8"/>
      <c r="H1537" s="5"/>
      <c r="I1537" s="5"/>
      <c r="J1537" s="9"/>
      <c r="K1537" s="17" t="str">
        <f aca="false">IF(H1537="","",IFERROR(SUMIFS(BD_PLAN!$I$3:$I$312,BD_PLAN!$B$3:$B$312,E1537,BD_PLAN!$C$3:$C$312,INDEX(BD_CICLO!$F$3:$F$54,MATCH(E1537&amp;"|"&amp;H1537,BD_CICLO!$G$3:$G$54,0))),""))</f>
        <v/>
      </c>
      <c r="L1537" s="9"/>
      <c r="M1537" s="9"/>
      <c r="N1537" s="1" t="str">
        <f aca="false">IF(C1537="","",C1537&amp;"|"&amp;COUNTIF(C$3:C1537,C1537))</f>
        <v/>
      </c>
      <c r="O1537" s="1" t="str">
        <f aca="false">IF(OR(C1537="",M1537=""),"",C1537&amp;"|"&amp;COUNTIFS(C$3:C1537,C1537,M$3:M1537,"&lt;&gt;"))</f>
        <v/>
      </c>
    </row>
    <row r="1538" customFormat="false" ht="15" hidden="false" customHeight="false" outlineLevel="0" collapsed="false">
      <c r="B1538" s="7"/>
      <c r="C1538" s="5"/>
      <c r="D1538" s="9" t="str">
        <f aca="false">IF(C1538="","",IFERROR(VLOOKUP(C1538,EQUIPOS!$B$3:$C$18,2,0),"NO EXISTE"))</f>
        <v/>
      </c>
      <c r="E1538" s="9" t="str">
        <f aca="false">IF(C1538="","",IFERROR(VLOOKUP(C1538,EQUIPOS!$B$3:$F$18,5,0),""))</f>
        <v/>
      </c>
      <c r="F1538" s="5" t="str">
        <f aca="false">IF(C1538="","",IFERROR(VLOOKUP(C1538,EQUIPOS!$B$3:$G$18,6,0),""))</f>
        <v/>
      </c>
      <c r="G1538" s="8"/>
      <c r="H1538" s="5"/>
      <c r="I1538" s="5"/>
      <c r="J1538" s="9"/>
      <c r="K1538" s="17" t="str">
        <f aca="false">IF(H1538="","",IFERROR(SUMIFS(BD_PLAN!$I$3:$I$312,BD_PLAN!$B$3:$B$312,E1538,BD_PLAN!$C$3:$C$312,INDEX(BD_CICLO!$F$3:$F$54,MATCH(E1538&amp;"|"&amp;H1538,BD_CICLO!$G$3:$G$54,0))),""))</f>
        <v/>
      </c>
      <c r="L1538" s="9"/>
      <c r="M1538" s="9"/>
      <c r="N1538" s="1" t="str">
        <f aca="false">IF(C1538="","",C1538&amp;"|"&amp;COUNTIF(C$3:C1538,C1538))</f>
        <v/>
      </c>
      <c r="O1538" s="1" t="str">
        <f aca="false">IF(OR(C1538="",M1538=""),"",C1538&amp;"|"&amp;COUNTIFS(C$3:C1538,C1538,M$3:M1538,"&lt;&gt;"))</f>
        <v/>
      </c>
    </row>
    <row r="1539" customFormat="false" ht="15" hidden="false" customHeight="false" outlineLevel="0" collapsed="false">
      <c r="B1539" s="7"/>
      <c r="C1539" s="5"/>
      <c r="D1539" s="9" t="str">
        <f aca="false">IF(C1539="","",IFERROR(VLOOKUP(C1539,EQUIPOS!$B$3:$C$18,2,0),"NO EXISTE"))</f>
        <v/>
      </c>
      <c r="E1539" s="9" t="str">
        <f aca="false">IF(C1539="","",IFERROR(VLOOKUP(C1539,EQUIPOS!$B$3:$F$18,5,0),""))</f>
        <v/>
      </c>
      <c r="F1539" s="5" t="str">
        <f aca="false">IF(C1539="","",IFERROR(VLOOKUP(C1539,EQUIPOS!$B$3:$G$18,6,0),""))</f>
        <v/>
      </c>
      <c r="G1539" s="8"/>
      <c r="H1539" s="5"/>
      <c r="I1539" s="5"/>
      <c r="J1539" s="9"/>
      <c r="K1539" s="17" t="str">
        <f aca="false">IF(H1539="","",IFERROR(SUMIFS(BD_PLAN!$I$3:$I$312,BD_PLAN!$B$3:$B$312,E1539,BD_PLAN!$C$3:$C$312,INDEX(BD_CICLO!$F$3:$F$54,MATCH(E1539&amp;"|"&amp;H1539,BD_CICLO!$G$3:$G$54,0))),""))</f>
        <v/>
      </c>
      <c r="L1539" s="9"/>
      <c r="M1539" s="9"/>
      <c r="N1539" s="1" t="str">
        <f aca="false">IF(C1539="","",C1539&amp;"|"&amp;COUNTIF(C$3:C1539,C1539))</f>
        <v/>
      </c>
      <c r="O1539" s="1" t="str">
        <f aca="false">IF(OR(C1539="",M1539=""),"",C1539&amp;"|"&amp;COUNTIFS(C$3:C1539,C1539,M$3:M1539,"&lt;&gt;"))</f>
        <v/>
      </c>
    </row>
    <row r="1540" customFormat="false" ht="15" hidden="false" customHeight="false" outlineLevel="0" collapsed="false">
      <c r="B1540" s="7"/>
      <c r="C1540" s="5"/>
      <c r="D1540" s="9" t="str">
        <f aca="false">IF(C1540="","",IFERROR(VLOOKUP(C1540,EQUIPOS!$B$3:$C$18,2,0),"NO EXISTE"))</f>
        <v/>
      </c>
      <c r="E1540" s="9" t="str">
        <f aca="false">IF(C1540="","",IFERROR(VLOOKUP(C1540,EQUIPOS!$B$3:$F$18,5,0),""))</f>
        <v/>
      </c>
      <c r="F1540" s="5" t="str">
        <f aca="false">IF(C1540="","",IFERROR(VLOOKUP(C1540,EQUIPOS!$B$3:$G$18,6,0),""))</f>
        <v/>
      </c>
      <c r="G1540" s="8"/>
      <c r="H1540" s="5"/>
      <c r="I1540" s="5"/>
      <c r="J1540" s="9"/>
      <c r="K1540" s="17" t="str">
        <f aca="false">IF(H1540="","",IFERROR(SUMIFS(BD_PLAN!$I$3:$I$312,BD_PLAN!$B$3:$B$312,E1540,BD_PLAN!$C$3:$C$312,INDEX(BD_CICLO!$F$3:$F$54,MATCH(E1540&amp;"|"&amp;H1540,BD_CICLO!$G$3:$G$54,0))),""))</f>
        <v/>
      </c>
      <c r="L1540" s="9"/>
      <c r="M1540" s="9"/>
      <c r="N1540" s="1" t="str">
        <f aca="false">IF(C1540="","",C1540&amp;"|"&amp;COUNTIF(C$3:C1540,C1540))</f>
        <v/>
      </c>
      <c r="O1540" s="1" t="str">
        <f aca="false">IF(OR(C1540="",M1540=""),"",C1540&amp;"|"&amp;COUNTIFS(C$3:C1540,C1540,M$3:M1540,"&lt;&gt;"))</f>
        <v/>
      </c>
    </row>
    <row r="1541" customFormat="false" ht="15" hidden="false" customHeight="false" outlineLevel="0" collapsed="false">
      <c r="B1541" s="7"/>
      <c r="C1541" s="5"/>
      <c r="D1541" s="9" t="str">
        <f aca="false">IF(C1541="","",IFERROR(VLOOKUP(C1541,EQUIPOS!$B$3:$C$18,2,0),"NO EXISTE"))</f>
        <v/>
      </c>
      <c r="E1541" s="9" t="str">
        <f aca="false">IF(C1541="","",IFERROR(VLOOKUP(C1541,EQUIPOS!$B$3:$F$18,5,0),""))</f>
        <v/>
      </c>
      <c r="F1541" s="5" t="str">
        <f aca="false">IF(C1541="","",IFERROR(VLOOKUP(C1541,EQUIPOS!$B$3:$G$18,6,0),""))</f>
        <v/>
      </c>
      <c r="G1541" s="8"/>
      <c r="H1541" s="5"/>
      <c r="I1541" s="5"/>
      <c r="J1541" s="9"/>
      <c r="K1541" s="17" t="str">
        <f aca="false">IF(H1541="","",IFERROR(SUMIFS(BD_PLAN!$I$3:$I$312,BD_PLAN!$B$3:$B$312,E1541,BD_PLAN!$C$3:$C$312,INDEX(BD_CICLO!$F$3:$F$54,MATCH(E1541&amp;"|"&amp;H1541,BD_CICLO!$G$3:$G$54,0))),""))</f>
        <v/>
      </c>
      <c r="L1541" s="9"/>
      <c r="M1541" s="9"/>
      <c r="N1541" s="1" t="str">
        <f aca="false">IF(C1541="","",C1541&amp;"|"&amp;COUNTIF(C$3:C1541,C1541))</f>
        <v/>
      </c>
      <c r="O1541" s="1" t="str">
        <f aca="false">IF(OR(C1541="",M1541=""),"",C1541&amp;"|"&amp;COUNTIFS(C$3:C1541,C1541,M$3:M1541,"&lt;&gt;"))</f>
        <v/>
      </c>
    </row>
    <row r="1542" customFormat="false" ht="15" hidden="false" customHeight="false" outlineLevel="0" collapsed="false">
      <c r="B1542" s="7"/>
      <c r="C1542" s="5"/>
      <c r="D1542" s="9" t="str">
        <f aca="false">IF(C1542="","",IFERROR(VLOOKUP(C1542,EQUIPOS!$B$3:$C$18,2,0),"NO EXISTE"))</f>
        <v/>
      </c>
      <c r="E1542" s="9" t="str">
        <f aca="false">IF(C1542="","",IFERROR(VLOOKUP(C1542,EQUIPOS!$B$3:$F$18,5,0),""))</f>
        <v/>
      </c>
      <c r="F1542" s="5" t="str">
        <f aca="false">IF(C1542="","",IFERROR(VLOOKUP(C1542,EQUIPOS!$B$3:$G$18,6,0),""))</f>
        <v/>
      </c>
      <c r="G1542" s="8"/>
      <c r="H1542" s="5"/>
      <c r="I1542" s="5"/>
      <c r="J1542" s="9"/>
      <c r="K1542" s="17" t="str">
        <f aca="false">IF(H1542="","",IFERROR(SUMIFS(BD_PLAN!$I$3:$I$312,BD_PLAN!$B$3:$B$312,E1542,BD_PLAN!$C$3:$C$312,INDEX(BD_CICLO!$F$3:$F$54,MATCH(E1542&amp;"|"&amp;H1542,BD_CICLO!$G$3:$G$54,0))),""))</f>
        <v/>
      </c>
      <c r="L1542" s="9"/>
      <c r="M1542" s="9"/>
      <c r="N1542" s="1" t="str">
        <f aca="false">IF(C1542="","",C1542&amp;"|"&amp;COUNTIF(C$3:C1542,C1542))</f>
        <v/>
      </c>
      <c r="O1542" s="1" t="str">
        <f aca="false">IF(OR(C1542="",M1542=""),"",C1542&amp;"|"&amp;COUNTIFS(C$3:C1542,C1542,M$3:M1542,"&lt;&gt;"))</f>
        <v/>
      </c>
    </row>
    <row r="1543" customFormat="false" ht="15" hidden="false" customHeight="false" outlineLevel="0" collapsed="false">
      <c r="B1543" s="7"/>
      <c r="C1543" s="5"/>
      <c r="D1543" s="9" t="str">
        <f aca="false">IF(C1543="","",IFERROR(VLOOKUP(C1543,EQUIPOS!$B$3:$C$18,2,0),"NO EXISTE"))</f>
        <v/>
      </c>
      <c r="E1543" s="9" t="str">
        <f aca="false">IF(C1543="","",IFERROR(VLOOKUP(C1543,EQUIPOS!$B$3:$F$18,5,0),""))</f>
        <v/>
      </c>
      <c r="F1543" s="5" t="str">
        <f aca="false">IF(C1543="","",IFERROR(VLOOKUP(C1543,EQUIPOS!$B$3:$G$18,6,0),""))</f>
        <v/>
      </c>
      <c r="G1543" s="8"/>
      <c r="H1543" s="5"/>
      <c r="I1543" s="5"/>
      <c r="J1543" s="9"/>
      <c r="K1543" s="17" t="str">
        <f aca="false">IF(H1543="","",IFERROR(SUMIFS(BD_PLAN!$I$3:$I$312,BD_PLAN!$B$3:$B$312,E1543,BD_PLAN!$C$3:$C$312,INDEX(BD_CICLO!$F$3:$F$54,MATCH(E1543&amp;"|"&amp;H1543,BD_CICLO!$G$3:$G$54,0))),""))</f>
        <v/>
      </c>
      <c r="L1543" s="9"/>
      <c r="M1543" s="9"/>
      <c r="N1543" s="1" t="str">
        <f aca="false">IF(C1543="","",C1543&amp;"|"&amp;COUNTIF(C$3:C1543,C1543))</f>
        <v/>
      </c>
      <c r="O1543" s="1" t="str">
        <f aca="false">IF(OR(C1543="",M1543=""),"",C1543&amp;"|"&amp;COUNTIFS(C$3:C1543,C1543,M$3:M1543,"&lt;&gt;"))</f>
        <v/>
      </c>
    </row>
    <row r="1544" customFormat="false" ht="15" hidden="false" customHeight="false" outlineLevel="0" collapsed="false">
      <c r="B1544" s="7"/>
      <c r="C1544" s="5"/>
      <c r="D1544" s="9" t="str">
        <f aca="false">IF(C1544="","",IFERROR(VLOOKUP(C1544,EQUIPOS!$B$3:$C$18,2,0),"NO EXISTE"))</f>
        <v/>
      </c>
      <c r="E1544" s="9" t="str">
        <f aca="false">IF(C1544="","",IFERROR(VLOOKUP(C1544,EQUIPOS!$B$3:$F$18,5,0),""))</f>
        <v/>
      </c>
      <c r="F1544" s="5" t="str">
        <f aca="false">IF(C1544="","",IFERROR(VLOOKUP(C1544,EQUIPOS!$B$3:$G$18,6,0),""))</f>
        <v/>
      </c>
      <c r="G1544" s="8"/>
      <c r="H1544" s="5"/>
      <c r="I1544" s="5"/>
      <c r="J1544" s="9"/>
      <c r="K1544" s="17" t="str">
        <f aca="false">IF(H1544="","",IFERROR(SUMIFS(BD_PLAN!$I$3:$I$312,BD_PLAN!$B$3:$B$312,E1544,BD_PLAN!$C$3:$C$312,INDEX(BD_CICLO!$F$3:$F$54,MATCH(E1544&amp;"|"&amp;H1544,BD_CICLO!$G$3:$G$54,0))),""))</f>
        <v/>
      </c>
      <c r="L1544" s="9"/>
      <c r="M1544" s="9"/>
      <c r="N1544" s="1" t="str">
        <f aca="false">IF(C1544="","",C1544&amp;"|"&amp;COUNTIF(C$3:C1544,C1544))</f>
        <v/>
      </c>
      <c r="O1544" s="1" t="str">
        <f aca="false">IF(OR(C1544="",M1544=""),"",C1544&amp;"|"&amp;COUNTIFS(C$3:C1544,C1544,M$3:M1544,"&lt;&gt;"))</f>
        <v/>
      </c>
    </row>
    <row r="1545" customFormat="false" ht="15" hidden="false" customHeight="false" outlineLevel="0" collapsed="false">
      <c r="B1545" s="7"/>
      <c r="C1545" s="5"/>
      <c r="D1545" s="9" t="str">
        <f aca="false">IF(C1545="","",IFERROR(VLOOKUP(C1545,EQUIPOS!$B$3:$C$18,2,0),"NO EXISTE"))</f>
        <v/>
      </c>
      <c r="E1545" s="9" t="str">
        <f aca="false">IF(C1545="","",IFERROR(VLOOKUP(C1545,EQUIPOS!$B$3:$F$18,5,0),""))</f>
        <v/>
      </c>
      <c r="F1545" s="5" t="str">
        <f aca="false">IF(C1545="","",IFERROR(VLOOKUP(C1545,EQUIPOS!$B$3:$G$18,6,0),""))</f>
        <v/>
      </c>
      <c r="G1545" s="8"/>
      <c r="H1545" s="5"/>
      <c r="I1545" s="5"/>
      <c r="J1545" s="9"/>
      <c r="K1545" s="17" t="str">
        <f aca="false">IF(H1545="","",IFERROR(SUMIFS(BD_PLAN!$I$3:$I$312,BD_PLAN!$B$3:$B$312,E1545,BD_PLAN!$C$3:$C$312,INDEX(BD_CICLO!$F$3:$F$54,MATCH(E1545&amp;"|"&amp;H1545,BD_CICLO!$G$3:$G$54,0))),""))</f>
        <v/>
      </c>
      <c r="L1545" s="9"/>
      <c r="M1545" s="9"/>
      <c r="N1545" s="1" t="str">
        <f aca="false">IF(C1545="","",C1545&amp;"|"&amp;COUNTIF(C$3:C1545,C1545))</f>
        <v/>
      </c>
      <c r="O1545" s="1" t="str">
        <f aca="false">IF(OR(C1545="",M1545=""),"",C1545&amp;"|"&amp;COUNTIFS(C$3:C1545,C1545,M$3:M1545,"&lt;&gt;"))</f>
        <v/>
      </c>
    </row>
    <row r="1546" customFormat="false" ht="15" hidden="false" customHeight="false" outlineLevel="0" collapsed="false">
      <c r="B1546" s="7"/>
      <c r="C1546" s="5"/>
      <c r="D1546" s="9" t="str">
        <f aca="false">IF(C1546="","",IFERROR(VLOOKUP(C1546,EQUIPOS!$B$3:$C$18,2,0),"NO EXISTE"))</f>
        <v/>
      </c>
      <c r="E1546" s="9" t="str">
        <f aca="false">IF(C1546="","",IFERROR(VLOOKUP(C1546,EQUIPOS!$B$3:$F$18,5,0),""))</f>
        <v/>
      </c>
      <c r="F1546" s="5" t="str">
        <f aca="false">IF(C1546="","",IFERROR(VLOOKUP(C1546,EQUIPOS!$B$3:$G$18,6,0),""))</f>
        <v/>
      </c>
      <c r="G1546" s="8"/>
      <c r="H1546" s="5"/>
      <c r="I1546" s="5"/>
      <c r="J1546" s="9"/>
      <c r="K1546" s="17" t="str">
        <f aca="false">IF(H1546="","",IFERROR(SUMIFS(BD_PLAN!$I$3:$I$312,BD_PLAN!$B$3:$B$312,E1546,BD_PLAN!$C$3:$C$312,INDEX(BD_CICLO!$F$3:$F$54,MATCH(E1546&amp;"|"&amp;H1546,BD_CICLO!$G$3:$G$54,0))),""))</f>
        <v/>
      </c>
      <c r="L1546" s="9"/>
      <c r="M1546" s="9"/>
      <c r="N1546" s="1" t="str">
        <f aca="false">IF(C1546="","",C1546&amp;"|"&amp;COUNTIF(C$3:C1546,C1546))</f>
        <v/>
      </c>
      <c r="O1546" s="1" t="str">
        <f aca="false">IF(OR(C1546="",M1546=""),"",C1546&amp;"|"&amp;COUNTIFS(C$3:C1546,C1546,M$3:M1546,"&lt;&gt;"))</f>
        <v/>
      </c>
    </row>
    <row r="1547" customFormat="false" ht="15" hidden="false" customHeight="false" outlineLevel="0" collapsed="false">
      <c r="B1547" s="7"/>
      <c r="C1547" s="5"/>
      <c r="D1547" s="9" t="str">
        <f aca="false">IF(C1547="","",IFERROR(VLOOKUP(C1547,EQUIPOS!$B$3:$C$18,2,0),"NO EXISTE"))</f>
        <v/>
      </c>
      <c r="E1547" s="9" t="str">
        <f aca="false">IF(C1547="","",IFERROR(VLOOKUP(C1547,EQUIPOS!$B$3:$F$18,5,0),""))</f>
        <v/>
      </c>
      <c r="F1547" s="5" t="str">
        <f aca="false">IF(C1547="","",IFERROR(VLOOKUP(C1547,EQUIPOS!$B$3:$G$18,6,0),""))</f>
        <v/>
      </c>
      <c r="G1547" s="8"/>
      <c r="H1547" s="5"/>
      <c r="I1547" s="5"/>
      <c r="J1547" s="9"/>
      <c r="K1547" s="17" t="str">
        <f aca="false">IF(H1547="","",IFERROR(SUMIFS(BD_PLAN!$I$3:$I$312,BD_PLAN!$B$3:$B$312,E1547,BD_PLAN!$C$3:$C$312,INDEX(BD_CICLO!$F$3:$F$54,MATCH(E1547&amp;"|"&amp;H1547,BD_CICLO!$G$3:$G$54,0))),""))</f>
        <v/>
      </c>
      <c r="L1547" s="9"/>
      <c r="M1547" s="9"/>
      <c r="N1547" s="1" t="str">
        <f aca="false">IF(C1547="","",C1547&amp;"|"&amp;COUNTIF(C$3:C1547,C1547))</f>
        <v/>
      </c>
      <c r="O1547" s="1" t="str">
        <f aca="false">IF(OR(C1547="",M1547=""),"",C1547&amp;"|"&amp;COUNTIFS(C$3:C1547,C1547,M$3:M1547,"&lt;&gt;"))</f>
        <v/>
      </c>
    </row>
    <row r="1548" customFormat="false" ht="15" hidden="false" customHeight="false" outlineLevel="0" collapsed="false">
      <c r="B1548" s="7"/>
      <c r="C1548" s="5"/>
      <c r="D1548" s="9" t="str">
        <f aca="false">IF(C1548="","",IFERROR(VLOOKUP(C1548,EQUIPOS!$B$3:$C$18,2,0),"NO EXISTE"))</f>
        <v/>
      </c>
      <c r="E1548" s="9" t="str">
        <f aca="false">IF(C1548="","",IFERROR(VLOOKUP(C1548,EQUIPOS!$B$3:$F$18,5,0),""))</f>
        <v/>
      </c>
      <c r="F1548" s="5" t="str">
        <f aca="false">IF(C1548="","",IFERROR(VLOOKUP(C1548,EQUIPOS!$B$3:$G$18,6,0),""))</f>
        <v/>
      </c>
      <c r="G1548" s="8"/>
      <c r="H1548" s="5"/>
      <c r="I1548" s="5"/>
      <c r="J1548" s="9"/>
      <c r="K1548" s="17" t="str">
        <f aca="false">IF(H1548="","",IFERROR(SUMIFS(BD_PLAN!$I$3:$I$312,BD_PLAN!$B$3:$B$312,E1548,BD_PLAN!$C$3:$C$312,INDEX(BD_CICLO!$F$3:$F$54,MATCH(E1548&amp;"|"&amp;H1548,BD_CICLO!$G$3:$G$54,0))),""))</f>
        <v/>
      </c>
      <c r="L1548" s="9"/>
      <c r="M1548" s="9"/>
      <c r="N1548" s="1" t="str">
        <f aca="false">IF(C1548="","",C1548&amp;"|"&amp;COUNTIF(C$3:C1548,C1548))</f>
        <v/>
      </c>
      <c r="O1548" s="1" t="str">
        <f aca="false">IF(OR(C1548="",M1548=""),"",C1548&amp;"|"&amp;COUNTIFS(C$3:C1548,C1548,M$3:M1548,"&lt;&gt;"))</f>
        <v/>
      </c>
    </row>
    <row r="1549" customFormat="false" ht="15" hidden="false" customHeight="false" outlineLevel="0" collapsed="false">
      <c r="B1549" s="7"/>
      <c r="C1549" s="5"/>
      <c r="D1549" s="9" t="str">
        <f aca="false">IF(C1549="","",IFERROR(VLOOKUP(C1549,EQUIPOS!$B$3:$C$18,2,0),"NO EXISTE"))</f>
        <v/>
      </c>
      <c r="E1549" s="9" t="str">
        <f aca="false">IF(C1549="","",IFERROR(VLOOKUP(C1549,EQUIPOS!$B$3:$F$18,5,0),""))</f>
        <v/>
      </c>
      <c r="F1549" s="5" t="str">
        <f aca="false">IF(C1549="","",IFERROR(VLOOKUP(C1549,EQUIPOS!$B$3:$G$18,6,0),""))</f>
        <v/>
      </c>
      <c r="G1549" s="8"/>
      <c r="H1549" s="5"/>
      <c r="I1549" s="5"/>
      <c r="J1549" s="9"/>
      <c r="K1549" s="17" t="str">
        <f aca="false">IF(H1549="","",IFERROR(SUMIFS(BD_PLAN!$I$3:$I$312,BD_PLAN!$B$3:$B$312,E1549,BD_PLAN!$C$3:$C$312,INDEX(BD_CICLO!$F$3:$F$54,MATCH(E1549&amp;"|"&amp;H1549,BD_CICLO!$G$3:$G$54,0))),""))</f>
        <v/>
      </c>
      <c r="L1549" s="9"/>
      <c r="M1549" s="9"/>
      <c r="N1549" s="1" t="str">
        <f aca="false">IF(C1549="","",C1549&amp;"|"&amp;COUNTIF(C$3:C1549,C1549))</f>
        <v/>
      </c>
      <c r="O1549" s="1" t="str">
        <f aca="false">IF(OR(C1549="",M1549=""),"",C1549&amp;"|"&amp;COUNTIFS(C$3:C1549,C1549,M$3:M1549,"&lt;&gt;"))</f>
        <v/>
      </c>
    </row>
    <row r="1550" customFormat="false" ht="15" hidden="false" customHeight="false" outlineLevel="0" collapsed="false">
      <c r="B1550" s="7"/>
      <c r="C1550" s="5"/>
      <c r="D1550" s="9" t="str">
        <f aca="false">IF(C1550="","",IFERROR(VLOOKUP(C1550,EQUIPOS!$B$3:$C$18,2,0),"NO EXISTE"))</f>
        <v/>
      </c>
      <c r="E1550" s="9" t="str">
        <f aca="false">IF(C1550="","",IFERROR(VLOOKUP(C1550,EQUIPOS!$B$3:$F$18,5,0),""))</f>
        <v/>
      </c>
      <c r="F1550" s="5" t="str">
        <f aca="false">IF(C1550="","",IFERROR(VLOOKUP(C1550,EQUIPOS!$B$3:$G$18,6,0),""))</f>
        <v/>
      </c>
      <c r="G1550" s="8"/>
      <c r="H1550" s="5"/>
      <c r="I1550" s="5"/>
      <c r="J1550" s="9"/>
      <c r="K1550" s="17" t="str">
        <f aca="false">IF(H1550="","",IFERROR(SUMIFS(BD_PLAN!$I$3:$I$312,BD_PLAN!$B$3:$B$312,E1550,BD_PLAN!$C$3:$C$312,INDEX(BD_CICLO!$F$3:$F$54,MATCH(E1550&amp;"|"&amp;H1550,BD_CICLO!$G$3:$G$54,0))),""))</f>
        <v/>
      </c>
      <c r="L1550" s="9"/>
      <c r="M1550" s="9"/>
      <c r="N1550" s="1" t="str">
        <f aca="false">IF(C1550="","",C1550&amp;"|"&amp;COUNTIF(C$3:C1550,C1550))</f>
        <v/>
      </c>
      <c r="O1550" s="1" t="str">
        <f aca="false">IF(OR(C1550="",M1550=""),"",C1550&amp;"|"&amp;COUNTIFS(C$3:C1550,C1550,M$3:M1550,"&lt;&gt;"))</f>
        <v/>
      </c>
    </row>
    <row r="1551" customFormat="false" ht="15" hidden="false" customHeight="false" outlineLevel="0" collapsed="false">
      <c r="B1551" s="7"/>
      <c r="C1551" s="5"/>
      <c r="D1551" s="9" t="str">
        <f aca="false">IF(C1551="","",IFERROR(VLOOKUP(C1551,EQUIPOS!$B$3:$C$18,2,0),"NO EXISTE"))</f>
        <v/>
      </c>
      <c r="E1551" s="9" t="str">
        <f aca="false">IF(C1551="","",IFERROR(VLOOKUP(C1551,EQUIPOS!$B$3:$F$18,5,0),""))</f>
        <v/>
      </c>
      <c r="F1551" s="5" t="str">
        <f aca="false">IF(C1551="","",IFERROR(VLOOKUP(C1551,EQUIPOS!$B$3:$G$18,6,0),""))</f>
        <v/>
      </c>
      <c r="G1551" s="8"/>
      <c r="H1551" s="5"/>
      <c r="I1551" s="5"/>
      <c r="J1551" s="9"/>
      <c r="K1551" s="17" t="str">
        <f aca="false">IF(H1551="","",IFERROR(SUMIFS(BD_PLAN!$I$3:$I$312,BD_PLAN!$B$3:$B$312,E1551,BD_PLAN!$C$3:$C$312,INDEX(BD_CICLO!$F$3:$F$54,MATCH(E1551&amp;"|"&amp;H1551,BD_CICLO!$G$3:$G$54,0))),""))</f>
        <v/>
      </c>
      <c r="L1551" s="9"/>
      <c r="M1551" s="9"/>
      <c r="N1551" s="1" t="str">
        <f aca="false">IF(C1551="","",C1551&amp;"|"&amp;COUNTIF(C$3:C1551,C1551))</f>
        <v/>
      </c>
      <c r="O1551" s="1" t="str">
        <f aca="false">IF(OR(C1551="",M1551=""),"",C1551&amp;"|"&amp;COUNTIFS(C$3:C1551,C1551,M$3:M1551,"&lt;&gt;"))</f>
        <v/>
      </c>
    </row>
    <row r="1552" customFormat="false" ht="15" hidden="false" customHeight="false" outlineLevel="0" collapsed="false">
      <c r="B1552" s="7"/>
      <c r="C1552" s="5"/>
      <c r="D1552" s="9" t="str">
        <f aca="false">IF(C1552="","",IFERROR(VLOOKUP(C1552,EQUIPOS!$B$3:$C$18,2,0),"NO EXISTE"))</f>
        <v/>
      </c>
      <c r="E1552" s="9" t="str">
        <f aca="false">IF(C1552="","",IFERROR(VLOOKUP(C1552,EQUIPOS!$B$3:$F$18,5,0),""))</f>
        <v/>
      </c>
      <c r="F1552" s="5" t="str">
        <f aca="false">IF(C1552="","",IFERROR(VLOOKUP(C1552,EQUIPOS!$B$3:$G$18,6,0),""))</f>
        <v/>
      </c>
      <c r="G1552" s="8"/>
      <c r="H1552" s="5"/>
      <c r="I1552" s="5"/>
      <c r="J1552" s="9"/>
      <c r="K1552" s="17" t="str">
        <f aca="false">IF(H1552="","",IFERROR(SUMIFS(BD_PLAN!$I$3:$I$312,BD_PLAN!$B$3:$B$312,E1552,BD_PLAN!$C$3:$C$312,INDEX(BD_CICLO!$F$3:$F$54,MATCH(E1552&amp;"|"&amp;H1552,BD_CICLO!$G$3:$G$54,0))),""))</f>
        <v/>
      </c>
      <c r="L1552" s="9"/>
      <c r="M1552" s="9"/>
      <c r="N1552" s="1" t="str">
        <f aca="false">IF(C1552="","",C1552&amp;"|"&amp;COUNTIF(C$3:C1552,C1552))</f>
        <v/>
      </c>
      <c r="O1552" s="1" t="str">
        <f aca="false">IF(OR(C1552="",M1552=""),"",C1552&amp;"|"&amp;COUNTIFS(C$3:C1552,C1552,M$3:M1552,"&lt;&gt;"))</f>
        <v/>
      </c>
    </row>
    <row r="1553" customFormat="false" ht="15" hidden="false" customHeight="false" outlineLevel="0" collapsed="false">
      <c r="B1553" s="7"/>
      <c r="C1553" s="5"/>
      <c r="D1553" s="9" t="str">
        <f aca="false">IF(C1553="","",IFERROR(VLOOKUP(C1553,EQUIPOS!$B$3:$C$18,2,0),"NO EXISTE"))</f>
        <v/>
      </c>
      <c r="E1553" s="9" t="str">
        <f aca="false">IF(C1553="","",IFERROR(VLOOKUP(C1553,EQUIPOS!$B$3:$F$18,5,0),""))</f>
        <v/>
      </c>
      <c r="F1553" s="5" t="str">
        <f aca="false">IF(C1553="","",IFERROR(VLOOKUP(C1553,EQUIPOS!$B$3:$G$18,6,0),""))</f>
        <v/>
      </c>
      <c r="G1553" s="8"/>
      <c r="H1553" s="5"/>
      <c r="I1553" s="5"/>
      <c r="J1553" s="9"/>
      <c r="K1553" s="17" t="str">
        <f aca="false">IF(H1553="","",IFERROR(SUMIFS(BD_PLAN!$I$3:$I$312,BD_PLAN!$B$3:$B$312,E1553,BD_PLAN!$C$3:$C$312,INDEX(BD_CICLO!$F$3:$F$54,MATCH(E1553&amp;"|"&amp;H1553,BD_CICLO!$G$3:$G$54,0))),""))</f>
        <v/>
      </c>
      <c r="L1553" s="9"/>
      <c r="M1553" s="9"/>
      <c r="N1553" s="1" t="str">
        <f aca="false">IF(C1553="","",C1553&amp;"|"&amp;COUNTIF(C$3:C1553,C1553))</f>
        <v/>
      </c>
      <c r="O1553" s="1" t="str">
        <f aca="false">IF(OR(C1553="",M1553=""),"",C1553&amp;"|"&amp;COUNTIFS(C$3:C1553,C1553,M$3:M1553,"&lt;&gt;"))</f>
        <v/>
      </c>
    </row>
    <row r="1554" customFormat="false" ht="15" hidden="false" customHeight="false" outlineLevel="0" collapsed="false">
      <c r="B1554" s="7"/>
      <c r="C1554" s="5"/>
      <c r="D1554" s="9" t="str">
        <f aca="false">IF(C1554="","",IFERROR(VLOOKUP(C1554,EQUIPOS!$B$3:$C$18,2,0),"NO EXISTE"))</f>
        <v/>
      </c>
      <c r="E1554" s="9" t="str">
        <f aca="false">IF(C1554="","",IFERROR(VLOOKUP(C1554,EQUIPOS!$B$3:$F$18,5,0),""))</f>
        <v/>
      </c>
      <c r="F1554" s="5" t="str">
        <f aca="false">IF(C1554="","",IFERROR(VLOOKUP(C1554,EQUIPOS!$B$3:$G$18,6,0),""))</f>
        <v/>
      </c>
      <c r="G1554" s="8"/>
      <c r="H1554" s="5"/>
      <c r="I1554" s="5"/>
      <c r="J1554" s="9"/>
      <c r="K1554" s="17" t="str">
        <f aca="false">IF(H1554="","",IFERROR(SUMIFS(BD_PLAN!$I$3:$I$312,BD_PLAN!$B$3:$B$312,E1554,BD_PLAN!$C$3:$C$312,INDEX(BD_CICLO!$F$3:$F$54,MATCH(E1554&amp;"|"&amp;H1554,BD_CICLO!$G$3:$G$54,0))),""))</f>
        <v/>
      </c>
      <c r="L1554" s="9"/>
      <c r="M1554" s="9"/>
      <c r="N1554" s="1" t="str">
        <f aca="false">IF(C1554="","",C1554&amp;"|"&amp;COUNTIF(C$3:C1554,C1554))</f>
        <v/>
      </c>
      <c r="O1554" s="1" t="str">
        <f aca="false">IF(OR(C1554="",M1554=""),"",C1554&amp;"|"&amp;COUNTIFS(C$3:C1554,C1554,M$3:M1554,"&lt;&gt;"))</f>
        <v/>
      </c>
    </row>
    <row r="1555" customFormat="false" ht="15" hidden="false" customHeight="false" outlineLevel="0" collapsed="false">
      <c r="B1555" s="7"/>
      <c r="C1555" s="5"/>
      <c r="D1555" s="9" t="str">
        <f aca="false">IF(C1555="","",IFERROR(VLOOKUP(C1555,EQUIPOS!$B$3:$C$18,2,0),"NO EXISTE"))</f>
        <v/>
      </c>
      <c r="E1555" s="9" t="str">
        <f aca="false">IF(C1555="","",IFERROR(VLOOKUP(C1555,EQUIPOS!$B$3:$F$18,5,0),""))</f>
        <v/>
      </c>
      <c r="F1555" s="5" t="str">
        <f aca="false">IF(C1555="","",IFERROR(VLOOKUP(C1555,EQUIPOS!$B$3:$G$18,6,0),""))</f>
        <v/>
      </c>
      <c r="G1555" s="8"/>
      <c r="H1555" s="5"/>
      <c r="I1555" s="5"/>
      <c r="J1555" s="9"/>
      <c r="K1555" s="17" t="str">
        <f aca="false">IF(H1555="","",IFERROR(SUMIFS(BD_PLAN!$I$3:$I$312,BD_PLAN!$B$3:$B$312,E1555,BD_PLAN!$C$3:$C$312,INDEX(BD_CICLO!$F$3:$F$54,MATCH(E1555&amp;"|"&amp;H1555,BD_CICLO!$G$3:$G$54,0))),""))</f>
        <v/>
      </c>
      <c r="L1555" s="9"/>
      <c r="M1555" s="9"/>
      <c r="N1555" s="1" t="str">
        <f aca="false">IF(C1555="","",C1555&amp;"|"&amp;COUNTIF(C$3:C1555,C1555))</f>
        <v/>
      </c>
      <c r="O1555" s="1" t="str">
        <f aca="false">IF(OR(C1555="",M1555=""),"",C1555&amp;"|"&amp;COUNTIFS(C$3:C1555,C1555,M$3:M1555,"&lt;&gt;"))</f>
        <v/>
      </c>
    </row>
    <row r="1556" customFormat="false" ht="15" hidden="false" customHeight="false" outlineLevel="0" collapsed="false">
      <c r="B1556" s="7"/>
      <c r="C1556" s="5"/>
      <c r="D1556" s="9" t="str">
        <f aca="false">IF(C1556="","",IFERROR(VLOOKUP(C1556,EQUIPOS!$B$3:$C$18,2,0),"NO EXISTE"))</f>
        <v/>
      </c>
      <c r="E1556" s="9" t="str">
        <f aca="false">IF(C1556="","",IFERROR(VLOOKUP(C1556,EQUIPOS!$B$3:$F$18,5,0),""))</f>
        <v/>
      </c>
      <c r="F1556" s="5" t="str">
        <f aca="false">IF(C1556="","",IFERROR(VLOOKUP(C1556,EQUIPOS!$B$3:$G$18,6,0),""))</f>
        <v/>
      </c>
      <c r="G1556" s="8"/>
      <c r="H1556" s="5"/>
      <c r="I1556" s="5"/>
      <c r="J1556" s="9"/>
      <c r="K1556" s="17" t="str">
        <f aca="false">IF(H1556="","",IFERROR(SUMIFS(BD_PLAN!$I$3:$I$312,BD_PLAN!$B$3:$B$312,E1556,BD_PLAN!$C$3:$C$312,INDEX(BD_CICLO!$F$3:$F$54,MATCH(E1556&amp;"|"&amp;H1556,BD_CICLO!$G$3:$G$54,0))),""))</f>
        <v/>
      </c>
      <c r="L1556" s="9"/>
      <c r="M1556" s="9"/>
      <c r="N1556" s="1" t="str">
        <f aca="false">IF(C1556="","",C1556&amp;"|"&amp;COUNTIF(C$3:C1556,C1556))</f>
        <v/>
      </c>
      <c r="O1556" s="1" t="str">
        <f aca="false">IF(OR(C1556="",M1556=""),"",C1556&amp;"|"&amp;COUNTIFS(C$3:C1556,C1556,M$3:M1556,"&lt;&gt;"))</f>
        <v/>
      </c>
    </row>
    <row r="1557" customFormat="false" ht="15" hidden="false" customHeight="false" outlineLevel="0" collapsed="false">
      <c r="B1557" s="7"/>
      <c r="C1557" s="5"/>
      <c r="D1557" s="9" t="str">
        <f aca="false">IF(C1557="","",IFERROR(VLOOKUP(C1557,EQUIPOS!$B$3:$C$18,2,0),"NO EXISTE"))</f>
        <v/>
      </c>
      <c r="E1557" s="9" t="str">
        <f aca="false">IF(C1557="","",IFERROR(VLOOKUP(C1557,EQUIPOS!$B$3:$F$18,5,0),""))</f>
        <v/>
      </c>
      <c r="F1557" s="5" t="str">
        <f aca="false">IF(C1557="","",IFERROR(VLOOKUP(C1557,EQUIPOS!$B$3:$G$18,6,0),""))</f>
        <v/>
      </c>
      <c r="G1557" s="8"/>
      <c r="H1557" s="5"/>
      <c r="I1557" s="5"/>
      <c r="J1557" s="9"/>
      <c r="K1557" s="17" t="str">
        <f aca="false">IF(H1557="","",IFERROR(SUMIFS(BD_PLAN!$I$3:$I$312,BD_PLAN!$B$3:$B$312,E1557,BD_PLAN!$C$3:$C$312,INDEX(BD_CICLO!$F$3:$F$54,MATCH(E1557&amp;"|"&amp;H1557,BD_CICLO!$G$3:$G$54,0))),""))</f>
        <v/>
      </c>
      <c r="L1557" s="9"/>
      <c r="M1557" s="9"/>
      <c r="N1557" s="1" t="str">
        <f aca="false">IF(C1557="","",C1557&amp;"|"&amp;COUNTIF(C$3:C1557,C1557))</f>
        <v/>
      </c>
      <c r="O1557" s="1" t="str">
        <f aca="false">IF(OR(C1557="",M1557=""),"",C1557&amp;"|"&amp;COUNTIFS(C$3:C1557,C1557,M$3:M1557,"&lt;&gt;"))</f>
        <v/>
      </c>
    </row>
    <row r="1558" customFormat="false" ht="15" hidden="false" customHeight="false" outlineLevel="0" collapsed="false">
      <c r="B1558" s="7"/>
      <c r="C1558" s="5"/>
      <c r="D1558" s="9" t="str">
        <f aca="false">IF(C1558="","",IFERROR(VLOOKUP(C1558,EQUIPOS!$B$3:$C$18,2,0),"NO EXISTE"))</f>
        <v/>
      </c>
      <c r="E1558" s="9" t="str">
        <f aca="false">IF(C1558="","",IFERROR(VLOOKUP(C1558,EQUIPOS!$B$3:$F$18,5,0),""))</f>
        <v/>
      </c>
      <c r="F1558" s="5" t="str">
        <f aca="false">IF(C1558="","",IFERROR(VLOOKUP(C1558,EQUIPOS!$B$3:$G$18,6,0),""))</f>
        <v/>
      </c>
      <c r="G1558" s="8"/>
      <c r="H1558" s="5"/>
      <c r="I1558" s="5"/>
      <c r="J1558" s="9"/>
      <c r="K1558" s="17" t="str">
        <f aca="false">IF(H1558="","",IFERROR(SUMIFS(BD_PLAN!$I$3:$I$312,BD_PLAN!$B$3:$B$312,E1558,BD_PLAN!$C$3:$C$312,INDEX(BD_CICLO!$F$3:$F$54,MATCH(E1558&amp;"|"&amp;H1558,BD_CICLO!$G$3:$G$54,0))),""))</f>
        <v/>
      </c>
      <c r="L1558" s="9"/>
      <c r="M1558" s="9"/>
      <c r="N1558" s="1" t="str">
        <f aca="false">IF(C1558="","",C1558&amp;"|"&amp;COUNTIF(C$3:C1558,C1558))</f>
        <v/>
      </c>
      <c r="O1558" s="1" t="str">
        <f aca="false">IF(OR(C1558="",M1558=""),"",C1558&amp;"|"&amp;COUNTIFS(C$3:C1558,C1558,M$3:M1558,"&lt;&gt;"))</f>
        <v/>
      </c>
    </row>
    <row r="1559" customFormat="false" ht="15" hidden="false" customHeight="false" outlineLevel="0" collapsed="false">
      <c r="B1559" s="7"/>
      <c r="C1559" s="5"/>
      <c r="D1559" s="9" t="str">
        <f aca="false">IF(C1559="","",IFERROR(VLOOKUP(C1559,EQUIPOS!$B$3:$C$18,2,0),"NO EXISTE"))</f>
        <v/>
      </c>
      <c r="E1559" s="9" t="str">
        <f aca="false">IF(C1559="","",IFERROR(VLOOKUP(C1559,EQUIPOS!$B$3:$F$18,5,0),""))</f>
        <v/>
      </c>
      <c r="F1559" s="5" t="str">
        <f aca="false">IF(C1559="","",IFERROR(VLOOKUP(C1559,EQUIPOS!$B$3:$G$18,6,0),""))</f>
        <v/>
      </c>
      <c r="G1559" s="8"/>
      <c r="H1559" s="5"/>
      <c r="I1559" s="5"/>
      <c r="J1559" s="9"/>
      <c r="K1559" s="17" t="str">
        <f aca="false">IF(H1559="","",IFERROR(SUMIFS(BD_PLAN!$I$3:$I$312,BD_PLAN!$B$3:$B$312,E1559,BD_PLAN!$C$3:$C$312,INDEX(BD_CICLO!$F$3:$F$54,MATCH(E1559&amp;"|"&amp;H1559,BD_CICLO!$G$3:$G$54,0))),""))</f>
        <v/>
      </c>
      <c r="L1559" s="9"/>
      <c r="M1559" s="9"/>
      <c r="N1559" s="1" t="str">
        <f aca="false">IF(C1559="","",C1559&amp;"|"&amp;COUNTIF(C$3:C1559,C1559))</f>
        <v/>
      </c>
      <c r="O1559" s="1" t="str">
        <f aca="false">IF(OR(C1559="",M1559=""),"",C1559&amp;"|"&amp;COUNTIFS(C$3:C1559,C1559,M$3:M1559,"&lt;&gt;"))</f>
        <v/>
      </c>
    </row>
    <row r="1560" customFormat="false" ht="15" hidden="false" customHeight="false" outlineLevel="0" collapsed="false">
      <c r="B1560" s="7"/>
      <c r="C1560" s="5"/>
      <c r="D1560" s="9" t="str">
        <f aca="false">IF(C1560="","",IFERROR(VLOOKUP(C1560,EQUIPOS!$B$3:$C$18,2,0),"NO EXISTE"))</f>
        <v/>
      </c>
      <c r="E1560" s="9" t="str">
        <f aca="false">IF(C1560="","",IFERROR(VLOOKUP(C1560,EQUIPOS!$B$3:$F$18,5,0),""))</f>
        <v/>
      </c>
      <c r="F1560" s="5" t="str">
        <f aca="false">IF(C1560="","",IFERROR(VLOOKUP(C1560,EQUIPOS!$B$3:$G$18,6,0),""))</f>
        <v/>
      </c>
      <c r="G1560" s="8"/>
      <c r="H1560" s="5"/>
      <c r="I1560" s="5"/>
      <c r="J1560" s="9"/>
      <c r="K1560" s="17" t="str">
        <f aca="false">IF(H1560="","",IFERROR(SUMIFS(BD_PLAN!$I$3:$I$312,BD_PLAN!$B$3:$B$312,E1560,BD_PLAN!$C$3:$C$312,INDEX(BD_CICLO!$F$3:$F$54,MATCH(E1560&amp;"|"&amp;H1560,BD_CICLO!$G$3:$G$54,0))),""))</f>
        <v/>
      </c>
      <c r="L1560" s="9"/>
      <c r="M1560" s="9"/>
      <c r="N1560" s="1" t="str">
        <f aca="false">IF(C1560="","",C1560&amp;"|"&amp;COUNTIF(C$3:C1560,C1560))</f>
        <v/>
      </c>
      <c r="O1560" s="1" t="str">
        <f aca="false">IF(OR(C1560="",M1560=""),"",C1560&amp;"|"&amp;COUNTIFS(C$3:C1560,C1560,M$3:M1560,"&lt;&gt;"))</f>
        <v/>
      </c>
    </row>
    <row r="1561" customFormat="false" ht="15" hidden="false" customHeight="false" outlineLevel="0" collapsed="false">
      <c r="B1561" s="7"/>
      <c r="C1561" s="5"/>
      <c r="D1561" s="9" t="str">
        <f aca="false">IF(C1561="","",IFERROR(VLOOKUP(C1561,EQUIPOS!$B$3:$C$18,2,0),"NO EXISTE"))</f>
        <v/>
      </c>
      <c r="E1561" s="9" t="str">
        <f aca="false">IF(C1561="","",IFERROR(VLOOKUP(C1561,EQUIPOS!$B$3:$F$18,5,0),""))</f>
        <v/>
      </c>
      <c r="F1561" s="5" t="str">
        <f aca="false">IF(C1561="","",IFERROR(VLOOKUP(C1561,EQUIPOS!$B$3:$G$18,6,0),""))</f>
        <v/>
      </c>
      <c r="G1561" s="8"/>
      <c r="H1561" s="5"/>
      <c r="I1561" s="5"/>
      <c r="J1561" s="9"/>
      <c r="K1561" s="17" t="str">
        <f aca="false">IF(H1561="","",IFERROR(SUMIFS(BD_PLAN!$I$3:$I$312,BD_PLAN!$B$3:$B$312,E1561,BD_PLAN!$C$3:$C$312,INDEX(BD_CICLO!$F$3:$F$54,MATCH(E1561&amp;"|"&amp;H1561,BD_CICLO!$G$3:$G$54,0))),""))</f>
        <v/>
      </c>
      <c r="L1561" s="9"/>
      <c r="M1561" s="9"/>
      <c r="N1561" s="1" t="str">
        <f aca="false">IF(C1561="","",C1561&amp;"|"&amp;COUNTIF(C$3:C1561,C1561))</f>
        <v/>
      </c>
      <c r="O1561" s="1" t="str">
        <f aca="false">IF(OR(C1561="",M1561=""),"",C1561&amp;"|"&amp;COUNTIFS(C$3:C1561,C1561,M$3:M1561,"&lt;&gt;"))</f>
        <v/>
      </c>
    </row>
    <row r="1562" customFormat="false" ht="15" hidden="false" customHeight="false" outlineLevel="0" collapsed="false">
      <c r="B1562" s="7"/>
      <c r="C1562" s="5"/>
      <c r="D1562" s="9" t="str">
        <f aca="false">IF(C1562="","",IFERROR(VLOOKUP(C1562,EQUIPOS!$B$3:$C$18,2,0),"NO EXISTE"))</f>
        <v/>
      </c>
      <c r="E1562" s="9" t="str">
        <f aca="false">IF(C1562="","",IFERROR(VLOOKUP(C1562,EQUIPOS!$B$3:$F$18,5,0),""))</f>
        <v/>
      </c>
      <c r="F1562" s="5" t="str">
        <f aca="false">IF(C1562="","",IFERROR(VLOOKUP(C1562,EQUIPOS!$B$3:$G$18,6,0),""))</f>
        <v/>
      </c>
      <c r="G1562" s="8"/>
      <c r="H1562" s="5"/>
      <c r="I1562" s="5"/>
      <c r="J1562" s="9"/>
      <c r="K1562" s="17" t="str">
        <f aca="false">IF(H1562="","",IFERROR(SUMIFS(BD_PLAN!$I$3:$I$312,BD_PLAN!$B$3:$B$312,E1562,BD_PLAN!$C$3:$C$312,INDEX(BD_CICLO!$F$3:$F$54,MATCH(E1562&amp;"|"&amp;H1562,BD_CICLO!$G$3:$G$54,0))),""))</f>
        <v/>
      </c>
      <c r="L1562" s="9"/>
      <c r="M1562" s="9"/>
      <c r="N1562" s="1" t="str">
        <f aca="false">IF(C1562="","",C1562&amp;"|"&amp;COUNTIF(C$3:C1562,C1562))</f>
        <v/>
      </c>
      <c r="O1562" s="1" t="str">
        <f aca="false">IF(OR(C1562="",M1562=""),"",C1562&amp;"|"&amp;COUNTIFS(C$3:C1562,C1562,M$3:M1562,"&lt;&gt;"))</f>
        <v/>
      </c>
    </row>
    <row r="1563" customFormat="false" ht="15" hidden="false" customHeight="false" outlineLevel="0" collapsed="false">
      <c r="B1563" s="7"/>
      <c r="C1563" s="5"/>
      <c r="D1563" s="9" t="str">
        <f aca="false">IF(C1563="","",IFERROR(VLOOKUP(C1563,EQUIPOS!$B$3:$C$18,2,0),"NO EXISTE"))</f>
        <v/>
      </c>
      <c r="E1563" s="9" t="str">
        <f aca="false">IF(C1563="","",IFERROR(VLOOKUP(C1563,EQUIPOS!$B$3:$F$18,5,0),""))</f>
        <v/>
      </c>
      <c r="F1563" s="5" t="str">
        <f aca="false">IF(C1563="","",IFERROR(VLOOKUP(C1563,EQUIPOS!$B$3:$G$18,6,0),""))</f>
        <v/>
      </c>
      <c r="G1563" s="8"/>
      <c r="H1563" s="5"/>
      <c r="I1563" s="5"/>
      <c r="J1563" s="9"/>
      <c r="K1563" s="17" t="str">
        <f aca="false">IF(H1563="","",IFERROR(SUMIFS(BD_PLAN!$I$3:$I$312,BD_PLAN!$B$3:$B$312,E1563,BD_PLAN!$C$3:$C$312,INDEX(BD_CICLO!$F$3:$F$54,MATCH(E1563&amp;"|"&amp;H1563,BD_CICLO!$G$3:$G$54,0))),""))</f>
        <v/>
      </c>
      <c r="L1563" s="9"/>
      <c r="M1563" s="9"/>
      <c r="N1563" s="1" t="str">
        <f aca="false">IF(C1563="","",C1563&amp;"|"&amp;COUNTIF(C$3:C1563,C1563))</f>
        <v/>
      </c>
      <c r="O1563" s="1" t="str">
        <f aca="false">IF(OR(C1563="",M1563=""),"",C1563&amp;"|"&amp;COUNTIFS(C$3:C1563,C1563,M$3:M1563,"&lt;&gt;"))</f>
        <v/>
      </c>
    </row>
    <row r="1564" customFormat="false" ht="15" hidden="false" customHeight="false" outlineLevel="0" collapsed="false">
      <c r="B1564" s="7"/>
      <c r="C1564" s="5"/>
      <c r="D1564" s="9" t="str">
        <f aca="false">IF(C1564="","",IFERROR(VLOOKUP(C1564,EQUIPOS!$B$3:$C$18,2,0),"NO EXISTE"))</f>
        <v/>
      </c>
      <c r="E1564" s="9" t="str">
        <f aca="false">IF(C1564="","",IFERROR(VLOOKUP(C1564,EQUIPOS!$B$3:$F$18,5,0),""))</f>
        <v/>
      </c>
      <c r="F1564" s="5" t="str">
        <f aca="false">IF(C1564="","",IFERROR(VLOOKUP(C1564,EQUIPOS!$B$3:$G$18,6,0),""))</f>
        <v/>
      </c>
      <c r="G1564" s="8"/>
      <c r="H1564" s="5"/>
      <c r="I1564" s="5"/>
      <c r="J1564" s="9"/>
      <c r="K1564" s="17" t="str">
        <f aca="false">IF(H1564="","",IFERROR(SUMIFS(BD_PLAN!$I$3:$I$312,BD_PLAN!$B$3:$B$312,E1564,BD_PLAN!$C$3:$C$312,INDEX(BD_CICLO!$F$3:$F$54,MATCH(E1564&amp;"|"&amp;H1564,BD_CICLO!$G$3:$G$54,0))),""))</f>
        <v/>
      </c>
      <c r="L1564" s="9"/>
      <c r="M1564" s="9"/>
      <c r="N1564" s="1" t="str">
        <f aca="false">IF(C1564="","",C1564&amp;"|"&amp;COUNTIF(C$3:C1564,C1564))</f>
        <v/>
      </c>
      <c r="O1564" s="1" t="str">
        <f aca="false">IF(OR(C1564="",M1564=""),"",C1564&amp;"|"&amp;COUNTIFS(C$3:C1564,C1564,M$3:M1564,"&lt;&gt;"))</f>
        <v/>
      </c>
    </row>
    <row r="1565" customFormat="false" ht="15" hidden="false" customHeight="false" outlineLevel="0" collapsed="false">
      <c r="B1565" s="7"/>
      <c r="C1565" s="5"/>
      <c r="D1565" s="9" t="str">
        <f aca="false">IF(C1565="","",IFERROR(VLOOKUP(C1565,EQUIPOS!$B$3:$C$18,2,0),"NO EXISTE"))</f>
        <v/>
      </c>
      <c r="E1565" s="9" t="str">
        <f aca="false">IF(C1565="","",IFERROR(VLOOKUP(C1565,EQUIPOS!$B$3:$F$18,5,0),""))</f>
        <v/>
      </c>
      <c r="F1565" s="5" t="str">
        <f aca="false">IF(C1565="","",IFERROR(VLOOKUP(C1565,EQUIPOS!$B$3:$G$18,6,0),""))</f>
        <v/>
      </c>
      <c r="G1565" s="8"/>
      <c r="H1565" s="5"/>
      <c r="I1565" s="5"/>
      <c r="J1565" s="9"/>
      <c r="K1565" s="17" t="str">
        <f aca="false">IF(H1565="","",IFERROR(SUMIFS(BD_PLAN!$I$3:$I$312,BD_PLAN!$B$3:$B$312,E1565,BD_PLAN!$C$3:$C$312,INDEX(BD_CICLO!$F$3:$F$54,MATCH(E1565&amp;"|"&amp;H1565,BD_CICLO!$G$3:$G$54,0))),""))</f>
        <v/>
      </c>
      <c r="L1565" s="9"/>
      <c r="M1565" s="9"/>
      <c r="N1565" s="1" t="str">
        <f aca="false">IF(C1565="","",C1565&amp;"|"&amp;COUNTIF(C$3:C1565,C1565))</f>
        <v/>
      </c>
      <c r="O1565" s="1" t="str">
        <f aca="false">IF(OR(C1565="",M1565=""),"",C1565&amp;"|"&amp;COUNTIFS(C$3:C1565,C1565,M$3:M1565,"&lt;&gt;"))</f>
        <v/>
      </c>
    </row>
    <row r="1566" customFormat="false" ht="15" hidden="false" customHeight="false" outlineLevel="0" collapsed="false">
      <c r="B1566" s="7"/>
      <c r="C1566" s="5"/>
      <c r="D1566" s="9" t="str">
        <f aca="false">IF(C1566="","",IFERROR(VLOOKUP(C1566,EQUIPOS!$B$3:$C$18,2,0),"NO EXISTE"))</f>
        <v/>
      </c>
      <c r="E1566" s="9" t="str">
        <f aca="false">IF(C1566="","",IFERROR(VLOOKUP(C1566,EQUIPOS!$B$3:$F$18,5,0),""))</f>
        <v/>
      </c>
      <c r="F1566" s="5" t="str">
        <f aca="false">IF(C1566="","",IFERROR(VLOOKUP(C1566,EQUIPOS!$B$3:$G$18,6,0),""))</f>
        <v/>
      </c>
      <c r="G1566" s="8"/>
      <c r="H1566" s="5"/>
      <c r="I1566" s="5"/>
      <c r="J1566" s="9"/>
      <c r="K1566" s="17" t="str">
        <f aca="false">IF(H1566="","",IFERROR(SUMIFS(BD_PLAN!$I$3:$I$312,BD_PLAN!$B$3:$B$312,E1566,BD_PLAN!$C$3:$C$312,INDEX(BD_CICLO!$F$3:$F$54,MATCH(E1566&amp;"|"&amp;H1566,BD_CICLO!$G$3:$G$54,0))),""))</f>
        <v/>
      </c>
      <c r="L1566" s="9"/>
      <c r="M1566" s="9"/>
      <c r="N1566" s="1" t="str">
        <f aca="false">IF(C1566="","",C1566&amp;"|"&amp;COUNTIF(C$3:C1566,C1566))</f>
        <v/>
      </c>
      <c r="O1566" s="1" t="str">
        <f aca="false">IF(OR(C1566="",M1566=""),"",C1566&amp;"|"&amp;COUNTIFS(C$3:C1566,C1566,M$3:M1566,"&lt;&gt;"))</f>
        <v/>
      </c>
    </row>
    <row r="1567" customFormat="false" ht="15" hidden="false" customHeight="false" outlineLevel="0" collapsed="false">
      <c r="B1567" s="7"/>
      <c r="C1567" s="5"/>
      <c r="D1567" s="9" t="str">
        <f aca="false">IF(C1567="","",IFERROR(VLOOKUP(C1567,EQUIPOS!$B$3:$C$18,2,0),"NO EXISTE"))</f>
        <v/>
      </c>
      <c r="E1567" s="9" t="str">
        <f aca="false">IF(C1567="","",IFERROR(VLOOKUP(C1567,EQUIPOS!$B$3:$F$18,5,0),""))</f>
        <v/>
      </c>
      <c r="F1567" s="5" t="str">
        <f aca="false">IF(C1567="","",IFERROR(VLOOKUP(C1567,EQUIPOS!$B$3:$G$18,6,0),""))</f>
        <v/>
      </c>
      <c r="G1567" s="8"/>
      <c r="H1567" s="5"/>
      <c r="I1567" s="5"/>
      <c r="J1567" s="9"/>
      <c r="K1567" s="17" t="str">
        <f aca="false">IF(H1567="","",IFERROR(SUMIFS(BD_PLAN!$I$3:$I$312,BD_PLAN!$B$3:$B$312,E1567,BD_PLAN!$C$3:$C$312,INDEX(BD_CICLO!$F$3:$F$54,MATCH(E1567&amp;"|"&amp;H1567,BD_CICLO!$G$3:$G$54,0))),""))</f>
        <v/>
      </c>
      <c r="L1567" s="9"/>
      <c r="M1567" s="9"/>
      <c r="N1567" s="1" t="str">
        <f aca="false">IF(C1567="","",C1567&amp;"|"&amp;COUNTIF(C$3:C1567,C1567))</f>
        <v/>
      </c>
      <c r="O1567" s="1" t="str">
        <f aca="false">IF(OR(C1567="",M1567=""),"",C1567&amp;"|"&amp;COUNTIFS(C$3:C1567,C1567,M$3:M1567,"&lt;&gt;"))</f>
        <v/>
      </c>
    </row>
    <row r="1568" customFormat="false" ht="15" hidden="false" customHeight="false" outlineLevel="0" collapsed="false">
      <c r="B1568" s="7"/>
      <c r="C1568" s="5"/>
      <c r="D1568" s="9" t="str">
        <f aca="false">IF(C1568="","",IFERROR(VLOOKUP(C1568,EQUIPOS!$B$3:$C$18,2,0),"NO EXISTE"))</f>
        <v/>
      </c>
      <c r="E1568" s="9" t="str">
        <f aca="false">IF(C1568="","",IFERROR(VLOOKUP(C1568,EQUIPOS!$B$3:$F$18,5,0),""))</f>
        <v/>
      </c>
      <c r="F1568" s="5" t="str">
        <f aca="false">IF(C1568="","",IFERROR(VLOOKUP(C1568,EQUIPOS!$B$3:$G$18,6,0),""))</f>
        <v/>
      </c>
      <c r="G1568" s="8"/>
      <c r="H1568" s="5"/>
      <c r="I1568" s="5"/>
      <c r="J1568" s="9"/>
      <c r="K1568" s="17" t="str">
        <f aca="false">IF(H1568="","",IFERROR(SUMIFS(BD_PLAN!$I$3:$I$312,BD_PLAN!$B$3:$B$312,E1568,BD_PLAN!$C$3:$C$312,INDEX(BD_CICLO!$F$3:$F$54,MATCH(E1568&amp;"|"&amp;H1568,BD_CICLO!$G$3:$G$54,0))),""))</f>
        <v/>
      </c>
      <c r="L1568" s="9"/>
      <c r="M1568" s="9"/>
      <c r="N1568" s="1" t="str">
        <f aca="false">IF(C1568="","",C1568&amp;"|"&amp;COUNTIF(C$3:C1568,C1568))</f>
        <v/>
      </c>
      <c r="O1568" s="1" t="str">
        <f aca="false">IF(OR(C1568="",M1568=""),"",C1568&amp;"|"&amp;COUNTIFS(C$3:C1568,C1568,M$3:M1568,"&lt;&gt;"))</f>
        <v/>
      </c>
    </row>
    <row r="1569" customFormat="false" ht="15" hidden="false" customHeight="false" outlineLevel="0" collapsed="false">
      <c r="B1569" s="7"/>
      <c r="C1569" s="5"/>
      <c r="D1569" s="9" t="str">
        <f aca="false">IF(C1569="","",IFERROR(VLOOKUP(C1569,EQUIPOS!$B$3:$C$18,2,0),"NO EXISTE"))</f>
        <v/>
      </c>
      <c r="E1569" s="9" t="str">
        <f aca="false">IF(C1569="","",IFERROR(VLOOKUP(C1569,EQUIPOS!$B$3:$F$18,5,0),""))</f>
        <v/>
      </c>
      <c r="F1569" s="5" t="str">
        <f aca="false">IF(C1569="","",IFERROR(VLOOKUP(C1569,EQUIPOS!$B$3:$G$18,6,0),""))</f>
        <v/>
      </c>
      <c r="G1569" s="8"/>
      <c r="H1569" s="5"/>
      <c r="I1569" s="5"/>
      <c r="J1569" s="9"/>
      <c r="K1569" s="17" t="str">
        <f aca="false">IF(H1569="","",IFERROR(SUMIFS(BD_PLAN!$I$3:$I$312,BD_PLAN!$B$3:$B$312,E1569,BD_PLAN!$C$3:$C$312,INDEX(BD_CICLO!$F$3:$F$54,MATCH(E1569&amp;"|"&amp;H1569,BD_CICLO!$G$3:$G$54,0))),""))</f>
        <v/>
      </c>
      <c r="L1569" s="9"/>
      <c r="M1569" s="9"/>
      <c r="N1569" s="1" t="str">
        <f aca="false">IF(C1569="","",C1569&amp;"|"&amp;COUNTIF(C$3:C1569,C1569))</f>
        <v/>
      </c>
      <c r="O1569" s="1" t="str">
        <f aca="false">IF(OR(C1569="",M1569=""),"",C1569&amp;"|"&amp;COUNTIFS(C$3:C1569,C1569,M$3:M1569,"&lt;&gt;"))</f>
        <v/>
      </c>
    </row>
    <row r="1570" customFormat="false" ht="15" hidden="false" customHeight="false" outlineLevel="0" collapsed="false">
      <c r="B1570" s="7"/>
      <c r="C1570" s="5"/>
      <c r="D1570" s="9" t="str">
        <f aca="false">IF(C1570="","",IFERROR(VLOOKUP(C1570,EQUIPOS!$B$3:$C$18,2,0),"NO EXISTE"))</f>
        <v/>
      </c>
      <c r="E1570" s="9" t="str">
        <f aca="false">IF(C1570="","",IFERROR(VLOOKUP(C1570,EQUIPOS!$B$3:$F$18,5,0),""))</f>
        <v/>
      </c>
      <c r="F1570" s="5" t="str">
        <f aca="false">IF(C1570="","",IFERROR(VLOOKUP(C1570,EQUIPOS!$B$3:$G$18,6,0),""))</f>
        <v/>
      </c>
      <c r="G1570" s="8"/>
      <c r="H1570" s="5"/>
      <c r="I1570" s="5"/>
      <c r="J1570" s="9"/>
      <c r="K1570" s="17" t="str">
        <f aca="false">IF(H1570="","",IFERROR(SUMIFS(BD_PLAN!$I$3:$I$312,BD_PLAN!$B$3:$B$312,E1570,BD_PLAN!$C$3:$C$312,INDEX(BD_CICLO!$F$3:$F$54,MATCH(E1570&amp;"|"&amp;H1570,BD_CICLO!$G$3:$G$54,0))),""))</f>
        <v/>
      </c>
      <c r="L1570" s="9"/>
      <c r="M1570" s="9"/>
      <c r="N1570" s="1" t="str">
        <f aca="false">IF(C1570="","",C1570&amp;"|"&amp;COUNTIF(C$3:C1570,C1570))</f>
        <v/>
      </c>
      <c r="O1570" s="1" t="str">
        <f aca="false">IF(OR(C1570="",M1570=""),"",C1570&amp;"|"&amp;COUNTIFS(C$3:C1570,C1570,M$3:M1570,"&lt;&gt;"))</f>
        <v/>
      </c>
    </row>
    <row r="1571" customFormat="false" ht="15" hidden="false" customHeight="false" outlineLevel="0" collapsed="false">
      <c r="B1571" s="7"/>
      <c r="C1571" s="5"/>
      <c r="D1571" s="9" t="str">
        <f aca="false">IF(C1571="","",IFERROR(VLOOKUP(C1571,EQUIPOS!$B$3:$C$18,2,0),"NO EXISTE"))</f>
        <v/>
      </c>
      <c r="E1571" s="9" t="str">
        <f aca="false">IF(C1571="","",IFERROR(VLOOKUP(C1571,EQUIPOS!$B$3:$F$18,5,0),""))</f>
        <v/>
      </c>
      <c r="F1571" s="5" t="str">
        <f aca="false">IF(C1571="","",IFERROR(VLOOKUP(C1571,EQUIPOS!$B$3:$G$18,6,0),""))</f>
        <v/>
      </c>
      <c r="G1571" s="8"/>
      <c r="H1571" s="5"/>
      <c r="I1571" s="5"/>
      <c r="J1571" s="9"/>
      <c r="K1571" s="17" t="str">
        <f aca="false">IF(H1571="","",IFERROR(SUMIFS(BD_PLAN!$I$3:$I$312,BD_PLAN!$B$3:$B$312,E1571,BD_PLAN!$C$3:$C$312,INDEX(BD_CICLO!$F$3:$F$54,MATCH(E1571&amp;"|"&amp;H1571,BD_CICLO!$G$3:$G$54,0))),""))</f>
        <v/>
      </c>
      <c r="L1571" s="9"/>
      <c r="M1571" s="9"/>
      <c r="N1571" s="1" t="str">
        <f aca="false">IF(C1571="","",C1571&amp;"|"&amp;COUNTIF(C$3:C1571,C1571))</f>
        <v/>
      </c>
      <c r="O1571" s="1" t="str">
        <f aca="false">IF(OR(C1571="",M1571=""),"",C1571&amp;"|"&amp;COUNTIFS(C$3:C1571,C1571,M$3:M1571,"&lt;&gt;"))</f>
        <v/>
      </c>
    </row>
    <row r="1572" customFormat="false" ht="15" hidden="false" customHeight="false" outlineLevel="0" collapsed="false">
      <c r="B1572" s="7"/>
      <c r="C1572" s="5"/>
      <c r="D1572" s="9" t="str">
        <f aca="false">IF(C1572="","",IFERROR(VLOOKUP(C1572,EQUIPOS!$B$3:$C$18,2,0),"NO EXISTE"))</f>
        <v/>
      </c>
      <c r="E1572" s="9" t="str">
        <f aca="false">IF(C1572="","",IFERROR(VLOOKUP(C1572,EQUIPOS!$B$3:$F$18,5,0),""))</f>
        <v/>
      </c>
      <c r="F1572" s="5" t="str">
        <f aca="false">IF(C1572="","",IFERROR(VLOOKUP(C1572,EQUIPOS!$B$3:$G$18,6,0),""))</f>
        <v/>
      </c>
      <c r="G1572" s="8"/>
      <c r="H1572" s="5"/>
      <c r="I1572" s="5"/>
      <c r="J1572" s="9"/>
      <c r="K1572" s="17" t="str">
        <f aca="false">IF(H1572="","",IFERROR(SUMIFS(BD_PLAN!$I$3:$I$312,BD_PLAN!$B$3:$B$312,E1572,BD_PLAN!$C$3:$C$312,INDEX(BD_CICLO!$F$3:$F$54,MATCH(E1572&amp;"|"&amp;H1572,BD_CICLO!$G$3:$G$54,0))),""))</f>
        <v/>
      </c>
      <c r="L1572" s="9"/>
      <c r="M1572" s="9"/>
      <c r="N1572" s="1" t="str">
        <f aca="false">IF(C1572="","",C1572&amp;"|"&amp;COUNTIF(C$3:C1572,C1572))</f>
        <v/>
      </c>
      <c r="O1572" s="1" t="str">
        <f aca="false">IF(OR(C1572="",M1572=""),"",C1572&amp;"|"&amp;COUNTIFS(C$3:C1572,C1572,M$3:M1572,"&lt;&gt;"))</f>
        <v/>
      </c>
    </row>
    <row r="1573" customFormat="false" ht="15" hidden="false" customHeight="false" outlineLevel="0" collapsed="false">
      <c r="B1573" s="7"/>
      <c r="C1573" s="5"/>
      <c r="D1573" s="9" t="str">
        <f aca="false">IF(C1573="","",IFERROR(VLOOKUP(C1573,EQUIPOS!$B$3:$C$18,2,0),"NO EXISTE"))</f>
        <v/>
      </c>
      <c r="E1573" s="9" t="str">
        <f aca="false">IF(C1573="","",IFERROR(VLOOKUP(C1573,EQUIPOS!$B$3:$F$18,5,0),""))</f>
        <v/>
      </c>
      <c r="F1573" s="5" t="str">
        <f aca="false">IF(C1573="","",IFERROR(VLOOKUP(C1573,EQUIPOS!$B$3:$G$18,6,0),""))</f>
        <v/>
      </c>
      <c r="G1573" s="8"/>
      <c r="H1573" s="5"/>
      <c r="I1573" s="5"/>
      <c r="J1573" s="9"/>
      <c r="K1573" s="17" t="str">
        <f aca="false">IF(H1573="","",IFERROR(SUMIFS(BD_PLAN!$I$3:$I$312,BD_PLAN!$B$3:$B$312,E1573,BD_PLAN!$C$3:$C$312,INDEX(BD_CICLO!$F$3:$F$54,MATCH(E1573&amp;"|"&amp;H1573,BD_CICLO!$G$3:$G$54,0))),""))</f>
        <v/>
      </c>
      <c r="L1573" s="9"/>
      <c r="M1573" s="9"/>
      <c r="N1573" s="1" t="str">
        <f aca="false">IF(C1573="","",C1573&amp;"|"&amp;COUNTIF(C$3:C1573,C1573))</f>
        <v/>
      </c>
      <c r="O1573" s="1" t="str">
        <f aca="false">IF(OR(C1573="",M1573=""),"",C1573&amp;"|"&amp;COUNTIFS(C$3:C1573,C1573,M$3:M1573,"&lt;&gt;"))</f>
        <v/>
      </c>
    </row>
    <row r="1574" customFormat="false" ht="15" hidden="false" customHeight="false" outlineLevel="0" collapsed="false">
      <c r="B1574" s="7"/>
      <c r="C1574" s="5"/>
      <c r="D1574" s="9" t="str">
        <f aca="false">IF(C1574="","",IFERROR(VLOOKUP(C1574,EQUIPOS!$B$3:$C$18,2,0),"NO EXISTE"))</f>
        <v/>
      </c>
      <c r="E1574" s="9" t="str">
        <f aca="false">IF(C1574="","",IFERROR(VLOOKUP(C1574,EQUIPOS!$B$3:$F$18,5,0),""))</f>
        <v/>
      </c>
      <c r="F1574" s="5" t="str">
        <f aca="false">IF(C1574="","",IFERROR(VLOOKUP(C1574,EQUIPOS!$B$3:$G$18,6,0),""))</f>
        <v/>
      </c>
      <c r="G1574" s="8"/>
      <c r="H1574" s="5"/>
      <c r="I1574" s="5"/>
      <c r="J1574" s="9"/>
      <c r="K1574" s="17" t="str">
        <f aca="false">IF(H1574="","",IFERROR(SUMIFS(BD_PLAN!$I$3:$I$312,BD_PLAN!$B$3:$B$312,E1574,BD_PLAN!$C$3:$C$312,INDEX(BD_CICLO!$F$3:$F$54,MATCH(E1574&amp;"|"&amp;H1574,BD_CICLO!$G$3:$G$54,0))),""))</f>
        <v/>
      </c>
      <c r="L1574" s="9"/>
      <c r="M1574" s="9"/>
      <c r="N1574" s="1" t="str">
        <f aca="false">IF(C1574="","",C1574&amp;"|"&amp;COUNTIF(C$3:C1574,C1574))</f>
        <v/>
      </c>
      <c r="O1574" s="1" t="str">
        <f aca="false">IF(OR(C1574="",M1574=""),"",C1574&amp;"|"&amp;COUNTIFS(C$3:C1574,C1574,M$3:M1574,"&lt;&gt;"))</f>
        <v/>
      </c>
    </row>
    <row r="1575" customFormat="false" ht="15" hidden="false" customHeight="false" outlineLevel="0" collapsed="false">
      <c r="B1575" s="7"/>
      <c r="C1575" s="5"/>
      <c r="D1575" s="9" t="str">
        <f aca="false">IF(C1575="","",IFERROR(VLOOKUP(C1575,EQUIPOS!$B$3:$C$18,2,0),"NO EXISTE"))</f>
        <v/>
      </c>
      <c r="E1575" s="9" t="str">
        <f aca="false">IF(C1575="","",IFERROR(VLOOKUP(C1575,EQUIPOS!$B$3:$F$18,5,0),""))</f>
        <v/>
      </c>
      <c r="F1575" s="5" t="str">
        <f aca="false">IF(C1575="","",IFERROR(VLOOKUP(C1575,EQUIPOS!$B$3:$G$18,6,0),""))</f>
        <v/>
      </c>
      <c r="G1575" s="8"/>
      <c r="H1575" s="5"/>
      <c r="I1575" s="5"/>
      <c r="J1575" s="9"/>
      <c r="K1575" s="17" t="str">
        <f aca="false">IF(H1575="","",IFERROR(SUMIFS(BD_PLAN!$I$3:$I$312,BD_PLAN!$B$3:$B$312,E1575,BD_PLAN!$C$3:$C$312,INDEX(BD_CICLO!$F$3:$F$54,MATCH(E1575&amp;"|"&amp;H1575,BD_CICLO!$G$3:$G$54,0))),""))</f>
        <v/>
      </c>
      <c r="L1575" s="9"/>
      <c r="M1575" s="9"/>
      <c r="N1575" s="1" t="str">
        <f aca="false">IF(C1575="","",C1575&amp;"|"&amp;COUNTIF(C$3:C1575,C1575))</f>
        <v/>
      </c>
      <c r="O1575" s="1" t="str">
        <f aca="false">IF(OR(C1575="",M1575=""),"",C1575&amp;"|"&amp;COUNTIFS(C$3:C1575,C1575,M$3:M1575,"&lt;&gt;"))</f>
        <v/>
      </c>
    </row>
    <row r="1576" customFormat="false" ht="15" hidden="false" customHeight="false" outlineLevel="0" collapsed="false">
      <c r="B1576" s="7"/>
      <c r="C1576" s="5"/>
      <c r="D1576" s="9" t="str">
        <f aca="false">IF(C1576="","",IFERROR(VLOOKUP(C1576,EQUIPOS!$B$3:$C$18,2,0),"NO EXISTE"))</f>
        <v/>
      </c>
      <c r="E1576" s="9" t="str">
        <f aca="false">IF(C1576="","",IFERROR(VLOOKUP(C1576,EQUIPOS!$B$3:$F$18,5,0),""))</f>
        <v/>
      </c>
      <c r="F1576" s="5" t="str">
        <f aca="false">IF(C1576="","",IFERROR(VLOOKUP(C1576,EQUIPOS!$B$3:$G$18,6,0),""))</f>
        <v/>
      </c>
      <c r="G1576" s="8"/>
      <c r="H1576" s="5"/>
      <c r="I1576" s="5"/>
      <c r="J1576" s="9"/>
      <c r="K1576" s="17" t="str">
        <f aca="false">IF(H1576="","",IFERROR(SUMIFS(BD_PLAN!$I$3:$I$312,BD_PLAN!$B$3:$B$312,E1576,BD_PLAN!$C$3:$C$312,INDEX(BD_CICLO!$F$3:$F$54,MATCH(E1576&amp;"|"&amp;H1576,BD_CICLO!$G$3:$G$54,0))),""))</f>
        <v/>
      </c>
      <c r="L1576" s="9"/>
      <c r="M1576" s="9"/>
      <c r="N1576" s="1" t="str">
        <f aca="false">IF(C1576="","",C1576&amp;"|"&amp;COUNTIF(C$3:C1576,C1576))</f>
        <v/>
      </c>
      <c r="O1576" s="1" t="str">
        <f aca="false">IF(OR(C1576="",M1576=""),"",C1576&amp;"|"&amp;COUNTIFS(C$3:C1576,C1576,M$3:M1576,"&lt;&gt;"))</f>
        <v/>
      </c>
    </row>
    <row r="1577" customFormat="false" ht="15" hidden="false" customHeight="false" outlineLevel="0" collapsed="false">
      <c r="B1577" s="7"/>
      <c r="C1577" s="5"/>
      <c r="D1577" s="9" t="str">
        <f aca="false">IF(C1577="","",IFERROR(VLOOKUP(C1577,EQUIPOS!$B$3:$C$18,2,0),"NO EXISTE"))</f>
        <v/>
      </c>
      <c r="E1577" s="9" t="str">
        <f aca="false">IF(C1577="","",IFERROR(VLOOKUP(C1577,EQUIPOS!$B$3:$F$18,5,0),""))</f>
        <v/>
      </c>
      <c r="F1577" s="5" t="str">
        <f aca="false">IF(C1577="","",IFERROR(VLOOKUP(C1577,EQUIPOS!$B$3:$G$18,6,0),""))</f>
        <v/>
      </c>
      <c r="G1577" s="8"/>
      <c r="H1577" s="5"/>
      <c r="I1577" s="5"/>
      <c r="J1577" s="9"/>
      <c r="K1577" s="17" t="str">
        <f aca="false">IF(H1577="","",IFERROR(SUMIFS(BD_PLAN!$I$3:$I$312,BD_PLAN!$B$3:$B$312,E1577,BD_PLAN!$C$3:$C$312,INDEX(BD_CICLO!$F$3:$F$54,MATCH(E1577&amp;"|"&amp;H1577,BD_CICLO!$G$3:$G$54,0))),""))</f>
        <v/>
      </c>
      <c r="L1577" s="9"/>
      <c r="M1577" s="9"/>
      <c r="N1577" s="1" t="str">
        <f aca="false">IF(C1577="","",C1577&amp;"|"&amp;COUNTIF(C$3:C1577,C1577))</f>
        <v/>
      </c>
      <c r="O1577" s="1" t="str">
        <f aca="false">IF(OR(C1577="",M1577=""),"",C1577&amp;"|"&amp;COUNTIFS(C$3:C1577,C1577,M$3:M1577,"&lt;&gt;"))</f>
        <v/>
      </c>
    </row>
    <row r="1578" customFormat="false" ht="15" hidden="false" customHeight="false" outlineLevel="0" collapsed="false">
      <c r="B1578" s="7"/>
      <c r="C1578" s="5"/>
      <c r="D1578" s="9" t="str">
        <f aca="false">IF(C1578="","",IFERROR(VLOOKUP(C1578,EQUIPOS!$B$3:$C$18,2,0),"NO EXISTE"))</f>
        <v/>
      </c>
      <c r="E1578" s="9" t="str">
        <f aca="false">IF(C1578="","",IFERROR(VLOOKUP(C1578,EQUIPOS!$B$3:$F$18,5,0),""))</f>
        <v/>
      </c>
      <c r="F1578" s="5" t="str">
        <f aca="false">IF(C1578="","",IFERROR(VLOOKUP(C1578,EQUIPOS!$B$3:$G$18,6,0),""))</f>
        <v/>
      </c>
      <c r="G1578" s="8"/>
      <c r="H1578" s="5"/>
      <c r="I1578" s="5"/>
      <c r="J1578" s="9"/>
      <c r="K1578" s="17" t="str">
        <f aca="false">IF(H1578="","",IFERROR(SUMIFS(BD_PLAN!$I$3:$I$312,BD_PLAN!$B$3:$B$312,E1578,BD_PLAN!$C$3:$C$312,INDEX(BD_CICLO!$F$3:$F$54,MATCH(E1578&amp;"|"&amp;H1578,BD_CICLO!$G$3:$G$54,0))),""))</f>
        <v/>
      </c>
      <c r="L1578" s="9"/>
      <c r="M1578" s="9"/>
      <c r="N1578" s="1" t="str">
        <f aca="false">IF(C1578="","",C1578&amp;"|"&amp;COUNTIF(C$3:C1578,C1578))</f>
        <v/>
      </c>
      <c r="O1578" s="1" t="str">
        <f aca="false">IF(OR(C1578="",M1578=""),"",C1578&amp;"|"&amp;COUNTIFS(C$3:C1578,C1578,M$3:M1578,"&lt;&gt;"))</f>
        <v/>
      </c>
    </row>
    <row r="1579" customFormat="false" ht="15" hidden="false" customHeight="false" outlineLevel="0" collapsed="false">
      <c r="B1579" s="7"/>
      <c r="C1579" s="5"/>
      <c r="D1579" s="9" t="str">
        <f aca="false">IF(C1579="","",IFERROR(VLOOKUP(C1579,EQUIPOS!$B$3:$C$18,2,0),"NO EXISTE"))</f>
        <v/>
      </c>
      <c r="E1579" s="9" t="str">
        <f aca="false">IF(C1579="","",IFERROR(VLOOKUP(C1579,EQUIPOS!$B$3:$F$18,5,0),""))</f>
        <v/>
      </c>
      <c r="F1579" s="5" t="str">
        <f aca="false">IF(C1579="","",IFERROR(VLOOKUP(C1579,EQUIPOS!$B$3:$G$18,6,0),""))</f>
        <v/>
      </c>
      <c r="G1579" s="8"/>
      <c r="H1579" s="5"/>
      <c r="I1579" s="5"/>
      <c r="J1579" s="9"/>
      <c r="K1579" s="17" t="str">
        <f aca="false">IF(H1579="","",IFERROR(SUMIFS(BD_PLAN!$I$3:$I$312,BD_PLAN!$B$3:$B$312,E1579,BD_PLAN!$C$3:$C$312,INDEX(BD_CICLO!$F$3:$F$54,MATCH(E1579&amp;"|"&amp;H1579,BD_CICLO!$G$3:$G$54,0))),""))</f>
        <v/>
      </c>
      <c r="L1579" s="9"/>
      <c r="M1579" s="9"/>
      <c r="N1579" s="1" t="str">
        <f aca="false">IF(C1579="","",C1579&amp;"|"&amp;COUNTIF(C$3:C1579,C1579))</f>
        <v/>
      </c>
      <c r="O1579" s="1" t="str">
        <f aca="false">IF(OR(C1579="",M1579=""),"",C1579&amp;"|"&amp;COUNTIFS(C$3:C1579,C1579,M$3:M1579,"&lt;&gt;"))</f>
        <v/>
      </c>
    </row>
    <row r="1580" customFormat="false" ht="15" hidden="false" customHeight="false" outlineLevel="0" collapsed="false">
      <c r="B1580" s="7"/>
      <c r="C1580" s="5"/>
      <c r="D1580" s="9" t="str">
        <f aca="false">IF(C1580="","",IFERROR(VLOOKUP(C1580,EQUIPOS!$B$3:$C$18,2,0),"NO EXISTE"))</f>
        <v/>
      </c>
      <c r="E1580" s="9" t="str">
        <f aca="false">IF(C1580="","",IFERROR(VLOOKUP(C1580,EQUIPOS!$B$3:$F$18,5,0),""))</f>
        <v/>
      </c>
      <c r="F1580" s="5" t="str">
        <f aca="false">IF(C1580="","",IFERROR(VLOOKUP(C1580,EQUIPOS!$B$3:$G$18,6,0),""))</f>
        <v/>
      </c>
      <c r="G1580" s="8"/>
      <c r="H1580" s="5"/>
      <c r="I1580" s="5"/>
      <c r="J1580" s="9"/>
      <c r="K1580" s="17" t="str">
        <f aca="false">IF(H1580="","",IFERROR(SUMIFS(BD_PLAN!$I$3:$I$312,BD_PLAN!$B$3:$B$312,E1580,BD_PLAN!$C$3:$C$312,INDEX(BD_CICLO!$F$3:$F$54,MATCH(E1580&amp;"|"&amp;H1580,BD_CICLO!$G$3:$G$54,0))),""))</f>
        <v/>
      </c>
      <c r="L1580" s="9"/>
      <c r="M1580" s="9"/>
      <c r="N1580" s="1" t="str">
        <f aca="false">IF(C1580="","",C1580&amp;"|"&amp;COUNTIF(C$3:C1580,C1580))</f>
        <v/>
      </c>
      <c r="O1580" s="1" t="str">
        <f aca="false">IF(OR(C1580="",M1580=""),"",C1580&amp;"|"&amp;COUNTIFS(C$3:C1580,C1580,M$3:M1580,"&lt;&gt;"))</f>
        <v/>
      </c>
    </row>
    <row r="1581" customFormat="false" ht="15" hidden="false" customHeight="false" outlineLevel="0" collapsed="false">
      <c r="B1581" s="7"/>
      <c r="C1581" s="5"/>
      <c r="D1581" s="9" t="str">
        <f aca="false">IF(C1581="","",IFERROR(VLOOKUP(C1581,EQUIPOS!$B$3:$C$18,2,0),"NO EXISTE"))</f>
        <v/>
      </c>
      <c r="E1581" s="9" t="str">
        <f aca="false">IF(C1581="","",IFERROR(VLOOKUP(C1581,EQUIPOS!$B$3:$F$18,5,0),""))</f>
        <v/>
      </c>
      <c r="F1581" s="5" t="str">
        <f aca="false">IF(C1581="","",IFERROR(VLOOKUP(C1581,EQUIPOS!$B$3:$G$18,6,0),""))</f>
        <v/>
      </c>
      <c r="G1581" s="8"/>
      <c r="H1581" s="5"/>
      <c r="I1581" s="5"/>
      <c r="J1581" s="9"/>
      <c r="K1581" s="17" t="str">
        <f aca="false">IF(H1581="","",IFERROR(SUMIFS(BD_PLAN!$I$3:$I$312,BD_PLAN!$B$3:$B$312,E1581,BD_PLAN!$C$3:$C$312,INDEX(BD_CICLO!$F$3:$F$54,MATCH(E1581&amp;"|"&amp;H1581,BD_CICLO!$G$3:$G$54,0))),""))</f>
        <v/>
      </c>
      <c r="L1581" s="9"/>
      <c r="M1581" s="9"/>
      <c r="N1581" s="1" t="str">
        <f aca="false">IF(C1581="","",C1581&amp;"|"&amp;COUNTIF(C$3:C1581,C1581))</f>
        <v/>
      </c>
      <c r="O1581" s="1" t="str">
        <f aca="false">IF(OR(C1581="",M1581=""),"",C1581&amp;"|"&amp;COUNTIFS(C$3:C1581,C1581,M$3:M1581,"&lt;&gt;"))</f>
        <v/>
      </c>
    </row>
    <row r="1582" customFormat="false" ht="15" hidden="false" customHeight="false" outlineLevel="0" collapsed="false">
      <c r="B1582" s="7"/>
      <c r="C1582" s="5"/>
      <c r="D1582" s="9" t="str">
        <f aca="false">IF(C1582="","",IFERROR(VLOOKUP(C1582,EQUIPOS!$B$3:$C$18,2,0),"NO EXISTE"))</f>
        <v/>
      </c>
      <c r="E1582" s="9" t="str">
        <f aca="false">IF(C1582="","",IFERROR(VLOOKUP(C1582,EQUIPOS!$B$3:$F$18,5,0),""))</f>
        <v/>
      </c>
      <c r="F1582" s="5" t="str">
        <f aca="false">IF(C1582="","",IFERROR(VLOOKUP(C1582,EQUIPOS!$B$3:$G$18,6,0),""))</f>
        <v/>
      </c>
      <c r="G1582" s="8"/>
      <c r="H1582" s="5"/>
      <c r="I1582" s="5"/>
      <c r="J1582" s="9"/>
      <c r="K1582" s="17" t="str">
        <f aca="false">IF(H1582="","",IFERROR(SUMIFS(BD_PLAN!$I$3:$I$312,BD_PLAN!$B$3:$B$312,E1582,BD_PLAN!$C$3:$C$312,INDEX(BD_CICLO!$F$3:$F$54,MATCH(E1582&amp;"|"&amp;H1582,BD_CICLO!$G$3:$G$54,0))),""))</f>
        <v/>
      </c>
      <c r="L1582" s="9"/>
      <c r="M1582" s="9"/>
      <c r="N1582" s="1" t="str">
        <f aca="false">IF(C1582="","",C1582&amp;"|"&amp;COUNTIF(C$3:C1582,C1582))</f>
        <v/>
      </c>
      <c r="O1582" s="1" t="str">
        <f aca="false">IF(OR(C1582="",M1582=""),"",C1582&amp;"|"&amp;COUNTIFS(C$3:C1582,C1582,M$3:M1582,"&lt;&gt;"))</f>
        <v/>
      </c>
    </row>
    <row r="1583" customFormat="false" ht="15" hidden="false" customHeight="false" outlineLevel="0" collapsed="false">
      <c r="B1583" s="7"/>
      <c r="C1583" s="5"/>
      <c r="D1583" s="9" t="str">
        <f aca="false">IF(C1583="","",IFERROR(VLOOKUP(C1583,EQUIPOS!$B$3:$C$18,2,0),"NO EXISTE"))</f>
        <v/>
      </c>
      <c r="E1583" s="9" t="str">
        <f aca="false">IF(C1583="","",IFERROR(VLOOKUP(C1583,EQUIPOS!$B$3:$F$18,5,0),""))</f>
        <v/>
      </c>
      <c r="F1583" s="5" t="str">
        <f aca="false">IF(C1583="","",IFERROR(VLOOKUP(C1583,EQUIPOS!$B$3:$G$18,6,0),""))</f>
        <v/>
      </c>
      <c r="G1583" s="8"/>
      <c r="H1583" s="5"/>
      <c r="I1583" s="5"/>
      <c r="J1583" s="9"/>
      <c r="K1583" s="17" t="str">
        <f aca="false">IF(H1583="","",IFERROR(SUMIFS(BD_PLAN!$I$3:$I$312,BD_PLAN!$B$3:$B$312,E1583,BD_PLAN!$C$3:$C$312,INDEX(BD_CICLO!$F$3:$F$54,MATCH(E1583&amp;"|"&amp;H1583,BD_CICLO!$G$3:$G$54,0))),""))</f>
        <v/>
      </c>
      <c r="L1583" s="9"/>
      <c r="M1583" s="9"/>
      <c r="N1583" s="1" t="str">
        <f aca="false">IF(C1583="","",C1583&amp;"|"&amp;COUNTIF(C$3:C1583,C1583))</f>
        <v/>
      </c>
      <c r="O1583" s="1" t="str">
        <f aca="false">IF(OR(C1583="",M1583=""),"",C1583&amp;"|"&amp;COUNTIFS(C$3:C1583,C1583,M$3:M1583,"&lt;&gt;"))</f>
        <v/>
      </c>
    </row>
    <row r="1584" customFormat="false" ht="15" hidden="false" customHeight="false" outlineLevel="0" collapsed="false">
      <c r="B1584" s="7"/>
      <c r="C1584" s="5"/>
      <c r="D1584" s="9" t="str">
        <f aca="false">IF(C1584="","",IFERROR(VLOOKUP(C1584,EQUIPOS!$B$3:$C$18,2,0),"NO EXISTE"))</f>
        <v/>
      </c>
      <c r="E1584" s="9" t="str">
        <f aca="false">IF(C1584="","",IFERROR(VLOOKUP(C1584,EQUIPOS!$B$3:$F$18,5,0),""))</f>
        <v/>
      </c>
      <c r="F1584" s="5" t="str">
        <f aca="false">IF(C1584="","",IFERROR(VLOOKUP(C1584,EQUIPOS!$B$3:$G$18,6,0),""))</f>
        <v/>
      </c>
      <c r="G1584" s="8"/>
      <c r="H1584" s="5"/>
      <c r="I1584" s="5"/>
      <c r="J1584" s="9"/>
      <c r="K1584" s="17" t="str">
        <f aca="false">IF(H1584="","",IFERROR(SUMIFS(BD_PLAN!$I$3:$I$312,BD_PLAN!$B$3:$B$312,E1584,BD_PLAN!$C$3:$C$312,INDEX(BD_CICLO!$F$3:$F$54,MATCH(E1584&amp;"|"&amp;H1584,BD_CICLO!$G$3:$G$54,0))),""))</f>
        <v/>
      </c>
      <c r="L1584" s="9"/>
      <c r="M1584" s="9"/>
      <c r="N1584" s="1" t="str">
        <f aca="false">IF(C1584="","",C1584&amp;"|"&amp;COUNTIF(C$3:C1584,C1584))</f>
        <v/>
      </c>
      <c r="O1584" s="1" t="str">
        <f aca="false">IF(OR(C1584="",M1584=""),"",C1584&amp;"|"&amp;COUNTIFS(C$3:C1584,C1584,M$3:M1584,"&lt;&gt;"))</f>
        <v/>
      </c>
    </row>
    <row r="1585" customFormat="false" ht="15" hidden="false" customHeight="false" outlineLevel="0" collapsed="false">
      <c r="B1585" s="7"/>
      <c r="C1585" s="5"/>
      <c r="D1585" s="9" t="str">
        <f aca="false">IF(C1585="","",IFERROR(VLOOKUP(C1585,EQUIPOS!$B$3:$C$18,2,0),"NO EXISTE"))</f>
        <v/>
      </c>
      <c r="E1585" s="9" t="str">
        <f aca="false">IF(C1585="","",IFERROR(VLOOKUP(C1585,EQUIPOS!$B$3:$F$18,5,0),""))</f>
        <v/>
      </c>
      <c r="F1585" s="5" t="str">
        <f aca="false">IF(C1585="","",IFERROR(VLOOKUP(C1585,EQUIPOS!$B$3:$G$18,6,0),""))</f>
        <v/>
      </c>
      <c r="G1585" s="8"/>
      <c r="H1585" s="5"/>
      <c r="I1585" s="5"/>
      <c r="J1585" s="9"/>
      <c r="K1585" s="17" t="str">
        <f aca="false">IF(H1585="","",IFERROR(SUMIFS(BD_PLAN!$I$3:$I$312,BD_PLAN!$B$3:$B$312,E1585,BD_PLAN!$C$3:$C$312,INDEX(BD_CICLO!$F$3:$F$54,MATCH(E1585&amp;"|"&amp;H1585,BD_CICLO!$G$3:$G$54,0))),""))</f>
        <v/>
      </c>
      <c r="L1585" s="9"/>
      <c r="M1585" s="9"/>
      <c r="N1585" s="1" t="str">
        <f aca="false">IF(C1585="","",C1585&amp;"|"&amp;COUNTIF(C$3:C1585,C1585))</f>
        <v/>
      </c>
      <c r="O1585" s="1" t="str">
        <f aca="false">IF(OR(C1585="",M1585=""),"",C1585&amp;"|"&amp;COUNTIFS(C$3:C1585,C1585,M$3:M1585,"&lt;&gt;"))</f>
        <v/>
      </c>
    </row>
    <row r="1586" customFormat="false" ht="15" hidden="false" customHeight="false" outlineLevel="0" collapsed="false">
      <c r="B1586" s="7"/>
      <c r="C1586" s="5"/>
      <c r="D1586" s="9" t="str">
        <f aca="false">IF(C1586="","",IFERROR(VLOOKUP(C1586,EQUIPOS!$B$3:$C$18,2,0),"NO EXISTE"))</f>
        <v/>
      </c>
      <c r="E1586" s="9" t="str">
        <f aca="false">IF(C1586="","",IFERROR(VLOOKUP(C1586,EQUIPOS!$B$3:$F$18,5,0),""))</f>
        <v/>
      </c>
      <c r="F1586" s="5" t="str">
        <f aca="false">IF(C1586="","",IFERROR(VLOOKUP(C1586,EQUIPOS!$B$3:$G$18,6,0),""))</f>
        <v/>
      </c>
      <c r="G1586" s="8"/>
      <c r="H1586" s="5"/>
      <c r="I1586" s="5"/>
      <c r="J1586" s="9"/>
      <c r="K1586" s="17" t="str">
        <f aca="false">IF(H1586="","",IFERROR(SUMIFS(BD_PLAN!$I$3:$I$312,BD_PLAN!$B$3:$B$312,E1586,BD_PLAN!$C$3:$C$312,INDEX(BD_CICLO!$F$3:$F$54,MATCH(E1586&amp;"|"&amp;H1586,BD_CICLO!$G$3:$G$54,0))),""))</f>
        <v/>
      </c>
      <c r="L1586" s="9"/>
      <c r="M1586" s="9"/>
      <c r="N1586" s="1" t="str">
        <f aca="false">IF(C1586="","",C1586&amp;"|"&amp;COUNTIF(C$3:C1586,C1586))</f>
        <v/>
      </c>
      <c r="O1586" s="1" t="str">
        <f aca="false">IF(OR(C1586="",M1586=""),"",C1586&amp;"|"&amp;COUNTIFS(C$3:C1586,C1586,M$3:M1586,"&lt;&gt;"))</f>
        <v/>
      </c>
    </row>
    <row r="1587" customFormat="false" ht="15" hidden="false" customHeight="false" outlineLevel="0" collapsed="false">
      <c r="B1587" s="7"/>
      <c r="C1587" s="5"/>
      <c r="D1587" s="9" t="str">
        <f aca="false">IF(C1587="","",IFERROR(VLOOKUP(C1587,EQUIPOS!$B$3:$C$18,2,0),"NO EXISTE"))</f>
        <v/>
      </c>
      <c r="E1587" s="9" t="str">
        <f aca="false">IF(C1587="","",IFERROR(VLOOKUP(C1587,EQUIPOS!$B$3:$F$18,5,0),""))</f>
        <v/>
      </c>
      <c r="F1587" s="5" t="str">
        <f aca="false">IF(C1587="","",IFERROR(VLOOKUP(C1587,EQUIPOS!$B$3:$G$18,6,0),""))</f>
        <v/>
      </c>
      <c r="G1587" s="8"/>
      <c r="H1587" s="5"/>
      <c r="I1587" s="5"/>
      <c r="J1587" s="9"/>
      <c r="K1587" s="17" t="str">
        <f aca="false">IF(H1587="","",IFERROR(SUMIFS(BD_PLAN!$I$3:$I$312,BD_PLAN!$B$3:$B$312,E1587,BD_PLAN!$C$3:$C$312,INDEX(BD_CICLO!$F$3:$F$54,MATCH(E1587&amp;"|"&amp;H1587,BD_CICLO!$G$3:$G$54,0))),""))</f>
        <v/>
      </c>
      <c r="L1587" s="9"/>
      <c r="M1587" s="9"/>
      <c r="N1587" s="1" t="str">
        <f aca="false">IF(C1587="","",C1587&amp;"|"&amp;COUNTIF(C$3:C1587,C1587))</f>
        <v/>
      </c>
      <c r="O1587" s="1" t="str">
        <f aca="false">IF(OR(C1587="",M1587=""),"",C1587&amp;"|"&amp;COUNTIFS(C$3:C1587,C1587,M$3:M1587,"&lt;&gt;"))</f>
        <v/>
      </c>
    </row>
    <row r="1588" customFormat="false" ht="15" hidden="false" customHeight="false" outlineLevel="0" collapsed="false">
      <c r="B1588" s="7"/>
      <c r="C1588" s="5"/>
      <c r="D1588" s="9" t="str">
        <f aca="false">IF(C1588="","",IFERROR(VLOOKUP(C1588,EQUIPOS!$B$3:$C$18,2,0),"NO EXISTE"))</f>
        <v/>
      </c>
      <c r="E1588" s="9" t="str">
        <f aca="false">IF(C1588="","",IFERROR(VLOOKUP(C1588,EQUIPOS!$B$3:$F$18,5,0),""))</f>
        <v/>
      </c>
      <c r="F1588" s="5" t="str">
        <f aca="false">IF(C1588="","",IFERROR(VLOOKUP(C1588,EQUIPOS!$B$3:$G$18,6,0),""))</f>
        <v/>
      </c>
      <c r="G1588" s="8"/>
      <c r="H1588" s="5"/>
      <c r="I1588" s="5"/>
      <c r="J1588" s="9"/>
      <c r="K1588" s="17" t="str">
        <f aca="false">IF(H1588="","",IFERROR(SUMIFS(BD_PLAN!$I$3:$I$312,BD_PLAN!$B$3:$B$312,E1588,BD_PLAN!$C$3:$C$312,INDEX(BD_CICLO!$F$3:$F$54,MATCH(E1588&amp;"|"&amp;H1588,BD_CICLO!$G$3:$G$54,0))),""))</f>
        <v/>
      </c>
      <c r="L1588" s="9"/>
      <c r="M1588" s="9"/>
      <c r="N1588" s="1" t="str">
        <f aca="false">IF(C1588="","",C1588&amp;"|"&amp;COUNTIF(C$3:C1588,C1588))</f>
        <v/>
      </c>
      <c r="O1588" s="1" t="str">
        <f aca="false">IF(OR(C1588="",M1588=""),"",C1588&amp;"|"&amp;COUNTIFS(C$3:C1588,C1588,M$3:M1588,"&lt;&gt;"))</f>
        <v/>
      </c>
    </row>
    <row r="1589" customFormat="false" ht="15" hidden="false" customHeight="false" outlineLevel="0" collapsed="false">
      <c r="B1589" s="7"/>
      <c r="C1589" s="5"/>
      <c r="D1589" s="9" t="str">
        <f aca="false">IF(C1589="","",IFERROR(VLOOKUP(C1589,EQUIPOS!$B$3:$C$18,2,0),"NO EXISTE"))</f>
        <v/>
      </c>
      <c r="E1589" s="9" t="str">
        <f aca="false">IF(C1589="","",IFERROR(VLOOKUP(C1589,EQUIPOS!$B$3:$F$18,5,0),""))</f>
        <v/>
      </c>
      <c r="F1589" s="5" t="str">
        <f aca="false">IF(C1589="","",IFERROR(VLOOKUP(C1589,EQUIPOS!$B$3:$G$18,6,0),""))</f>
        <v/>
      </c>
      <c r="G1589" s="8"/>
      <c r="H1589" s="5"/>
      <c r="I1589" s="5"/>
      <c r="J1589" s="9"/>
      <c r="K1589" s="17" t="str">
        <f aca="false">IF(H1589="","",IFERROR(SUMIFS(BD_PLAN!$I$3:$I$312,BD_PLAN!$B$3:$B$312,E1589,BD_PLAN!$C$3:$C$312,INDEX(BD_CICLO!$F$3:$F$54,MATCH(E1589&amp;"|"&amp;H1589,BD_CICLO!$G$3:$G$54,0))),""))</f>
        <v/>
      </c>
      <c r="L1589" s="9"/>
      <c r="M1589" s="9"/>
      <c r="N1589" s="1" t="str">
        <f aca="false">IF(C1589="","",C1589&amp;"|"&amp;COUNTIF(C$3:C1589,C1589))</f>
        <v/>
      </c>
      <c r="O1589" s="1" t="str">
        <f aca="false">IF(OR(C1589="",M1589=""),"",C1589&amp;"|"&amp;COUNTIFS(C$3:C1589,C1589,M$3:M1589,"&lt;&gt;"))</f>
        <v/>
      </c>
    </row>
    <row r="1590" customFormat="false" ht="15" hidden="false" customHeight="false" outlineLevel="0" collapsed="false">
      <c r="B1590" s="7"/>
      <c r="C1590" s="5"/>
      <c r="D1590" s="9" t="str">
        <f aca="false">IF(C1590="","",IFERROR(VLOOKUP(C1590,EQUIPOS!$B$3:$C$18,2,0),"NO EXISTE"))</f>
        <v/>
      </c>
      <c r="E1590" s="9" t="str">
        <f aca="false">IF(C1590="","",IFERROR(VLOOKUP(C1590,EQUIPOS!$B$3:$F$18,5,0),""))</f>
        <v/>
      </c>
      <c r="F1590" s="5" t="str">
        <f aca="false">IF(C1590="","",IFERROR(VLOOKUP(C1590,EQUIPOS!$B$3:$G$18,6,0),""))</f>
        <v/>
      </c>
      <c r="G1590" s="8"/>
      <c r="H1590" s="5"/>
      <c r="I1590" s="5"/>
      <c r="J1590" s="9"/>
      <c r="K1590" s="17" t="str">
        <f aca="false">IF(H1590="","",IFERROR(SUMIFS(BD_PLAN!$I$3:$I$312,BD_PLAN!$B$3:$B$312,E1590,BD_PLAN!$C$3:$C$312,INDEX(BD_CICLO!$F$3:$F$54,MATCH(E1590&amp;"|"&amp;H1590,BD_CICLO!$G$3:$G$54,0))),""))</f>
        <v/>
      </c>
      <c r="L1590" s="9"/>
      <c r="M1590" s="9"/>
      <c r="N1590" s="1" t="str">
        <f aca="false">IF(C1590="","",C1590&amp;"|"&amp;COUNTIF(C$3:C1590,C1590))</f>
        <v/>
      </c>
      <c r="O1590" s="1" t="str">
        <f aca="false">IF(OR(C1590="",M1590=""),"",C1590&amp;"|"&amp;COUNTIFS(C$3:C1590,C1590,M$3:M1590,"&lt;&gt;"))</f>
        <v/>
      </c>
    </row>
    <row r="1591" customFormat="false" ht="15" hidden="false" customHeight="false" outlineLevel="0" collapsed="false">
      <c r="B1591" s="7"/>
      <c r="C1591" s="5"/>
      <c r="D1591" s="9" t="str">
        <f aca="false">IF(C1591="","",IFERROR(VLOOKUP(C1591,EQUIPOS!$B$3:$C$18,2,0),"NO EXISTE"))</f>
        <v/>
      </c>
      <c r="E1591" s="9" t="str">
        <f aca="false">IF(C1591="","",IFERROR(VLOOKUP(C1591,EQUIPOS!$B$3:$F$18,5,0),""))</f>
        <v/>
      </c>
      <c r="F1591" s="5" t="str">
        <f aca="false">IF(C1591="","",IFERROR(VLOOKUP(C1591,EQUIPOS!$B$3:$G$18,6,0),""))</f>
        <v/>
      </c>
      <c r="G1591" s="8"/>
      <c r="H1591" s="5"/>
      <c r="I1591" s="5"/>
      <c r="J1591" s="9"/>
      <c r="K1591" s="17" t="str">
        <f aca="false">IF(H1591="","",IFERROR(SUMIFS(BD_PLAN!$I$3:$I$312,BD_PLAN!$B$3:$B$312,E1591,BD_PLAN!$C$3:$C$312,INDEX(BD_CICLO!$F$3:$F$54,MATCH(E1591&amp;"|"&amp;H1591,BD_CICLO!$G$3:$G$54,0))),""))</f>
        <v/>
      </c>
      <c r="L1591" s="9"/>
      <c r="M1591" s="9"/>
      <c r="N1591" s="1" t="str">
        <f aca="false">IF(C1591="","",C1591&amp;"|"&amp;COUNTIF(C$3:C1591,C1591))</f>
        <v/>
      </c>
      <c r="O1591" s="1" t="str">
        <f aca="false">IF(OR(C1591="",M1591=""),"",C1591&amp;"|"&amp;COUNTIFS(C$3:C1591,C1591,M$3:M1591,"&lt;&gt;"))</f>
        <v/>
      </c>
    </row>
    <row r="1592" customFormat="false" ht="15" hidden="false" customHeight="false" outlineLevel="0" collapsed="false">
      <c r="B1592" s="7"/>
      <c r="C1592" s="5"/>
      <c r="D1592" s="9" t="str">
        <f aca="false">IF(C1592="","",IFERROR(VLOOKUP(C1592,EQUIPOS!$B$3:$C$18,2,0),"NO EXISTE"))</f>
        <v/>
      </c>
      <c r="E1592" s="9" t="str">
        <f aca="false">IF(C1592="","",IFERROR(VLOOKUP(C1592,EQUIPOS!$B$3:$F$18,5,0),""))</f>
        <v/>
      </c>
      <c r="F1592" s="5" t="str">
        <f aca="false">IF(C1592="","",IFERROR(VLOOKUP(C1592,EQUIPOS!$B$3:$G$18,6,0),""))</f>
        <v/>
      </c>
      <c r="G1592" s="8"/>
      <c r="H1592" s="5"/>
      <c r="I1592" s="5"/>
      <c r="J1592" s="9"/>
      <c r="K1592" s="17" t="str">
        <f aca="false">IF(H1592="","",IFERROR(SUMIFS(BD_PLAN!$I$3:$I$312,BD_PLAN!$B$3:$B$312,E1592,BD_PLAN!$C$3:$C$312,INDEX(BD_CICLO!$F$3:$F$54,MATCH(E1592&amp;"|"&amp;H1592,BD_CICLO!$G$3:$G$54,0))),""))</f>
        <v/>
      </c>
      <c r="L1592" s="9"/>
      <c r="M1592" s="9"/>
      <c r="N1592" s="1" t="str">
        <f aca="false">IF(C1592="","",C1592&amp;"|"&amp;COUNTIF(C$3:C1592,C1592))</f>
        <v/>
      </c>
      <c r="O1592" s="1" t="str">
        <f aca="false">IF(OR(C1592="",M1592=""),"",C1592&amp;"|"&amp;COUNTIFS(C$3:C1592,C1592,M$3:M1592,"&lt;&gt;"))</f>
        <v/>
      </c>
    </row>
    <row r="1593" customFormat="false" ht="15" hidden="false" customHeight="false" outlineLevel="0" collapsed="false">
      <c r="B1593" s="7"/>
      <c r="C1593" s="5"/>
      <c r="D1593" s="9" t="str">
        <f aca="false">IF(C1593="","",IFERROR(VLOOKUP(C1593,EQUIPOS!$B$3:$C$18,2,0),"NO EXISTE"))</f>
        <v/>
      </c>
      <c r="E1593" s="9" t="str">
        <f aca="false">IF(C1593="","",IFERROR(VLOOKUP(C1593,EQUIPOS!$B$3:$F$18,5,0),""))</f>
        <v/>
      </c>
      <c r="F1593" s="5" t="str">
        <f aca="false">IF(C1593="","",IFERROR(VLOOKUP(C1593,EQUIPOS!$B$3:$G$18,6,0),""))</f>
        <v/>
      </c>
      <c r="G1593" s="8"/>
      <c r="H1593" s="5"/>
      <c r="I1593" s="5"/>
      <c r="J1593" s="9"/>
      <c r="K1593" s="17" t="str">
        <f aca="false">IF(H1593="","",IFERROR(SUMIFS(BD_PLAN!$I$3:$I$312,BD_PLAN!$B$3:$B$312,E1593,BD_PLAN!$C$3:$C$312,INDEX(BD_CICLO!$F$3:$F$54,MATCH(E1593&amp;"|"&amp;H1593,BD_CICLO!$G$3:$G$54,0))),""))</f>
        <v/>
      </c>
      <c r="L1593" s="9"/>
      <c r="M1593" s="9"/>
      <c r="N1593" s="1" t="str">
        <f aca="false">IF(C1593="","",C1593&amp;"|"&amp;COUNTIF(C$3:C1593,C1593))</f>
        <v/>
      </c>
      <c r="O1593" s="1" t="str">
        <f aca="false">IF(OR(C1593="",M1593=""),"",C1593&amp;"|"&amp;COUNTIFS(C$3:C1593,C1593,M$3:M1593,"&lt;&gt;"))</f>
        <v/>
      </c>
    </row>
    <row r="1594" customFormat="false" ht="15" hidden="false" customHeight="false" outlineLevel="0" collapsed="false">
      <c r="B1594" s="7"/>
      <c r="C1594" s="5"/>
      <c r="D1594" s="9" t="str">
        <f aca="false">IF(C1594="","",IFERROR(VLOOKUP(C1594,EQUIPOS!$B$3:$C$18,2,0),"NO EXISTE"))</f>
        <v/>
      </c>
      <c r="E1594" s="9" t="str">
        <f aca="false">IF(C1594="","",IFERROR(VLOOKUP(C1594,EQUIPOS!$B$3:$F$18,5,0),""))</f>
        <v/>
      </c>
      <c r="F1594" s="5" t="str">
        <f aca="false">IF(C1594="","",IFERROR(VLOOKUP(C1594,EQUIPOS!$B$3:$G$18,6,0),""))</f>
        <v/>
      </c>
      <c r="G1594" s="8"/>
      <c r="H1594" s="5"/>
      <c r="I1594" s="5"/>
      <c r="J1594" s="9"/>
      <c r="K1594" s="17" t="str">
        <f aca="false">IF(H1594="","",IFERROR(SUMIFS(BD_PLAN!$I$3:$I$312,BD_PLAN!$B$3:$B$312,E1594,BD_PLAN!$C$3:$C$312,INDEX(BD_CICLO!$F$3:$F$54,MATCH(E1594&amp;"|"&amp;H1594,BD_CICLO!$G$3:$G$54,0))),""))</f>
        <v/>
      </c>
      <c r="L1594" s="9"/>
      <c r="M1594" s="9"/>
      <c r="N1594" s="1" t="str">
        <f aca="false">IF(C1594="","",C1594&amp;"|"&amp;COUNTIF(C$3:C1594,C1594))</f>
        <v/>
      </c>
      <c r="O1594" s="1" t="str">
        <f aca="false">IF(OR(C1594="",M1594=""),"",C1594&amp;"|"&amp;COUNTIFS(C$3:C1594,C1594,M$3:M1594,"&lt;&gt;"))</f>
        <v/>
      </c>
    </row>
    <row r="1595" customFormat="false" ht="15" hidden="false" customHeight="false" outlineLevel="0" collapsed="false">
      <c r="B1595" s="7"/>
      <c r="C1595" s="5"/>
      <c r="D1595" s="9" t="str">
        <f aca="false">IF(C1595="","",IFERROR(VLOOKUP(C1595,EQUIPOS!$B$3:$C$18,2,0),"NO EXISTE"))</f>
        <v/>
      </c>
      <c r="E1595" s="9" t="str">
        <f aca="false">IF(C1595="","",IFERROR(VLOOKUP(C1595,EQUIPOS!$B$3:$F$18,5,0),""))</f>
        <v/>
      </c>
      <c r="F1595" s="5" t="str">
        <f aca="false">IF(C1595="","",IFERROR(VLOOKUP(C1595,EQUIPOS!$B$3:$G$18,6,0),""))</f>
        <v/>
      </c>
      <c r="G1595" s="8"/>
      <c r="H1595" s="5"/>
      <c r="I1595" s="5"/>
      <c r="J1595" s="9"/>
      <c r="K1595" s="17" t="str">
        <f aca="false">IF(H1595="","",IFERROR(SUMIFS(BD_PLAN!$I$3:$I$312,BD_PLAN!$B$3:$B$312,E1595,BD_PLAN!$C$3:$C$312,INDEX(BD_CICLO!$F$3:$F$54,MATCH(E1595&amp;"|"&amp;H1595,BD_CICLO!$G$3:$G$54,0))),""))</f>
        <v/>
      </c>
      <c r="L1595" s="9"/>
      <c r="M1595" s="9"/>
      <c r="N1595" s="1" t="str">
        <f aca="false">IF(C1595="","",C1595&amp;"|"&amp;COUNTIF(C$3:C1595,C1595))</f>
        <v/>
      </c>
      <c r="O1595" s="1" t="str">
        <f aca="false">IF(OR(C1595="",M1595=""),"",C1595&amp;"|"&amp;COUNTIFS(C$3:C1595,C1595,M$3:M1595,"&lt;&gt;"))</f>
        <v/>
      </c>
    </row>
    <row r="1596" customFormat="false" ht="15" hidden="false" customHeight="false" outlineLevel="0" collapsed="false">
      <c r="B1596" s="7"/>
      <c r="C1596" s="5"/>
      <c r="D1596" s="9" t="str">
        <f aca="false">IF(C1596="","",IFERROR(VLOOKUP(C1596,EQUIPOS!$B$3:$C$18,2,0),"NO EXISTE"))</f>
        <v/>
      </c>
      <c r="E1596" s="9" t="str">
        <f aca="false">IF(C1596="","",IFERROR(VLOOKUP(C1596,EQUIPOS!$B$3:$F$18,5,0),""))</f>
        <v/>
      </c>
      <c r="F1596" s="5" t="str">
        <f aca="false">IF(C1596="","",IFERROR(VLOOKUP(C1596,EQUIPOS!$B$3:$G$18,6,0),""))</f>
        <v/>
      </c>
      <c r="G1596" s="8"/>
      <c r="H1596" s="5"/>
      <c r="I1596" s="5"/>
      <c r="J1596" s="9"/>
      <c r="K1596" s="17" t="str">
        <f aca="false">IF(H1596="","",IFERROR(SUMIFS(BD_PLAN!$I$3:$I$312,BD_PLAN!$B$3:$B$312,E1596,BD_PLAN!$C$3:$C$312,INDEX(BD_CICLO!$F$3:$F$54,MATCH(E1596&amp;"|"&amp;H1596,BD_CICLO!$G$3:$G$54,0))),""))</f>
        <v/>
      </c>
      <c r="L1596" s="9"/>
      <c r="M1596" s="9"/>
      <c r="N1596" s="1" t="str">
        <f aca="false">IF(C1596="","",C1596&amp;"|"&amp;COUNTIF(C$3:C1596,C1596))</f>
        <v/>
      </c>
      <c r="O1596" s="1" t="str">
        <f aca="false">IF(OR(C1596="",M1596=""),"",C1596&amp;"|"&amp;COUNTIFS(C$3:C1596,C1596,M$3:M1596,"&lt;&gt;"))</f>
        <v/>
      </c>
    </row>
    <row r="1597" customFormat="false" ht="15" hidden="false" customHeight="false" outlineLevel="0" collapsed="false">
      <c r="B1597" s="7"/>
      <c r="C1597" s="5"/>
      <c r="D1597" s="9" t="str">
        <f aca="false">IF(C1597="","",IFERROR(VLOOKUP(C1597,EQUIPOS!$B$3:$C$18,2,0),"NO EXISTE"))</f>
        <v/>
      </c>
      <c r="E1597" s="9" t="str">
        <f aca="false">IF(C1597="","",IFERROR(VLOOKUP(C1597,EQUIPOS!$B$3:$F$18,5,0),""))</f>
        <v/>
      </c>
      <c r="F1597" s="5" t="str">
        <f aca="false">IF(C1597="","",IFERROR(VLOOKUP(C1597,EQUIPOS!$B$3:$G$18,6,0),""))</f>
        <v/>
      </c>
      <c r="G1597" s="8"/>
      <c r="H1597" s="5"/>
      <c r="I1597" s="5"/>
      <c r="J1597" s="9"/>
      <c r="K1597" s="17" t="str">
        <f aca="false">IF(H1597="","",IFERROR(SUMIFS(BD_PLAN!$I$3:$I$312,BD_PLAN!$B$3:$B$312,E1597,BD_PLAN!$C$3:$C$312,INDEX(BD_CICLO!$F$3:$F$54,MATCH(E1597&amp;"|"&amp;H1597,BD_CICLO!$G$3:$G$54,0))),""))</f>
        <v/>
      </c>
      <c r="L1597" s="9"/>
      <c r="M1597" s="9"/>
      <c r="N1597" s="1" t="str">
        <f aca="false">IF(C1597="","",C1597&amp;"|"&amp;COUNTIF(C$3:C1597,C1597))</f>
        <v/>
      </c>
      <c r="O1597" s="1" t="str">
        <f aca="false">IF(OR(C1597="",M1597=""),"",C1597&amp;"|"&amp;COUNTIFS(C$3:C1597,C1597,M$3:M1597,"&lt;&gt;"))</f>
        <v/>
      </c>
    </row>
    <row r="1598" customFormat="false" ht="15" hidden="false" customHeight="false" outlineLevel="0" collapsed="false">
      <c r="B1598" s="7"/>
      <c r="C1598" s="5"/>
      <c r="D1598" s="9" t="str">
        <f aca="false">IF(C1598="","",IFERROR(VLOOKUP(C1598,EQUIPOS!$B$3:$C$18,2,0),"NO EXISTE"))</f>
        <v/>
      </c>
      <c r="E1598" s="9" t="str">
        <f aca="false">IF(C1598="","",IFERROR(VLOOKUP(C1598,EQUIPOS!$B$3:$F$18,5,0),""))</f>
        <v/>
      </c>
      <c r="F1598" s="5" t="str">
        <f aca="false">IF(C1598="","",IFERROR(VLOOKUP(C1598,EQUIPOS!$B$3:$G$18,6,0),""))</f>
        <v/>
      </c>
      <c r="G1598" s="8"/>
      <c r="H1598" s="5"/>
      <c r="I1598" s="5"/>
      <c r="J1598" s="9"/>
      <c r="K1598" s="17" t="str">
        <f aca="false">IF(H1598="","",IFERROR(SUMIFS(BD_PLAN!$I$3:$I$312,BD_PLAN!$B$3:$B$312,E1598,BD_PLAN!$C$3:$C$312,INDEX(BD_CICLO!$F$3:$F$54,MATCH(E1598&amp;"|"&amp;H1598,BD_CICLO!$G$3:$G$54,0))),""))</f>
        <v/>
      </c>
      <c r="L1598" s="9"/>
      <c r="M1598" s="9"/>
      <c r="N1598" s="1" t="str">
        <f aca="false">IF(C1598="","",C1598&amp;"|"&amp;COUNTIF(C$3:C1598,C1598))</f>
        <v/>
      </c>
      <c r="O1598" s="1" t="str">
        <f aca="false">IF(OR(C1598="",M1598=""),"",C1598&amp;"|"&amp;COUNTIFS(C$3:C1598,C1598,M$3:M1598,"&lt;&gt;"))</f>
        <v/>
      </c>
    </row>
    <row r="1599" customFormat="false" ht="15" hidden="false" customHeight="false" outlineLevel="0" collapsed="false">
      <c r="B1599" s="7"/>
      <c r="C1599" s="5"/>
      <c r="D1599" s="9" t="str">
        <f aca="false">IF(C1599="","",IFERROR(VLOOKUP(C1599,EQUIPOS!$B$3:$C$18,2,0),"NO EXISTE"))</f>
        <v/>
      </c>
      <c r="E1599" s="9" t="str">
        <f aca="false">IF(C1599="","",IFERROR(VLOOKUP(C1599,EQUIPOS!$B$3:$F$18,5,0),""))</f>
        <v/>
      </c>
      <c r="F1599" s="5" t="str">
        <f aca="false">IF(C1599="","",IFERROR(VLOOKUP(C1599,EQUIPOS!$B$3:$G$18,6,0),""))</f>
        <v/>
      </c>
      <c r="G1599" s="8"/>
      <c r="H1599" s="5"/>
      <c r="I1599" s="5"/>
      <c r="J1599" s="9"/>
      <c r="K1599" s="17" t="str">
        <f aca="false">IF(H1599="","",IFERROR(SUMIFS(BD_PLAN!$I$3:$I$312,BD_PLAN!$B$3:$B$312,E1599,BD_PLAN!$C$3:$C$312,INDEX(BD_CICLO!$F$3:$F$54,MATCH(E1599&amp;"|"&amp;H1599,BD_CICLO!$G$3:$G$54,0))),""))</f>
        <v/>
      </c>
      <c r="L1599" s="9"/>
      <c r="M1599" s="9"/>
      <c r="N1599" s="1" t="str">
        <f aca="false">IF(C1599="","",C1599&amp;"|"&amp;COUNTIF(C$3:C1599,C1599))</f>
        <v/>
      </c>
      <c r="O1599" s="1" t="str">
        <f aca="false">IF(OR(C1599="",M1599=""),"",C1599&amp;"|"&amp;COUNTIFS(C$3:C1599,C1599,M$3:M1599,"&lt;&gt;"))</f>
        <v/>
      </c>
    </row>
    <row r="1600" customFormat="false" ht="15" hidden="false" customHeight="false" outlineLevel="0" collapsed="false">
      <c r="B1600" s="7"/>
      <c r="C1600" s="5"/>
      <c r="D1600" s="9" t="str">
        <f aca="false">IF(C1600="","",IFERROR(VLOOKUP(C1600,EQUIPOS!$B$3:$C$18,2,0),"NO EXISTE"))</f>
        <v/>
      </c>
      <c r="E1600" s="9" t="str">
        <f aca="false">IF(C1600="","",IFERROR(VLOOKUP(C1600,EQUIPOS!$B$3:$F$18,5,0),""))</f>
        <v/>
      </c>
      <c r="F1600" s="5" t="str">
        <f aca="false">IF(C1600="","",IFERROR(VLOOKUP(C1600,EQUIPOS!$B$3:$G$18,6,0),""))</f>
        <v/>
      </c>
      <c r="G1600" s="8"/>
      <c r="H1600" s="5"/>
      <c r="I1600" s="5"/>
      <c r="J1600" s="9"/>
      <c r="K1600" s="17" t="str">
        <f aca="false">IF(H1600="","",IFERROR(SUMIFS(BD_PLAN!$I$3:$I$312,BD_PLAN!$B$3:$B$312,E1600,BD_PLAN!$C$3:$C$312,INDEX(BD_CICLO!$F$3:$F$54,MATCH(E1600&amp;"|"&amp;H1600,BD_CICLO!$G$3:$G$54,0))),""))</f>
        <v/>
      </c>
      <c r="L1600" s="9"/>
      <c r="M1600" s="9"/>
      <c r="N1600" s="1" t="str">
        <f aca="false">IF(C1600="","",C1600&amp;"|"&amp;COUNTIF(C$3:C1600,C1600))</f>
        <v/>
      </c>
      <c r="O1600" s="1" t="str">
        <f aca="false">IF(OR(C1600="",M1600=""),"",C1600&amp;"|"&amp;COUNTIFS(C$3:C1600,C1600,M$3:M1600,"&lt;&gt;"))</f>
        <v/>
      </c>
    </row>
    <row r="1601" customFormat="false" ht="15" hidden="false" customHeight="false" outlineLevel="0" collapsed="false">
      <c r="B1601" s="7"/>
      <c r="C1601" s="5"/>
      <c r="D1601" s="9" t="str">
        <f aca="false">IF(C1601="","",IFERROR(VLOOKUP(C1601,EQUIPOS!$B$3:$C$18,2,0),"NO EXISTE"))</f>
        <v/>
      </c>
      <c r="E1601" s="9" t="str">
        <f aca="false">IF(C1601="","",IFERROR(VLOOKUP(C1601,EQUIPOS!$B$3:$F$18,5,0),""))</f>
        <v/>
      </c>
      <c r="F1601" s="5" t="str">
        <f aca="false">IF(C1601="","",IFERROR(VLOOKUP(C1601,EQUIPOS!$B$3:$G$18,6,0),""))</f>
        <v/>
      </c>
      <c r="G1601" s="8"/>
      <c r="H1601" s="5"/>
      <c r="I1601" s="5"/>
      <c r="J1601" s="9"/>
      <c r="K1601" s="17" t="str">
        <f aca="false">IF(H1601="","",IFERROR(SUMIFS(BD_PLAN!$I$3:$I$312,BD_PLAN!$B$3:$B$312,E1601,BD_PLAN!$C$3:$C$312,INDEX(BD_CICLO!$F$3:$F$54,MATCH(E1601&amp;"|"&amp;H1601,BD_CICLO!$G$3:$G$54,0))),""))</f>
        <v/>
      </c>
      <c r="L1601" s="9"/>
      <c r="M1601" s="9"/>
      <c r="N1601" s="1" t="str">
        <f aca="false">IF(C1601="","",C1601&amp;"|"&amp;COUNTIF(C$3:C1601,C1601))</f>
        <v/>
      </c>
      <c r="O1601" s="1" t="str">
        <f aca="false">IF(OR(C1601="",M1601=""),"",C1601&amp;"|"&amp;COUNTIFS(C$3:C1601,C1601,M$3:M1601,"&lt;&gt;"))</f>
        <v/>
      </c>
    </row>
    <row r="1602" customFormat="false" ht="15" hidden="false" customHeight="false" outlineLevel="0" collapsed="false">
      <c r="B1602" s="7"/>
      <c r="C1602" s="5"/>
      <c r="D1602" s="9" t="str">
        <f aca="false">IF(C1602="","",IFERROR(VLOOKUP(C1602,EQUIPOS!$B$3:$C$18,2,0),"NO EXISTE"))</f>
        <v/>
      </c>
      <c r="E1602" s="9" t="str">
        <f aca="false">IF(C1602="","",IFERROR(VLOOKUP(C1602,EQUIPOS!$B$3:$F$18,5,0),""))</f>
        <v/>
      </c>
      <c r="F1602" s="5" t="str">
        <f aca="false">IF(C1602="","",IFERROR(VLOOKUP(C1602,EQUIPOS!$B$3:$G$18,6,0),""))</f>
        <v/>
      </c>
      <c r="G1602" s="8"/>
      <c r="H1602" s="5"/>
      <c r="I1602" s="5"/>
      <c r="J1602" s="9"/>
      <c r="K1602" s="17" t="str">
        <f aca="false">IF(H1602="","",IFERROR(SUMIFS(BD_PLAN!$I$3:$I$312,BD_PLAN!$B$3:$B$312,E1602,BD_PLAN!$C$3:$C$312,INDEX(BD_CICLO!$F$3:$F$54,MATCH(E1602&amp;"|"&amp;H1602,BD_CICLO!$G$3:$G$54,0))),""))</f>
        <v/>
      </c>
      <c r="L1602" s="9"/>
      <c r="M1602" s="9"/>
      <c r="N1602" s="1" t="str">
        <f aca="false">IF(C1602="","",C1602&amp;"|"&amp;COUNTIF(C$3:C1602,C1602))</f>
        <v/>
      </c>
      <c r="O1602" s="1" t="str">
        <f aca="false">IF(OR(C1602="",M1602=""),"",C1602&amp;"|"&amp;COUNTIFS(C$3:C1602,C1602,M$3:M1602,"&lt;&gt;"))</f>
        <v/>
      </c>
    </row>
    <row r="1603" customFormat="false" ht="15" hidden="false" customHeight="false" outlineLevel="0" collapsed="false">
      <c r="B1603" s="7"/>
      <c r="C1603" s="5"/>
      <c r="D1603" s="9" t="str">
        <f aca="false">IF(C1603="","",IFERROR(VLOOKUP(C1603,EQUIPOS!$B$3:$C$18,2,0),"NO EXISTE"))</f>
        <v/>
      </c>
      <c r="E1603" s="9" t="str">
        <f aca="false">IF(C1603="","",IFERROR(VLOOKUP(C1603,EQUIPOS!$B$3:$F$18,5,0),""))</f>
        <v/>
      </c>
      <c r="F1603" s="5" t="str">
        <f aca="false">IF(C1603="","",IFERROR(VLOOKUP(C1603,EQUIPOS!$B$3:$G$18,6,0),""))</f>
        <v/>
      </c>
      <c r="G1603" s="8"/>
      <c r="H1603" s="5"/>
      <c r="I1603" s="5"/>
      <c r="J1603" s="9"/>
      <c r="K1603" s="17" t="str">
        <f aca="false">IF(H1603="","",IFERROR(SUMIFS(BD_PLAN!$I$3:$I$312,BD_PLAN!$B$3:$B$312,E1603,BD_PLAN!$C$3:$C$312,INDEX(BD_CICLO!$F$3:$F$54,MATCH(E1603&amp;"|"&amp;H1603,BD_CICLO!$G$3:$G$54,0))),""))</f>
        <v/>
      </c>
      <c r="L1603" s="9"/>
      <c r="M1603" s="9"/>
      <c r="N1603" s="1" t="str">
        <f aca="false">IF(C1603="","",C1603&amp;"|"&amp;COUNTIF(C$3:C1603,C1603))</f>
        <v/>
      </c>
      <c r="O1603" s="1" t="str">
        <f aca="false">IF(OR(C1603="",M1603=""),"",C1603&amp;"|"&amp;COUNTIFS(C$3:C1603,C1603,M$3:M1603,"&lt;&gt;"))</f>
        <v/>
      </c>
    </row>
    <row r="1604" customFormat="false" ht="15" hidden="false" customHeight="false" outlineLevel="0" collapsed="false">
      <c r="B1604" s="7"/>
      <c r="C1604" s="5"/>
      <c r="D1604" s="9" t="str">
        <f aca="false">IF(C1604="","",IFERROR(VLOOKUP(C1604,EQUIPOS!$B$3:$C$18,2,0),"NO EXISTE"))</f>
        <v/>
      </c>
      <c r="E1604" s="9" t="str">
        <f aca="false">IF(C1604="","",IFERROR(VLOOKUP(C1604,EQUIPOS!$B$3:$F$18,5,0),""))</f>
        <v/>
      </c>
      <c r="F1604" s="5" t="str">
        <f aca="false">IF(C1604="","",IFERROR(VLOOKUP(C1604,EQUIPOS!$B$3:$G$18,6,0),""))</f>
        <v/>
      </c>
      <c r="G1604" s="8"/>
      <c r="H1604" s="5"/>
      <c r="I1604" s="5"/>
      <c r="J1604" s="9"/>
      <c r="K1604" s="17" t="str">
        <f aca="false">IF(H1604="","",IFERROR(SUMIFS(BD_PLAN!$I$3:$I$312,BD_PLAN!$B$3:$B$312,E1604,BD_PLAN!$C$3:$C$312,INDEX(BD_CICLO!$F$3:$F$54,MATCH(E1604&amp;"|"&amp;H1604,BD_CICLO!$G$3:$G$54,0))),""))</f>
        <v/>
      </c>
      <c r="L1604" s="9"/>
      <c r="M1604" s="9"/>
      <c r="N1604" s="1" t="str">
        <f aca="false">IF(C1604="","",C1604&amp;"|"&amp;COUNTIF(C$3:C1604,C1604))</f>
        <v/>
      </c>
      <c r="O1604" s="1" t="str">
        <f aca="false">IF(OR(C1604="",M1604=""),"",C1604&amp;"|"&amp;COUNTIFS(C$3:C1604,C1604,M$3:M1604,"&lt;&gt;"))</f>
        <v/>
      </c>
    </row>
    <row r="1605" customFormat="false" ht="15" hidden="false" customHeight="false" outlineLevel="0" collapsed="false">
      <c r="B1605" s="7"/>
      <c r="C1605" s="5"/>
      <c r="D1605" s="9" t="str">
        <f aca="false">IF(C1605="","",IFERROR(VLOOKUP(C1605,EQUIPOS!$B$3:$C$18,2,0),"NO EXISTE"))</f>
        <v/>
      </c>
      <c r="E1605" s="9" t="str">
        <f aca="false">IF(C1605="","",IFERROR(VLOOKUP(C1605,EQUIPOS!$B$3:$F$18,5,0),""))</f>
        <v/>
      </c>
      <c r="F1605" s="5" t="str">
        <f aca="false">IF(C1605="","",IFERROR(VLOOKUP(C1605,EQUIPOS!$B$3:$G$18,6,0),""))</f>
        <v/>
      </c>
      <c r="G1605" s="8"/>
      <c r="H1605" s="5"/>
      <c r="I1605" s="5"/>
      <c r="J1605" s="9"/>
      <c r="K1605" s="17" t="str">
        <f aca="false">IF(H1605="","",IFERROR(SUMIFS(BD_PLAN!$I$3:$I$312,BD_PLAN!$B$3:$B$312,E1605,BD_PLAN!$C$3:$C$312,INDEX(BD_CICLO!$F$3:$F$54,MATCH(E1605&amp;"|"&amp;H1605,BD_CICLO!$G$3:$G$54,0))),""))</f>
        <v/>
      </c>
      <c r="L1605" s="9"/>
      <c r="M1605" s="9"/>
      <c r="N1605" s="1" t="str">
        <f aca="false">IF(C1605="","",C1605&amp;"|"&amp;COUNTIF(C$3:C1605,C1605))</f>
        <v/>
      </c>
      <c r="O1605" s="1" t="str">
        <f aca="false">IF(OR(C1605="",M1605=""),"",C1605&amp;"|"&amp;COUNTIFS(C$3:C1605,C1605,M$3:M1605,"&lt;&gt;"))</f>
        <v/>
      </c>
    </row>
    <row r="1606" customFormat="false" ht="15" hidden="false" customHeight="false" outlineLevel="0" collapsed="false">
      <c r="B1606" s="7"/>
      <c r="C1606" s="5"/>
      <c r="D1606" s="9" t="str">
        <f aca="false">IF(C1606="","",IFERROR(VLOOKUP(C1606,EQUIPOS!$B$3:$C$18,2,0),"NO EXISTE"))</f>
        <v/>
      </c>
      <c r="E1606" s="9" t="str">
        <f aca="false">IF(C1606="","",IFERROR(VLOOKUP(C1606,EQUIPOS!$B$3:$F$18,5,0),""))</f>
        <v/>
      </c>
      <c r="F1606" s="5" t="str">
        <f aca="false">IF(C1606="","",IFERROR(VLOOKUP(C1606,EQUIPOS!$B$3:$G$18,6,0),""))</f>
        <v/>
      </c>
      <c r="G1606" s="8"/>
      <c r="H1606" s="5"/>
      <c r="I1606" s="5"/>
      <c r="J1606" s="9"/>
      <c r="K1606" s="17" t="str">
        <f aca="false">IF(H1606="","",IFERROR(SUMIFS(BD_PLAN!$I$3:$I$312,BD_PLAN!$B$3:$B$312,E1606,BD_PLAN!$C$3:$C$312,INDEX(BD_CICLO!$F$3:$F$54,MATCH(E1606&amp;"|"&amp;H1606,BD_CICLO!$G$3:$G$54,0))),""))</f>
        <v/>
      </c>
      <c r="L1606" s="9"/>
      <c r="M1606" s="9"/>
      <c r="N1606" s="1" t="str">
        <f aca="false">IF(C1606="","",C1606&amp;"|"&amp;COUNTIF(C$3:C1606,C1606))</f>
        <v/>
      </c>
      <c r="O1606" s="1" t="str">
        <f aca="false">IF(OR(C1606="",M1606=""),"",C1606&amp;"|"&amp;COUNTIFS(C$3:C1606,C1606,M$3:M1606,"&lt;&gt;"))</f>
        <v/>
      </c>
    </row>
    <row r="1607" customFormat="false" ht="15" hidden="false" customHeight="false" outlineLevel="0" collapsed="false">
      <c r="B1607" s="7"/>
      <c r="C1607" s="5"/>
      <c r="D1607" s="9" t="str">
        <f aca="false">IF(C1607="","",IFERROR(VLOOKUP(C1607,EQUIPOS!$B$3:$C$18,2,0),"NO EXISTE"))</f>
        <v/>
      </c>
      <c r="E1607" s="9" t="str">
        <f aca="false">IF(C1607="","",IFERROR(VLOOKUP(C1607,EQUIPOS!$B$3:$F$18,5,0),""))</f>
        <v/>
      </c>
      <c r="F1607" s="5" t="str">
        <f aca="false">IF(C1607="","",IFERROR(VLOOKUP(C1607,EQUIPOS!$B$3:$G$18,6,0),""))</f>
        <v/>
      </c>
      <c r="G1607" s="8"/>
      <c r="H1607" s="5"/>
      <c r="I1607" s="5"/>
      <c r="J1607" s="9"/>
      <c r="K1607" s="17" t="str">
        <f aca="false">IF(H1607="","",IFERROR(SUMIFS(BD_PLAN!$I$3:$I$312,BD_PLAN!$B$3:$B$312,E1607,BD_PLAN!$C$3:$C$312,INDEX(BD_CICLO!$F$3:$F$54,MATCH(E1607&amp;"|"&amp;H1607,BD_CICLO!$G$3:$G$54,0))),""))</f>
        <v/>
      </c>
      <c r="L1607" s="9"/>
      <c r="M1607" s="9"/>
      <c r="N1607" s="1" t="str">
        <f aca="false">IF(C1607="","",C1607&amp;"|"&amp;COUNTIF(C$3:C1607,C1607))</f>
        <v/>
      </c>
      <c r="O1607" s="1" t="str">
        <f aca="false">IF(OR(C1607="",M1607=""),"",C1607&amp;"|"&amp;COUNTIFS(C$3:C1607,C1607,M$3:M1607,"&lt;&gt;"))</f>
        <v/>
      </c>
    </row>
    <row r="1608" customFormat="false" ht="15" hidden="false" customHeight="false" outlineLevel="0" collapsed="false">
      <c r="B1608" s="7"/>
      <c r="C1608" s="5"/>
      <c r="D1608" s="9" t="str">
        <f aca="false">IF(C1608="","",IFERROR(VLOOKUP(C1608,EQUIPOS!$B$3:$C$18,2,0),"NO EXISTE"))</f>
        <v/>
      </c>
      <c r="E1608" s="9" t="str">
        <f aca="false">IF(C1608="","",IFERROR(VLOOKUP(C1608,EQUIPOS!$B$3:$F$18,5,0),""))</f>
        <v/>
      </c>
      <c r="F1608" s="5" t="str">
        <f aca="false">IF(C1608="","",IFERROR(VLOOKUP(C1608,EQUIPOS!$B$3:$G$18,6,0),""))</f>
        <v/>
      </c>
      <c r="G1608" s="8"/>
      <c r="H1608" s="5"/>
      <c r="I1608" s="5"/>
      <c r="J1608" s="9"/>
      <c r="K1608" s="17" t="str">
        <f aca="false">IF(H1608="","",IFERROR(SUMIFS(BD_PLAN!$I$3:$I$312,BD_PLAN!$B$3:$B$312,E1608,BD_PLAN!$C$3:$C$312,INDEX(BD_CICLO!$F$3:$F$54,MATCH(E1608&amp;"|"&amp;H1608,BD_CICLO!$G$3:$G$54,0))),""))</f>
        <v/>
      </c>
      <c r="L1608" s="9"/>
      <c r="M1608" s="9"/>
      <c r="N1608" s="1" t="str">
        <f aca="false">IF(C1608="","",C1608&amp;"|"&amp;COUNTIF(C$3:C1608,C1608))</f>
        <v/>
      </c>
      <c r="O1608" s="1" t="str">
        <f aca="false">IF(OR(C1608="",M1608=""),"",C1608&amp;"|"&amp;COUNTIFS(C$3:C1608,C1608,M$3:M1608,"&lt;&gt;"))</f>
        <v/>
      </c>
    </row>
    <row r="1609" customFormat="false" ht="15" hidden="false" customHeight="false" outlineLevel="0" collapsed="false">
      <c r="B1609" s="7"/>
      <c r="C1609" s="5"/>
      <c r="D1609" s="9" t="str">
        <f aca="false">IF(C1609="","",IFERROR(VLOOKUP(C1609,EQUIPOS!$B$3:$C$18,2,0),"NO EXISTE"))</f>
        <v/>
      </c>
      <c r="E1609" s="9" t="str">
        <f aca="false">IF(C1609="","",IFERROR(VLOOKUP(C1609,EQUIPOS!$B$3:$F$18,5,0),""))</f>
        <v/>
      </c>
      <c r="F1609" s="5" t="str">
        <f aca="false">IF(C1609="","",IFERROR(VLOOKUP(C1609,EQUIPOS!$B$3:$G$18,6,0),""))</f>
        <v/>
      </c>
      <c r="G1609" s="8"/>
      <c r="H1609" s="5"/>
      <c r="I1609" s="5"/>
      <c r="J1609" s="9"/>
      <c r="K1609" s="17" t="str">
        <f aca="false">IF(H1609="","",IFERROR(SUMIFS(BD_PLAN!$I$3:$I$312,BD_PLAN!$B$3:$B$312,E1609,BD_PLAN!$C$3:$C$312,INDEX(BD_CICLO!$F$3:$F$54,MATCH(E1609&amp;"|"&amp;H1609,BD_CICLO!$G$3:$G$54,0))),""))</f>
        <v/>
      </c>
      <c r="L1609" s="9"/>
      <c r="M1609" s="9"/>
      <c r="N1609" s="1" t="str">
        <f aca="false">IF(C1609="","",C1609&amp;"|"&amp;COUNTIF(C$3:C1609,C1609))</f>
        <v/>
      </c>
      <c r="O1609" s="1" t="str">
        <f aca="false">IF(OR(C1609="",M1609=""),"",C1609&amp;"|"&amp;COUNTIFS(C$3:C1609,C1609,M$3:M1609,"&lt;&gt;"))</f>
        <v/>
      </c>
    </row>
    <row r="1610" customFormat="false" ht="15" hidden="false" customHeight="false" outlineLevel="0" collapsed="false">
      <c r="B1610" s="7"/>
      <c r="C1610" s="5"/>
      <c r="D1610" s="9" t="str">
        <f aca="false">IF(C1610="","",IFERROR(VLOOKUP(C1610,EQUIPOS!$B$3:$C$18,2,0),"NO EXISTE"))</f>
        <v/>
      </c>
      <c r="E1610" s="9" t="str">
        <f aca="false">IF(C1610="","",IFERROR(VLOOKUP(C1610,EQUIPOS!$B$3:$F$18,5,0),""))</f>
        <v/>
      </c>
      <c r="F1610" s="5" t="str">
        <f aca="false">IF(C1610="","",IFERROR(VLOOKUP(C1610,EQUIPOS!$B$3:$G$18,6,0),""))</f>
        <v/>
      </c>
      <c r="G1610" s="8"/>
      <c r="H1610" s="5"/>
      <c r="I1610" s="5"/>
      <c r="J1610" s="9"/>
      <c r="K1610" s="17" t="str">
        <f aca="false">IF(H1610="","",IFERROR(SUMIFS(BD_PLAN!$I$3:$I$312,BD_PLAN!$B$3:$B$312,E1610,BD_PLAN!$C$3:$C$312,INDEX(BD_CICLO!$F$3:$F$54,MATCH(E1610&amp;"|"&amp;H1610,BD_CICLO!$G$3:$G$54,0))),""))</f>
        <v/>
      </c>
      <c r="L1610" s="9"/>
      <c r="M1610" s="9"/>
      <c r="N1610" s="1" t="str">
        <f aca="false">IF(C1610="","",C1610&amp;"|"&amp;COUNTIF(C$3:C1610,C1610))</f>
        <v/>
      </c>
      <c r="O1610" s="1" t="str">
        <f aca="false">IF(OR(C1610="",M1610=""),"",C1610&amp;"|"&amp;COUNTIFS(C$3:C1610,C1610,M$3:M1610,"&lt;&gt;"))</f>
        <v/>
      </c>
    </row>
    <row r="1611" customFormat="false" ht="15" hidden="false" customHeight="false" outlineLevel="0" collapsed="false">
      <c r="B1611" s="7"/>
      <c r="C1611" s="5"/>
      <c r="D1611" s="9" t="str">
        <f aca="false">IF(C1611="","",IFERROR(VLOOKUP(C1611,EQUIPOS!$B$3:$C$18,2,0),"NO EXISTE"))</f>
        <v/>
      </c>
      <c r="E1611" s="9" t="str">
        <f aca="false">IF(C1611="","",IFERROR(VLOOKUP(C1611,EQUIPOS!$B$3:$F$18,5,0),""))</f>
        <v/>
      </c>
      <c r="F1611" s="5" t="str">
        <f aca="false">IF(C1611="","",IFERROR(VLOOKUP(C1611,EQUIPOS!$B$3:$G$18,6,0),""))</f>
        <v/>
      </c>
      <c r="G1611" s="8"/>
      <c r="H1611" s="5"/>
      <c r="I1611" s="5"/>
      <c r="J1611" s="9"/>
      <c r="K1611" s="17" t="str">
        <f aca="false">IF(H1611="","",IFERROR(SUMIFS(BD_PLAN!$I$3:$I$312,BD_PLAN!$B$3:$B$312,E1611,BD_PLAN!$C$3:$C$312,INDEX(BD_CICLO!$F$3:$F$54,MATCH(E1611&amp;"|"&amp;H1611,BD_CICLO!$G$3:$G$54,0))),""))</f>
        <v/>
      </c>
      <c r="L1611" s="9"/>
      <c r="M1611" s="9"/>
      <c r="N1611" s="1" t="str">
        <f aca="false">IF(C1611="","",C1611&amp;"|"&amp;COUNTIF(C$3:C1611,C1611))</f>
        <v/>
      </c>
      <c r="O1611" s="1" t="str">
        <f aca="false">IF(OR(C1611="",M1611=""),"",C1611&amp;"|"&amp;COUNTIFS(C$3:C1611,C1611,M$3:M1611,"&lt;&gt;"))</f>
        <v/>
      </c>
    </row>
    <row r="1612" customFormat="false" ht="15" hidden="false" customHeight="false" outlineLevel="0" collapsed="false">
      <c r="B1612" s="7"/>
      <c r="C1612" s="5"/>
      <c r="D1612" s="9" t="str">
        <f aca="false">IF(C1612="","",IFERROR(VLOOKUP(C1612,EQUIPOS!$B$3:$C$18,2,0),"NO EXISTE"))</f>
        <v/>
      </c>
      <c r="E1612" s="9" t="str">
        <f aca="false">IF(C1612="","",IFERROR(VLOOKUP(C1612,EQUIPOS!$B$3:$F$18,5,0),""))</f>
        <v/>
      </c>
      <c r="F1612" s="5" t="str">
        <f aca="false">IF(C1612="","",IFERROR(VLOOKUP(C1612,EQUIPOS!$B$3:$G$18,6,0),""))</f>
        <v/>
      </c>
      <c r="G1612" s="8"/>
      <c r="H1612" s="5"/>
      <c r="I1612" s="5"/>
      <c r="J1612" s="9"/>
      <c r="K1612" s="17" t="str">
        <f aca="false">IF(H1612="","",IFERROR(SUMIFS(BD_PLAN!$I$3:$I$312,BD_PLAN!$B$3:$B$312,E1612,BD_PLAN!$C$3:$C$312,INDEX(BD_CICLO!$F$3:$F$54,MATCH(E1612&amp;"|"&amp;H1612,BD_CICLO!$G$3:$G$54,0))),""))</f>
        <v/>
      </c>
      <c r="L1612" s="9"/>
      <c r="M1612" s="9"/>
      <c r="N1612" s="1" t="str">
        <f aca="false">IF(C1612="","",C1612&amp;"|"&amp;COUNTIF(C$3:C1612,C1612))</f>
        <v/>
      </c>
      <c r="O1612" s="1" t="str">
        <f aca="false">IF(OR(C1612="",M1612=""),"",C1612&amp;"|"&amp;COUNTIFS(C$3:C1612,C1612,M$3:M1612,"&lt;&gt;"))</f>
        <v/>
      </c>
    </row>
    <row r="1613" customFormat="false" ht="15" hidden="false" customHeight="false" outlineLevel="0" collapsed="false">
      <c r="B1613" s="7"/>
      <c r="C1613" s="5"/>
      <c r="D1613" s="9" t="str">
        <f aca="false">IF(C1613="","",IFERROR(VLOOKUP(C1613,EQUIPOS!$B$3:$C$18,2,0),"NO EXISTE"))</f>
        <v/>
      </c>
      <c r="E1613" s="9" t="str">
        <f aca="false">IF(C1613="","",IFERROR(VLOOKUP(C1613,EQUIPOS!$B$3:$F$18,5,0),""))</f>
        <v/>
      </c>
      <c r="F1613" s="5" t="str">
        <f aca="false">IF(C1613="","",IFERROR(VLOOKUP(C1613,EQUIPOS!$B$3:$G$18,6,0),""))</f>
        <v/>
      </c>
      <c r="G1613" s="8"/>
      <c r="H1613" s="5"/>
      <c r="I1613" s="5"/>
      <c r="J1613" s="9"/>
      <c r="K1613" s="17" t="str">
        <f aca="false">IF(H1613="","",IFERROR(SUMIFS(BD_PLAN!$I$3:$I$312,BD_PLAN!$B$3:$B$312,E1613,BD_PLAN!$C$3:$C$312,INDEX(BD_CICLO!$F$3:$F$54,MATCH(E1613&amp;"|"&amp;H1613,BD_CICLO!$G$3:$G$54,0))),""))</f>
        <v/>
      </c>
      <c r="L1613" s="9"/>
      <c r="M1613" s="9"/>
      <c r="N1613" s="1" t="str">
        <f aca="false">IF(C1613="","",C1613&amp;"|"&amp;COUNTIF(C$3:C1613,C1613))</f>
        <v/>
      </c>
      <c r="O1613" s="1" t="str">
        <f aca="false">IF(OR(C1613="",M1613=""),"",C1613&amp;"|"&amp;COUNTIFS(C$3:C1613,C1613,M$3:M1613,"&lt;&gt;"))</f>
        <v/>
      </c>
    </row>
    <row r="1614" customFormat="false" ht="15" hidden="false" customHeight="false" outlineLevel="0" collapsed="false">
      <c r="B1614" s="7"/>
      <c r="C1614" s="5"/>
      <c r="D1614" s="9" t="str">
        <f aca="false">IF(C1614="","",IFERROR(VLOOKUP(C1614,EQUIPOS!$B$3:$C$18,2,0),"NO EXISTE"))</f>
        <v/>
      </c>
      <c r="E1614" s="9" t="str">
        <f aca="false">IF(C1614="","",IFERROR(VLOOKUP(C1614,EQUIPOS!$B$3:$F$18,5,0),""))</f>
        <v/>
      </c>
      <c r="F1614" s="5" t="str">
        <f aca="false">IF(C1614="","",IFERROR(VLOOKUP(C1614,EQUIPOS!$B$3:$G$18,6,0),""))</f>
        <v/>
      </c>
      <c r="G1614" s="8"/>
      <c r="H1614" s="5"/>
      <c r="I1614" s="5"/>
      <c r="J1614" s="9"/>
      <c r="K1614" s="17" t="str">
        <f aca="false">IF(H1614="","",IFERROR(SUMIFS(BD_PLAN!$I$3:$I$312,BD_PLAN!$B$3:$B$312,E1614,BD_PLAN!$C$3:$C$312,INDEX(BD_CICLO!$F$3:$F$54,MATCH(E1614&amp;"|"&amp;H1614,BD_CICLO!$G$3:$G$54,0))),""))</f>
        <v/>
      </c>
      <c r="L1614" s="9"/>
      <c r="M1614" s="9"/>
      <c r="N1614" s="1" t="str">
        <f aca="false">IF(C1614="","",C1614&amp;"|"&amp;COUNTIF(C$3:C1614,C1614))</f>
        <v/>
      </c>
      <c r="O1614" s="1" t="str">
        <f aca="false">IF(OR(C1614="",M1614=""),"",C1614&amp;"|"&amp;COUNTIFS(C$3:C1614,C1614,M$3:M1614,"&lt;&gt;"))</f>
        <v/>
      </c>
    </row>
    <row r="1615" customFormat="false" ht="15" hidden="false" customHeight="false" outlineLevel="0" collapsed="false">
      <c r="B1615" s="7"/>
      <c r="C1615" s="5"/>
      <c r="D1615" s="9" t="str">
        <f aca="false">IF(C1615="","",IFERROR(VLOOKUP(C1615,EQUIPOS!$B$3:$C$18,2,0),"NO EXISTE"))</f>
        <v/>
      </c>
      <c r="E1615" s="9" t="str">
        <f aca="false">IF(C1615="","",IFERROR(VLOOKUP(C1615,EQUIPOS!$B$3:$F$18,5,0),""))</f>
        <v/>
      </c>
      <c r="F1615" s="5" t="str">
        <f aca="false">IF(C1615="","",IFERROR(VLOOKUP(C1615,EQUIPOS!$B$3:$G$18,6,0),""))</f>
        <v/>
      </c>
      <c r="G1615" s="8"/>
      <c r="H1615" s="5"/>
      <c r="I1615" s="5"/>
      <c r="J1615" s="9"/>
      <c r="K1615" s="17" t="str">
        <f aca="false">IF(H1615="","",IFERROR(SUMIFS(BD_PLAN!$I$3:$I$312,BD_PLAN!$B$3:$B$312,E1615,BD_PLAN!$C$3:$C$312,INDEX(BD_CICLO!$F$3:$F$54,MATCH(E1615&amp;"|"&amp;H1615,BD_CICLO!$G$3:$G$54,0))),""))</f>
        <v/>
      </c>
      <c r="L1615" s="9"/>
      <c r="M1615" s="9"/>
      <c r="N1615" s="1" t="str">
        <f aca="false">IF(C1615="","",C1615&amp;"|"&amp;COUNTIF(C$3:C1615,C1615))</f>
        <v/>
      </c>
      <c r="O1615" s="1" t="str">
        <f aca="false">IF(OR(C1615="",M1615=""),"",C1615&amp;"|"&amp;COUNTIFS(C$3:C1615,C1615,M$3:M1615,"&lt;&gt;"))</f>
        <v/>
      </c>
    </row>
    <row r="1616" customFormat="false" ht="15" hidden="false" customHeight="false" outlineLevel="0" collapsed="false">
      <c r="B1616" s="7"/>
      <c r="C1616" s="5"/>
      <c r="D1616" s="9" t="str">
        <f aca="false">IF(C1616="","",IFERROR(VLOOKUP(C1616,EQUIPOS!$B$3:$C$18,2,0),"NO EXISTE"))</f>
        <v/>
      </c>
      <c r="E1616" s="9" t="str">
        <f aca="false">IF(C1616="","",IFERROR(VLOOKUP(C1616,EQUIPOS!$B$3:$F$18,5,0),""))</f>
        <v/>
      </c>
      <c r="F1616" s="5" t="str">
        <f aca="false">IF(C1616="","",IFERROR(VLOOKUP(C1616,EQUIPOS!$B$3:$G$18,6,0),""))</f>
        <v/>
      </c>
      <c r="G1616" s="8"/>
      <c r="H1616" s="5"/>
      <c r="I1616" s="5"/>
      <c r="J1616" s="9"/>
      <c r="K1616" s="17" t="str">
        <f aca="false">IF(H1616="","",IFERROR(SUMIFS(BD_PLAN!$I$3:$I$312,BD_PLAN!$B$3:$B$312,E1616,BD_PLAN!$C$3:$C$312,INDEX(BD_CICLO!$F$3:$F$54,MATCH(E1616&amp;"|"&amp;H1616,BD_CICLO!$G$3:$G$54,0))),""))</f>
        <v/>
      </c>
      <c r="L1616" s="9"/>
      <c r="M1616" s="9"/>
      <c r="N1616" s="1" t="str">
        <f aca="false">IF(C1616="","",C1616&amp;"|"&amp;COUNTIF(C$3:C1616,C1616))</f>
        <v/>
      </c>
      <c r="O1616" s="1" t="str">
        <f aca="false">IF(OR(C1616="",M1616=""),"",C1616&amp;"|"&amp;COUNTIFS(C$3:C1616,C1616,M$3:M1616,"&lt;&gt;"))</f>
        <v/>
      </c>
    </row>
    <row r="1617" customFormat="false" ht="15" hidden="false" customHeight="false" outlineLevel="0" collapsed="false">
      <c r="B1617" s="7"/>
      <c r="C1617" s="5"/>
      <c r="D1617" s="9" t="str">
        <f aca="false">IF(C1617="","",IFERROR(VLOOKUP(C1617,EQUIPOS!$B$3:$C$18,2,0),"NO EXISTE"))</f>
        <v/>
      </c>
      <c r="E1617" s="9" t="str">
        <f aca="false">IF(C1617="","",IFERROR(VLOOKUP(C1617,EQUIPOS!$B$3:$F$18,5,0),""))</f>
        <v/>
      </c>
      <c r="F1617" s="5" t="str">
        <f aca="false">IF(C1617="","",IFERROR(VLOOKUP(C1617,EQUIPOS!$B$3:$G$18,6,0),""))</f>
        <v/>
      </c>
      <c r="G1617" s="8"/>
      <c r="H1617" s="5"/>
      <c r="I1617" s="5"/>
      <c r="J1617" s="9"/>
      <c r="K1617" s="17" t="str">
        <f aca="false">IF(H1617="","",IFERROR(SUMIFS(BD_PLAN!$I$3:$I$312,BD_PLAN!$B$3:$B$312,E1617,BD_PLAN!$C$3:$C$312,INDEX(BD_CICLO!$F$3:$F$54,MATCH(E1617&amp;"|"&amp;H1617,BD_CICLO!$G$3:$G$54,0))),""))</f>
        <v/>
      </c>
      <c r="L1617" s="9"/>
      <c r="M1617" s="9"/>
      <c r="N1617" s="1" t="str">
        <f aca="false">IF(C1617="","",C1617&amp;"|"&amp;COUNTIF(C$3:C1617,C1617))</f>
        <v/>
      </c>
      <c r="O1617" s="1" t="str">
        <f aca="false">IF(OR(C1617="",M1617=""),"",C1617&amp;"|"&amp;COUNTIFS(C$3:C1617,C1617,M$3:M1617,"&lt;&gt;"))</f>
        <v/>
      </c>
    </row>
    <row r="1618" customFormat="false" ht="15" hidden="false" customHeight="false" outlineLevel="0" collapsed="false">
      <c r="B1618" s="7"/>
      <c r="C1618" s="5"/>
      <c r="D1618" s="9" t="str">
        <f aca="false">IF(C1618="","",IFERROR(VLOOKUP(C1618,EQUIPOS!$B$3:$C$18,2,0),"NO EXISTE"))</f>
        <v/>
      </c>
      <c r="E1618" s="9" t="str">
        <f aca="false">IF(C1618="","",IFERROR(VLOOKUP(C1618,EQUIPOS!$B$3:$F$18,5,0),""))</f>
        <v/>
      </c>
      <c r="F1618" s="5" t="str">
        <f aca="false">IF(C1618="","",IFERROR(VLOOKUP(C1618,EQUIPOS!$B$3:$G$18,6,0),""))</f>
        <v/>
      </c>
      <c r="G1618" s="8"/>
      <c r="H1618" s="5"/>
      <c r="I1618" s="5"/>
      <c r="J1618" s="9"/>
      <c r="K1618" s="17" t="str">
        <f aca="false">IF(H1618="","",IFERROR(SUMIFS(BD_PLAN!$I$3:$I$312,BD_PLAN!$B$3:$B$312,E1618,BD_PLAN!$C$3:$C$312,INDEX(BD_CICLO!$F$3:$F$54,MATCH(E1618&amp;"|"&amp;H1618,BD_CICLO!$G$3:$G$54,0))),""))</f>
        <v/>
      </c>
      <c r="L1618" s="9"/>
      <c r="M1618" s="9"/>
      <c r="N1618" s="1" t="str">
        <f aca="false">IF(C1618="","",C1618&amp;"|"&amp;COUNTIF(C$3:C1618,C1618))</f>
        <v/>
      </c>
      <c r="O1618" s="1" t="str">
        <f aca="false">IF(OR(C1618="",M1618=""),"",C1618&amp;"|"&amp;COUNTIFS(C$3:C1618,C1618,M$3:M1618,"&lt;&gt;"))</f>
        <v/>
      </c>
    </row>
    <row r="1619" customFormat="false" ht="15" hidden="false" customHeight="false" outlineLevel="0" collapsed="false">
      <c r="B1619" s="7"/>
      <c r="C1619" s="5"/>
      <c r="D1619" s="9" t="str">
        <f aca="false">IF(C1619="","",IFERROR(VLOOKUP(C1619,EQUIPOS!$B$3:$C$18,2,0),"NO EXISTE"))</f>
        <v/>
      </c>
      <c r="E1619" s="9" t="str">
        <f aca="false">IF(C1619="","",IFERROR(VLOOKUP(C1619,EQUIPOS!$B$3:$F$18,5,0),""))</f>
        <v/>
      </c>
      <c r="F1619" s="5" t="str">
        <f aca="false">IF(C1619="","",IFERROR(VLOOKUP(C1619,EQUIPOS!$B$3:$G$18,6,0),""))</f>
        <v/>
      </c>
      <c r="G1619" s="8"/>
      <c r="H1619" s="5"/>
      <c r="I1619" s="5"/>
      <c r="J1619" s="9"/>
      <c r="K1619" s="17" t="str">
        <f aca="false">IF(H1619="","",IFERROR(SUMIFS(BD_PLAN!$I$3:$I$312,BD_PLAN!$B$3:$B$312,E1619,BD_PLAN!$C$3:$C$312,INDEX(BD_CICLO!$F$3:$F$54,MATCH(E1619&amp;"|"&amp;H1619,BD_CICLO!$G$3:$G$54,0))),""))</f>
        <v/>
      </c>
      <c r="L1619" s="9"/>
      <c r="M1619" s="9"/>
      <c r="N1619" s="1" t="str">
        <f aca="false">IF(C1619="","",C1619&amp;"|"&amp;COUNTIF(C$3:C1619,C1619))</f>
        <v/>
      </c>
      <c r="O1619" s="1" t="str">
        <f aca="false">IF(OR(C1619="",M1619=""),"",C1619&amp;"|"&amp;COUNTIFS(C$3:C1619,C1619,M$3:M1619,"&lt;&gt;"))</f>
        <v/>
      </c>
    </row>
    <row r="1620" customFormat="false" ht="15" hidden="false" customHeight="false" outlineLevel="0" collapsed="false">
      <c r="B1620" s="7"/>
      <c r="C1620" s="5"/>
      <c r="D1620" s="9" t="str">
        <f aca="false">IF(C1620="","",IFERROR(VLOOKUP(C1620,EQUIPOS!$B$3:$C$18,2,0),"NO EXISTE"))</f>
        <v/>
      </c>
      <c r="E1620" s="9" t="str">
        <f aca="false">IF(C1620="","",IFERROR(VLOOKUP(C1620,EQUIPOS!$B$3:$F$18,5,0),""))</f>
        <v/>
      </c>
      <c r="F1620" s="5" t="str">
        <f aca="false">IF(C1620="","",IFERROR(VLOOKUP(C1620,EQUIPOS!$B$3:$G$18,6,0),""))</f>
        <v/>
      </c>
      <c r="G1620" s="8"/>
      <c r="H1620" s="5"/>
      <c r="I1620" s="5"/>
      <c r="J1620" s="9"/>
      <c r="K1620" s="17" t="str">
        <f aca="false">IF(H1620="","",IFERROR(SUMIFS(BD_PLAN!$I$3:$I$312,BD_PLAN!$B$3:$B$312,E1620,BD_PLAN!$C$3:$C$312,INDEX(BD_CICLO!$F$3:$F$54,MATCH(E1620&amp;"|"&amp;H1620,BD_CICLO!$G$3:$G$54,0))),""))</f>
        <v/>
      </c>
      <c r="L1620" s="9"/>
      <c r="M1620" s="9"/>
      <c r="N1620" s="1" t="str">
        <f aca="false">IF(C1620="","",C1620&amp;"|"&amp;COUNTIF(C$3:C1620,C1620))</f>
        <v/>
      </c>
      <c r="O1620" s="1" t="str">
        <f aca="false">IF(OR(C1620="",M1620=""),"",C1620&amp;"|"&amp;COUNTIFS(C$3:C1620,C1620,M$3:M1620,"&lt;&gt;"))</f>
        <v/>
      </c>
    </row>
    <row r="1621" customFormat="false" ht="15" hidden="false" customHeight="false" outlineLevel="0" collapsed="false">
      <c r="B1621" s="7"/>
      <c r="C1621" s="5"/>
      <c r="D1621" s="9" t="str">
        <f aca="false">IF(C1621="","",IFERROR(VLOOKUP(C1621,EQUIPOS!$B$3:$C$18,2,0),"NO EXISTE"))</f>
        <v/>
      </c>
      <c r="E1621" s="9" t="str">
        <f aca="false">IF(C1621="","",IFERROR(VLOOKUP(C1621,EQUIPOS!$B$3:$F$18,5,0),""))</f>
        <v/>
      </c>
      <c r="F1621" s="5" t="str">
        <f aca="false">IF(C1621="","",IFERROR(VLOOKUP(C1621,EQUIPOS!$B$3:$G$18,6,0),""))</f>
        <v/>
      </c>
      <c r="G1621" s="8"/>
      <c r="H1621" s="5"/>
      <c r="I1621" s="5"/>
      <c r="J1621" s="9"/>
      <c r="K1621" s="17" t="str">
        <f aca="false">IF(H1621="","",IFERROR(SUMIFS(BD_PLAN!$I$3:$I$312,BD_PLAN!$B$3:$B$312,E1621,BD_PLAN!$C$3:$C$312,INDEX(BD_CICLO!$F$3:$F$54,MATCH(E1621&amp;"|"&amp;H1621,BD_CICLO!$G$3:$G$54,0))),""))</f>
        <v/>
      </c>
      <c r="L1621" s="9"/>
      <c r="M1621" s="9"/>
      <c r="N1621" s="1" t="str">
        <f aca="false">IF(C1621="","",C1621&amp;"|"&amp;COUNTIF(C$3:C1621,C1621))</f>
        <v/>
      </c>
      <c r="O1621" s="1" t="str">
        <f aca="false">IF(OR(C1621="",M1621=""),"",C1621&amp;"|"&amp;COUNTIFS(C$3:C1621,C1621,M$3:M1621,"&lt;&gt;"))</f>
        <v/>
      </c>
    </row>
    <row r="1622" customFormat="false" ht="15" hidden="false" customHeight="false" outlineLevel="0" collapsed="false">
      <c r="B1622" s="7"/>
      <c r="C1622" s="5"/>
      <c r="D1622" s="9" t="str">
        <f aca="false">IF(C1622="","",IFERROR(VLOOKUP(C1622,EQUIPOS!$B$3:$C$18,2,0),"NO EXISTE"))</f>
        <v/>
      </c>
      <c r="E1622" s="9" t="str">
        <f aca="false">IF(C1622="","",IFERROR(VLOOKUP(C1622,EQUIPOS!$B$3:$F$18,5,0),""))</f>
        <v/>
      </c>
      <c r="F1622" s="5" t="str">
        <f aca="false">IF(C1622="","",IFERROR(VLOOKUP(C1622,EQUIPOS!$B$3:$G$18,6,0),""))</f>
        <v/>
      </c>
      <c r="G1622" s="8"/>
      <c r="H1622" s="5"/>
      <c r="I1622" s="5"/>
      <c r="J1622" s="9"/>
      <c r="K1622" s="17" t="str">
        <f aca="false">IF(H1622="","",IFERROR(SUMIFS(BD_PLAN!$I$3:$I$312,BD_PLAN!$B$3:$B$312,E1622,BD_PLAN!$C$3:$C$312,INDEX(BD_CICLO!$F$3:$F$54,MATCH(E1622&amp;"|"&amp;H1622,BD_CICLO!$G$3:$G$54,0))),""))</f>
        <v/>
      </c>
      <c r="L1622" s="9"/>
      <c r="M1622" s="9"/>
      <c r="N1622" s="1" t="str">
        <f aca="false">IF(C1622="","",C1622&amp;"|"&amp;COUNTIF(C$3:C1622,C1622))</f>
        <v/>
      </c>
      <c r="O1622" s="1" t="str">
        <f aca="false">IF(OR(C1622="",M1622=""),"",C1622&amp;"|"&amp;COUNTIFS(C$3:C1622,C1622,M$3:M1622,"&lt;&gt;"))</f>
        <v/>
      </c>
    </row>
    <row r="1623" customFormat="false" ht="15" hidden="false" customHeight="false" outlineLevel="0" collapsed="false">
      <c r="B1623" s="7"/>
      <c r="C1623" s="5"/>
      <c r="D1623" s="9" t="str">
        <f aca="false">IF(C1623="","",IFERROR(VLOOKUP(C1623,EQUIPOS!$B$3:$C$18,2,0),"NO EXISTE"))</f>
        <v/>
      </c>
      <c r="E1623" s="9" t="str">
        <f aca="false">IF(C1623="","",IFERROR(VLOOKUP(C1623,EQUIPOS!$B$3:$F$18,5,0),""))</f>
        <v/>
      </c>
      <c r="F1623" s="5" t="str">
        <f aca="false">IF(C1623="","",IFERROR(VLOOKUP(C1623,EQUIPOS!$B$3:$G$18,6,0),""))</f>
        <v/>
      </c>
      <c r="G1623" s="8"/>
      <c r="H1623" s="5"/>
      <c r="I1623" s="5"/>
      <c r="J1623" s="9"/>
      <c r="K1623" s="17" t="str">
        <f aca="false">IF(H1623="","",IFERROR(SUMIFS(BD_PLAN!$I$3:$I$312,BD_PLAN!$B$3:$B$312,E1623,BD_PLAN!$C$3:$C$312,INDEX(BD_CICLO!$F$3:$F$54,MATCH(E1623&amp;"|"&amp;H1623,BD_CICLO!$G$3:$G$54,0))),""))</f>
        <v/>
      </c>
      <c r="L1623" s="9"/>
      <c r="M1623" s="9"/>
      <c r="N1623" s="1" t="str">
        <f aca="false">IF(C1623="","",C1623&amp;"|"&amp;COUNTIF(C$3:C1623,C1623))</f>
        <v/>
      </c>
      <c r="O1623" s="1" t="str">
        <f aca="false">IF(OR(C1623="",M1623=""),"",C1623&amp;"|"&amp;COUNTIFS(C$3:C1623,C1623,M$3:M1623,"&lt;&gt;"))</f>
        <v/>
      </c>
    </row>
    <row r="1624" customFormat="false" ht="15" hidden="false" customHeight="false" outlineLevel="0" collapsed="false">
      <c r="B1624" s="7"/>
      <c r="C1624" s="5"/>
      <c r="D1624" s="9" t="str">
        <f aca="false">IF(C1624="","",IFERROR(VLOOKUP(C1624,EQUIPOS!$B$3:$C$18,2,0),"NO EXISTE"))</f>
        <v/>
      </c>
      <c r="E1624" s="9" t="str">
        <f aca="false">IF(C1624="","",IFERROR(VLOOKUP(C1624,EQUIPOS!$B$3:$F$18,5,0),""))</f>
        <v/>
      </c>
      <c r="F1624" s="5" t="str">
        <f aca="false">IF(C1624="","",IFERROR(VLOOKUP(C1624,EQUIPOS!$B$3:$G$18,6,0),""))</f>
        <v/>
      </c>
      <c r="G1624" s="8"/>
      <c r="H1624" s="5"/>
      <c r="I1624" s="5"/>
      <c r="J1624" s="9"/>
      <c r="K1624" s="17" t="str">
        <f aca="false">IF(H1624="","",IFERROR(SUMIFS(BD_PLAN!$I$3:$I$312,BD_PLAN!$B$3:$B$312,E1624,BD_PLAN!$C$3:$C$312,INDEX(BD_CICLO!$F$3:$F$54,MATCH(E1624&amp;"|"&amp;H1624,BD_CICLO!$G$3:$G$54,0))),""))</f>
        <v/>
      </c>
      <c r="L1624" s="9"/>
      <c r="M1624" s="9"/>
      <c r="N1624" s="1" t="str">
        <f aca="false">IF(C1624="","",C1624&amp;"|"&amp;COUNTIF(C$3:C1624,C1624))</f>
        <v/>
      </c>
      <c r="O1624" s="1" t="str">
        <f aca="false">IF(OR(C1624="",M1624=""),"",C1624&amp;"|"&amp;COUNTIFS(C$3:C1624,C1624,M$3:M1624,"&lt;&gt;"))</f>
        <v/>
      </c>
    </row>
    <row r="1625" customFormat="false" ht="15" hidden="false" customHeight="false" outlineLevel="0" collapsed="false">
      <c r="B1625" s="7"/>
      <c r="C1625" s="5"/>
      <c r="D1625" s="9" t="str">
        <f aca="false">IF(C1625="","",IFERROR(VLOOKUP(C1625,EQUIPOS!$B$3:$C$18,2,0),"NO EXISTE"))</f>
        <v/>
      </c>
      <c r="E1625" s="9" t="str">
        <f aca="false">IF(C1625="","",IFERROR(VLOOKUP(C1625,EQUIPOS!$B$3:$F$18,5,0),""))</f>
        <v/>
      </c>
      <c r="F1625" s="5" t="str">
        <f aca="false">IF(C1625="","",IFERROR(VLOOKUP(C1625,EQUIPOS!$B$3:$G$18,6,0),""))</f>
        <v/>
      </c>
      <c r="G1625" s="8"/>
      <c r="H1625" s="5"/>
      <c r="I1625" s="5"/>
      <c r="J1625" s="9"/>
      <c r="K1625" s="17" t="str">
        <f aca="false">IF(H1625="","",IFERROR(SUMIFS(BD_PLAN!$I$3:$I$312,BD_PLAN!$B$3:$B$312,E1625,BD_PLAN!$C$3:$C$312,INDEX(BD_CICLO!$F$3:$F$54,MATCH(E1625&amp;"|"&amp;H1625,BD_CICLO!$G$3:$G$54,0))),""))</f>
        <v/>
      </c>
      <c r="L1625" s="9"/>
      <c r="M1625" s="9"/>
      <c r="N1625" s="1" t="str">
        <f aca="false">IF(C1625="","",C1625&amp;"|"&amp;COUNTIF(C$3:C1625,C1625))</f>
        <v/>
      </c>
      <c r="O1625" s="1" t="str">
        <f aca="false">IF(OR(C1625="",M1625=""),"",C1625&amp;"|"&amp;COUNTIFS(C$3:C1625,C1625,M$3:M1625,"&lt;&gt;"))</f>
        <v/>
      </c>
    </row>
    <row r="1626" customFormat="false" ht="15" hidden="false" customHeight="false" outlineLevel="0" collapsed="false">
      <c r="B1626" s="7"/>
      <c r="C1626" s="5"/>
      <c r="D1626" s="9" t="str">
        <f aca="false">IF(C1626="","",IFERROR(VLOOKUP(C1626,EQUIPOS!$B$3:$C$18,2,0),"NO EXISTE"))</f>
        <v/>
      </c>
      <c r="E1626" s="9" t="str">
        <f aca="false">IF(C1626="","",IFERROR(VLOOKUP(C1626,EQUIPOS!$B$3:$F$18,5,0),""))</f>
        <v/>
      </c>
      <c r="F1626" s="5" t="str">
        <f aca="false">IF(C1626="","",IFERROR(VLOOKUP(C1626,EQUIPOS!$B$3:$G$18,6,0),""))</f>
        <v/>
      </c>
      <c r="G1626" s="8"/>
      <c r="H1626" s="5"/>
      <c r="I1626" s="5"/>
      <c r="J1626" s="9"/>
      <c r="K1626" s="17" t="str">
        <f aca="false">IF(H1626="","",IFERROR(SUMIFS(BD_PLAN!$I$3:$I$312,BD_PLAN!$B$3:$B$312,E1626,BD_PLAN!$C$3:$C$312,INDEX(BD_CICLO!$F$3:$F$54,MATCH(E1626&amp;"|"&amp;H1626,BD_CICLO!$G$3:$G$54,0))),""))</f>
        <v/>
      </c>
      <c r="L1626" s="9"/>
      <c r="M1626" s="9"/>
      <c r="N1626" s="1" t="str">
        <f aca="false">IF(C1626="","",C1626&amp;"|"&amp;COUNTIF(C$3:C1626,C1626))</f>
        <v/>
      </c>
      <c r="O1626" s="1" t="str">
        <f aca="false">IF(OR(C1626="",M1626=""),"",C1626&amp;"|"&amp;COUNTIFS(C$3:C1626,C1626,M$3:M1626,"&lt;&gt;"))</f>
        <v/>
      </c>
    </row>
    <row r="1627" customFormat="false" ht="15" hidden="false" customHeight="false" outlineLevel="0" collapsed="false">
      <c r="B1627" s="7"/>
      <c r="C1627" s="5"/>
      <c r="D1627" s="9" t="str">
        <f aca="false">IF(C1627="","",IFERROR(VLOOKUP(C1627,EQUIPOS!$B$3:$C$18,2,0),"NO EXISTE"))</f>
        <v/>
      </c>
      <c r="E1627" s="9" t="str">
        <f aca="false">IF(C1627="","",IFERROR(VLOOKUP(C1627,EQUIPOS!$B$3:$F$18,5,0),""))</f>
        <v/>
      </c>
      <c r="F1627" s="5" t="str">
        <f aca="false">IF(C1627="","",IFERROR(VLOOKUP(C1627,EQUIPOS!$B$3:$G$18,6,0),""))</f>
        <v/>
      </c>
      <c r="G1627" s="8"/>
      <c r="H1627" s="5"/>
      <c r="I1627" s="5"/>
      <c r="J1627" s="9"/>
      <c r="K1627" s="17" t="str">
        <f aca="false">IF(H1627="","",IFERROR(SUMIFS(BD_PLAN!$I$3:$I$312,BD_PLAN!$B$3:$B$312,E1627,BD_PLAN!$C$3:$C$312,INDEX(BD_CICLO!$F$3:$F$54,MATCH(E1627&amp;"|"&amp;H1627,BD_CICLO!$G$3:$G$54,0))),""))</f>
        <v/>
      </c>
      <c r="L1627" s="9"/>
      <c r="M1627" s="9"/>
      <c r="N1627" s="1" t="str">
        <f aca="false">IF(C1627="","",C1627&amp;"|"&amp;COUNTIF(C$3:C1627,C1627))</f>
        <v/>
      </c>
      <c r="O1627" s="1" t="str">
        <f aca="false">IF(OR(C1627="",M1627=""),"",C1627&amp;"|"&amp;COUNTIFS(C$3:C1627,C1627,M$3:M1627,"&lt;&gt;"))</f>
        <v/>
      </c>
    </row>
    <row r="1628" customFormat="false" ht="15" hidden="false" customHeight="false" outlineLevel="0" collapsed="false">
      <c r="B1628" s="7"/>
      <c r="C1628" s="5"/>
      <c r="D1628" s="9" t="str">
        <f aca="false">IF(C1628="","",IFERROR(VLOOKUP(C1628,EQUIPOS!$B$3:$C$18,2,0),"NO EXISTE"))</f>
        <v/>
      </c>
      <c r="E1628" s="9" t="str">
        <f aca="false">IF(C1628="","",IFERROR(VLOOKUP(C1628,EQUIPOS!$B$3:$F$18,5,0),""))</f>
        <v/>
      </c>
      <c r="F1628" s="5" t="str">
        <f aca="false">IF(C1628="","",IFERROR(VLOOKUP(C1628,EQUIPOS!$B$3:$G$18,6,0),""))</f>
        <v/>
      </c>
      <c r="G1628" s="8"/>
      <c r="H1628" s="5"/>
      <c r="I1628" s="5"/>
      <c r="J1628" s="9"/>
      <c r="K1628" s="17" t="str">
        <f aca="false">IF(H1628="","",IFERROR(SUMIFS(BD_PLAN!$I$3:$I$312,BD_PLAN!$B$3:$B$312,E1628,BD_PLAN!$C$3:$C$312,INDEX(BD_CICLO!$F$3:$F$54,MATCH(E1628&amp;"|"&amp;H1628,BD_CICLO!$G$3:$G$54,0))),""))</f>
        <v/>
      </c>
      <c r="L1628" s="9"/>
      <c r="M1628" s="9"/>
      <c r="N1628" s="1" t="str">
        <f aca="false">IF(C1628="","",C1628&amp;"|"&amp;COUNTIF(C$3:C1628,C1628))</f>
        <v/>
      </c>
      <c r="O1628" s="1" t="str">
        <f aca="false">IF(OR(C1628="",M1628=""),"",C1628&amp;"|"&amp;COUNTIFS(C$3:C1628,C1628,M$3:M1628,"&lt;&gt;"))</f>
        <v/>
      </c>
    </row>
    <row r="1629" customFormat="false" ht="15" hidden="false" customHeight="false" outlineLevel="0" collapsed="false">
      <c r="B1629" s="7"/>
      <c r="C1629" s="5"/>
      <c r="D1629" s="9" t="str">
        <f aca="false">IF(C1629="","",IFERROR(VLOOKUP(C1629,EQUIPOS!$B$3:$C$18,2,0),"NO EXISTE"))</f>
        <v/>
      </c>
      <c r="E1629" s="9" t="str">
        <f aca="false">IF(C1629="","",IFERROR(VLOOKUP(C1629,EQUIPOS!$B$3:$F$18,5,0),""))</f>
        <v/>
      </c>
      <c r="F1629" s="5" t="str">
        <f aca="false">IF(C1629="","",IFERROR(VLOOKUP(C1629,EQUIPOS!$B$3:$G$18,6,0),""))</f>
        <v/>
      </c>
      <c r="G1629" s="8"/>
      <c r="H1629" s="5"/>
      <c r="I1629" s="5"/>
      <c r="J1629" s="9"/>
      <c r="K1629" s="17" t="str">
        <f aca="false">IF(H1629="","",IFERROR(SUMIFS(BD_PLAN!$I$3:$I$312,BD_PLAN!$B$3:$B$312,E1629,BD_PLAN!$C$3:$C$312,INDEX(BD_CICLO!$F$3:$F$54,MATCH(E1629&amp;"|"&amp;H1629,BD_CICLO!$G$3:$G$54,0))),""))</f>
        <v/>
      </c>
      <c r="L1629" s="9"/>
      <c r="M1629" s="9"/>
      <c r="N1629" s="1" t="str">
        <f aca="false">IF(C1629="","",C1629&amp;"|"&amp;COUNTIF(C$3:C1629,C1629))</f>
        <v/>
      </c>
      <c r="O1629" s="1" t="str">
        <f aca="false">IF(OR(C1629="",M1629=""),"",C1629&amp;"|"&amp;COUNTIFS(C$3:C1629,C1629,M$3:M1629,"&lt;&gt;"))</f>
        <v/>
      </c>
    </row>
    <row r="1630" customFormat="false" ht="15" hidden="false" customHeight="false" outlineLevel="0" collapsed="false">
      <c r="B1630" s="7"/>
      <c r="C1630" s="5"/>
      <c r="D1630" s="9" t="str">
        <f aca="false">IF(C1630="","",IFERROR(VLOOKUP(C1630,EQUIPOS!$B$3:$C$18,2,0),"NO EXISTE"))</f>
        <v/>
      </c>
      <c r="E1630" s="9" t="str">
        <f aca="false">IF(C1630="","",IFERROR(VLOOKUP(C1630,EQUIPOS!$B$3:$F$18,5,0),""))</f>
        <v/>
      </c>
      <c r="F1630" s="5" t="str">
        <f aca="false">IF(C1630="","",IFERROR(VLOOKUP(C1630,EQUIPOS!$B$3:$G$18,6,0),""))</f>
        <v/>
      </c>
      <c r="G1630" s="8"/>
      <c r="H1630" s="5"/>
      <c r="I1630" s="5"/>
      <c r="J1630" s="9"/>
      <c r="K1630" s="17" t="str">
        <f aca="false">IF(H1630="","",IFERROR(SUMIFS(BD_PLAN!$I$3:$I$312,BD_PLAN!$B$3:$B$312,E1630,BD_PLAN!$C$3:$C$312,INDEX(BD_CICLO!$F$3:$F$54,MATCH(E1630&amp;"|"&amp;H1630,BD_CICLO!$G$3:$G$54,0))),""))</f>
        <v/>
      </c>
      <c r="L1630" s="9"/>
      <c r="M1630" s="9"/>
      <c r="N1630" s="1" t="str">
        <f aca="false">IF(C1630="","",C1630&amp;"|"&amp;COUNTIF(C$3:C1630,C1630))</f>
        <v/>
      </c>
      <c r="O1630" s="1" t="str">
        <f aca="false">IF(OR(C1630="",M1630=""),"",C1630&amp;"|"&amp;COUNTIFS(C$3:C1630,C1630,M$3:M1630,"&lt;&gt;"))</f>
        <v/>
      </c>
    </row>
    <row r="1631" customFormat="false" ht="15" hidden="false" customHeight="false" outlineLevel="0" collapsed="false">
      <c r="B1631" s="7"/>
      <c r="C1631" s="5"/>
      <c r="D1631" s="9" t="str">
        <f aca="false">IF(C1631="","",IFERROR(VLOOKUP(C1631,EQUIPOS!$B$3:$C$18,2,0),"NO EXISTE"))</f>
        <v/>
      </c>
      <c r="E1631" s="9" t="str">
        <f aca="false">IF(C1631="","",IFERROR(VLOOKUP(C1631,EQUIPOS!$B$3:$F$18,5,0),""))</f>
        <v/>
      </c>
      <c r="F1631" s="5" t="str">
        <f aca="false">IF(C1631="","",IFERROR(VLOOKUP(C1631,EQUIPOS!$B$3:$G$18,6,0),""))</f>
        <v/>
      </c>
      <c r="G1631" s="8"/>
      <c r="H1631" s="5"/>
      <c r="I1631" s="5"/>
      <c r="J1631" s="9"/>
      <c r="K1631" s="17" t="str">
        <f aca="false">IF(H1631="","",IFERROR(SUMIFS(BD_PLAN!$I$3:$I$312,BD_PLAN!$B$3:$B$312,E1631,BD_PLAN!$C$3:$C$312,INDEX(BD_CICLO!$F$3:$F$54,MATCH(E1631&amp;"|"&amp;H1631,BD_CICLO!$G$3:$G$54,0))),""))</f>
        <v/>
      </c>
      <c r="L1631" s="9"/>
      <c r="M1631" s="9"/>
      <c r="N1631" s="1" t="str">
        <f aca="false">IF(C1631="","",C1631&amp;"|"&amp;COUNTIF(C$3:C1631,C1631))</f>
        <v/>
      </c>
      <c r="O1631" s="1" t="str">
        <f aca="false">IF(OR(C1631="",M1631=""),"",C1631&amp;"|"&amp;COUNTIFS(C$3:C1631,C1631,M$3:M1631,"&lt;&gt;"))</f>
        <v/>
      </c>
    </row>
    <row r="1632" customFormat="false" ht="15" hidden="false" customHeight="false" outlineLevel="0" collapsed="false">
      <c r="B1632" s="7"/>
      <c r="C1632" s="5"/>
      <c r="D1632" s="9" t="str">
        <f aca="false">IF(C1632="","",IFERROR(VLOOKUP(C1632,EQUIPOS!$B$3:$C$18,2,0),"NO EXISTE"))</f>
        <v/>
      </c>
      <c r="E1632" s="9" t="str">
        <f aca="false">IF(C1632="","",IFERROR(VLOOKUP(C1632,EQUIPOS!$B$3:$F$18,5,0),""))</f>
        <v/>
      </c>
      <c r="F1632" s="5" t="str">
        <f aca="false">IF(C1632="","",IFERROR(VLOOKUP(C1632,EQUIPOS!$B$3:$G$18,6,0),""))</f>
        <v/>
      </c>
      <c r="G1632" s="8"/>
      <c r="H1632" s="5"/>
      <c r="I1632" s="5"/>
      <c r="J1632" s="9"/>
      <c r="K1632" s="17" t="str">
        <f aca="false">IF(H1632="","",IFERROR(SUMIFS(BD_PLAN!$I$3:$I$312,BD_PLAN!$B$3:$B$312,E1632,BD_PLAN!$C$3:$C$312,INDEX(BD_CICLO!$F$3:$F$54,MATCH(E1632&amp;"|"&amp;H1632,BD_CICLO!$G$3:$G$54,0))),""))</f>
        <v/>
      </c>
      <c r="L1632" s="9"/>
      <c r="M1632" s="9"/>
      <c r="N1632" s="1" t="str">
        <f aca="false">IF(C1632="","",C1632&amp;"|"&amp;COUNTIF(C$3:C1632,C1632))</f>
        <v/>
      </c>
      <c r="O1632" s="1" t="str">
        <f aca="false">IF(OR(C1632="",M1632=""),"",C1632&amp;"|"&amp;COUNTIFS(C$3:C1632,C1632,M$3:M1632,"&lt;&gt;"))</f>
        <v/>
      </c>
    </row>
    <row r="1633" customFormat="false" ht="15" hidden="false" customHeight="false" outlineLevel="0" collapsed="false">
      <c r="B1633" s="7"/>
      <c r="C1633" s="5"/>
      <c r="D1633" s="9" t="str">
        <f aca="false">IF(C1633="","",IFERROR(VLOOKUP(C1633,EQUIPOS!$B$3:$C$18,2,0),"NO EXISTE"))</f>
        <v/>
      </c>
      <c r="E1633" s="9" t="str">
        <f aca="false">IF(C1633="","",IFERROR(VLOOKUP(C1633,EQUIPOS!$B$3:$F$18,5,0),""))</f>
        <v/>
      </c>
      <c r="F1633" s="5" t="str">
        <f aca="false">IF(C1633="","",IFERROR(VLOOKUP(C1633,EQUIPOS!$B$3:$G$18,6,0),""))</f>
        <v/>
      </c>
      <c r="G1633" s="8"/>
      <c r="H1633" s="5"/>
      <c r="I1633" s="5"/>
      <c r="J1633" s="9"/>
      <c r="K1633" s="17" t="str">
        <f aca="false">IF(H1633="","",IFERROR(SUMIFS(BD_PLAN!$I$3:$I$312,BD_PLAN!$B$3:$B$312,E1633,BD_PLAN!$C$3:$C$312,INDEX(BD_CICLO!$F$3:$F$54,MATCH(E1633&amp;"|"&amp;H1633,BD_CICLO!$G$3:$G$54,0))),""))</f>
        <v/>
      </c>
      <c r="L1633" s="9"/>
      <c r="M1633" s="9"/>
      <c r="N1633" s="1" t="str">
        <f aca="false">IF(C1633="","",C1633&amp;"|"&amp;COUNTIF(C$3:C1633,C1633))</f>
        <v/>
      </c>
      <c r="O1633" s="1" t="str">
        <f aca="false">IF(OR(C1633="",M1633=""),"",C1633&amp;"|"&amp;COUNTIFS(C$3:C1633,C1633,M$3:M1633,"&lt;&gt;"))</f>
        <v/>
      </c>
    </row>
    <row r="1634" customFormat="false" ht="15" hidden="false" customHeight="false" outlineLevel="0" collapsed="false">
      <c r="B1634" s="7"/>
      <c r="C1634" s="5"/>
      <c r="D1634" s="9" t="str">
        <f aca="false">IF(C1634="","",IFERROR(VLOOKUP(C1634,EQUIPOS!$B$3:$C$18,2,0),"NO EXISTE"))</f>
        <v/>
      </c>
      <c r="E1634" s="9" t="str">
        <f aca="false">IF(C1634="","",IFERROR(VLOOKUP(C1634,EQUIPOS!$B$3:$F$18,5,0),""))</f>
        <v/>
      </c>
      <c r="F1634" s="5" t="str">
        <f aca="false">IF(C1634="","",IFERROR(VLOOKUP(C1634,EQUIPOS!$B$3:$G$18,6,0),""))</f>
        <v/>
      </c>
      <c r="G1634" s="8"/>
      <c r="H1634" s="5"/>
      <c r="I1634" s="5"/>
      <c r="J1634" s="9"/>
      <c r="K1634" s="17" t="str">
        <f aca="false">IF(H1634="","",IFERROR(SUMIFS(BD_PLAN!$I$3:$I$312,BD_PLAN!$B$3:$B$312,E1634,BD_PLAN!$C$3:$C$312,INDEX(BD_CICLO!$F$3:$F$54,MATCH(E1634&amp;"|"&amp;H1634,BD_CICLO!$G$3:$G$54,0))),""))</f>
        <v/>
      </c>
      <c r="L1634" s="9"/>
      <c r="M1634" s="9"/>
      <c r="N1634" s="1" t="str">
        <f aca="false">IF(C1634="","",C1634&amp;"|"&amp;COUNTIF(C$3:C1634,C1634))</f>
        <v/>
      </c>
      <c r="O1634" s="1" t="str">
        <f aca="false">IF(OR(C1634="",M1634=""),"",C1634&amp;"|"&amp;COUNTIFS(C$3:C1634,C1634,M$3:M1634,"&lt;&gt;"))</f>
        <v/>
      </c>
    </row>
    <row r="1635" customFormat="false" ht="15" hidden="false" customHeight="false" outlineLevel="0" collapsed="false">
      <c r="B1635" s="7"/>
      <c r="C1635" s="5"/>
      <c r="D1635" s="9" t="str">
        <f aca="false">IF(C1635="","",IFERROR(VLOOKUP(C1635,EQUIPOS!$B$3:$C$18,2,0),"NO EXISTE"))</f>
        <v/>
      </c>
      <c r="E1635" s="9" t="str">
        <f aca="false">IF(C1635="","",IFERROR(VLOOKUP(C1635,EQUIPOS!$B$3:$F$18,5,0),""))</f>
        <v/>
      </c>
      <c r="F1635" s="5" t="str">
        <f aca="false">IF(C1635="","",IFERROR(VLOOKUP(C1635,EQUIPOS!$B$3:$G$18,6,0),""))</f>
        <v/>
      </c>
      <c r="G1635" s="8"/>
      <c r="H1635" s="5"/>
      <c r="I1635" s="5"/>
      <c r="J1635" s="9"/>
      <c r="K1635" s="17" t="str">
        <f aca="false">IF(H1635="","",IFERROR(SUMIFS(BD_PLAN!$I$3:$I$312,BD_PLAN!$B$3:$B$312,E1635,BD_PLAN!$C$3:$C$312,INDEX(BD_CICLO!$F$3:$F$54,MATCH(E1635&amp;"|"&amp;H1635,BD_CICLO!$G$3:$G$54,0))),""))</f>
        <v/>
      </c>
      <c r="L1635" s="9"/>
      <c r="M1635" s="9"/>
      <c r="N1635" s="1" t="str">
        <f aca="false">IF(C1635="","",C1635&amp;"|"&amp;COUNTIF(C$3:C1635,C1635))</f>
        <v/>
      </c>
      <c r="O1635" s="1" t="str">
        <f aca="false">IF(OR(C1635="",M1635=""),"",C1635&amp;"|"&amp;COUNTIFS(C$3:C1635,C1635,M$3:M1635,"&lt;&gt;"))</f>
        <v/>
      </c>
    </row>
    <row r="1636" customFormat="false" ht="15" hidden="false" customHeight="false" outlineLevel="0" collapsed="false">
      <c r="B1636" s="7"/>
      <c r="C1636" s="5"/>
      <c r="D1636" s="9" t="str">
        <f aca="false">IF(C1636="","",IFERROR(VLOOKUP(C1636,EQUIPOS!$B$3:$C$18,2,0),"NO EXISTE"))</f>
        <v/>
      </c>
      <c r="E1636" s="9" t="str">
        <f aca="false">IF(C1636="","",IFERROR(VLOOKUP(C1636,EQUIPOS!$B$3:$F$18,5,0),""))</f>
        <v/>
      </c>
      <c r="F1636" s="5" t="str">
        <f aca="false">IF(C1636="","",IFERROR(VLOOKUP(C1636,EQUIPOS!$B$3:$G$18,6,0),""))</f>
        <v/>
      </c>
      <c r="G1636" s="8"/>
      <c r="H1636" s="5"/>
      <c r="I1636" s="5"/>
      <c r="J1636" s="9"/>
      <c r="K1636" s="17" t="str">
        <f aca="false">IF(H1636="","",IFERROR(SUMIFS(BD_PLAN!$I$3:$I$312,BD_PLAN!$B$3:$B$312,E1636,BD_PLAN!$C$3:$C$312,INDEX(BD_CICLO!$F$3:$F$54,MATCH(E1636&amp;"|"&amp;H1636,BD_CICLO!$G$3:$G$54,0))),""))</f>
        <v/>
      </c>
      <c r="L1636" s="9"/>
      <c r="M1636" s="9"/>
      <c r="N1636" s="1" t="str">
        <f aca="false">IF(C1636="","",C1636&amp;"|"&amp;COUNTIF(C$3:C1636,C1636))</f>
        <v/>
      </c>
      <c r="O1636" s="1" t="str">
        <f aca="false">IF(OR(C1636="",M1636=""),"",C1636&amp;"|"&amp;COUNTIFS(C$3:C1636,C1636,M$3:M1636,"&lt;&gt;"))</f>
        <v/>
      </c>
    </row>
    <row r="1637" customFormat="false" ht="15" hidden="false" customHeight="false" outlineLevel="0" collapsed="false">
      <c r="B1637" s="7"/>
      <c r="C1637" s="5"/>
      <c r="D1637" s="9" t="str">
        <f aca="false">IF(C1637="","",IFERROR(VLOOKUP(C1637,EQUIPOS!$B$3:$C$18,2,0),"NO EXISTE"))</f>
        <v/>
      </c>
      <c r="E1637" s="9" t="str">
        <f aca="false">IF(C1637="","",IFERROR(VLOOKUP(C1637,EQUIPOS!$B$3:$F$18,5,0),""))</f>
        <v/>
      </c>
      <c r="F1637" s="5" t="str">
        <f aca="false">IF(C1637="","",IFERROR(VLOOKUP(C1637,EQUIPOS!$B$3:$G$18,6,0),""))</f>
        <v/>
      </c>
      <c r="G1637" s="8"/>
      <c r="H1637" s="5"/>
      <c r="I1637" s="5"/>
      <c r="J1637" s="9"/>
      <c r="K1637" s="17" t="str">
        <f aca="false">IF(H1637="","",IFERROR(SUMIFS(BD_PLAN!$I$3:$I$312,BD_PLAN!$B$3:$B$312,E1637,BD_PLAN!$C$3:$C$312,INDEX(BD_CICLO!$F$3:$F$54,MATCH(E1637&amp;"|"&amp;H1637,BD_CICLO!$G$3:$G$54,0))),""))</f>
        <v/>
      </c>
      <c r="L1637" s="9"/>
      <c r="M1637" s="9"/>
      <c r="N1637" s="1" t="str">
        <f aca="false">IF(C1637="","",C1637&amp;"|"&amp;COUNTIF(C$3:C1637,C1637))</f>
        <v/>
      </c>
      <c r="O1637" s="1" t="str">
        <f aca="false">IF(OR(C1637="",M1637=""),"",C1637&amp;"|"&amp;COUNTIFS(C$3:C1637,C1637,M$3:M1637,"&lt;&gt;"))</f>
        <v/>
      </c>
    </row>
    <row r="1638" customFormat="false" ht="15" hidden="false" customHeight="false" outlineLevel="0" collapsed="false">
      <c r="B1638" s="7"/>
      <c r="C1638" s="5"/>
      <c r="D1638" s="9" t="str">
        <f aca="false">IF(C1638="","",IFERROR(VLOOKUP(C1638,EQUIPOS!$B$3:$C$18,2,0),"NO EXISTE"))</f>
        <v/>
      </c>
      <c r="E1638" s="9" t="str">
        <f aca="false">IF(C1638="","",IFERROR(VLOOKUP(C1638,EQUIPOS!$B$3:$F$18,5,0),""))</f>
        <v/>
      </c>
      <c r="F1638" s="5" t="str">
        <f aca="false">IF(C1638="","",IFERROR(VLOOKUP(C1638,EQUIPOS!$B$3:$G$18,6,0),""))</f>
        <v/>
      </c>
      <c r="G1638" s="8"/>
      <c r="H1638" s="5"/>
      <c r="I1638" s="5"/>
      <c r="J1638" s="9"/>
      <c r="K1638" s="17" t="str">
        <f aca="false">IF(H1638="","",IFERROR(SUMIFS(BD_PLAN!$I$3:$I$312,BD_PLAN!$B$3:$B$312,E1638,BD_PLAN!$C$3:$C$312,INDEX(BD_CICLO!$F$3:$F$54,MATCH(E1638&amp;"|"&amp;H1638,BD_CICLO!$G$3:$G$54,0))),""))</f>
        <v/>
      </c>
      <c r="L1638" s="9"/>
      <c r="M1638" s="9"/>
      <c r="N1638" s="1" t="str">
        <f aca="false">IF(C1638="","",C1638&amp;"|"&amp;COUNTIF(C$3:C1638,C1638))</f>
        <v/>
      </c>
      <c r="O1638" s="1" t="str">
        <f aca="false">IF(OR(C1638="",M1638=""),"",C1638&amp;"|"&amp;COUNTIFS(C$3:C1638,C1638,M$3:M1638,"&lt;&gt;"))</f>
        <v/>
      </c>
    </row>
    <row r="1639" customFormat="false" ht="15" hidden="false" customHeight="false" outlineLevel="0" collapsed="false">
      <c r="B1639" s="7"/>
      <c r="C1639" s="5"/>
      <c r="D1639" s="9" t="str">
        <f aca="false">IF(C1639="","",IFERROR(VLOOKUP(C1639,EQUIPOS!$B$3:$C$18,2,0),"NO EXISTE"))</f>
        <v/>
      </c>
      <c r="E1639" s="9" t="str">
        <f aca="false">IF(C1639="","",IFERROR(VLOOKUP(C1639,EQUIPOS!$B$3:$F$18,5,0),""))</f>
        <v/>
      </c>
      <c r="F1639" s="5" t="str">
        <f aca="false">IF(C1639="","",IFERROR(VLOOKUP(C1639,EQUIPOS!$B$3:$G$18,6,0),""))</f>
        <v/>
      </c>
      <c r="G1639" s="8"/>
      <c r="H1639" s="5"/>
      <c r="I1639" s="5"/>
      <c r="J1639" s="9"/>
      <c r="K1639" s="17" t="str">
        <f aca="false">IF(H1639="","",IFERROR(SUMIFS(BD_PLAN!$I$3:$I$312,BD_PLAN!$B$3:$B$312,E1639,BD_PLAN!$C$3:$C$312,INDEX(BD_CICLO!$F$3:$F$54,MATCH(E1639&amp;"|"&amp;H1639,BD_CICLO!$G$3:$G$54,0))),""))</f>
        <v/>
      </c>
      <c r="L1639" s="9"/>
      <c r="M1639" s="9"/>
      <c r="N1639" s="1" t="str">
        <f aca="false">IF(C1639="","",C1639&amp;"|"&amp;COUNTIF(C$3:C1639,C1639))</f>
        <v/>
      </c>
      <c r="O1639" s="1" t="str">
        <f aca="false">IF(OR(C1639="",M1639=""),"",C1639&amp;"|"&amp;COUNTIFS(C$3:C1639,C1639,M$3:M1639,"&lt;&gt;"))</f>
        <v/>
      </c>
    </row>
    <row r="1640" customFormat="false" ht="15" hidden="false" customHeight="false" outlineLevel="0" collapsed="false">
      <c r="B1640" s="7"/>
      <c r="C1640" s="5"/>
      <c r="D1640" s="9" t="str">
        <f aca="false">IF(C1640="","",IFERROR(VLOOKUP(C1640,EQUIPOS!$B$3:$C$18,2,0),"NO EXISTE"))</f>
        <v/>
      </c>
      <c r="E1640" s="9" t="str">
        <f aca="false">IF(C1640="","",IFERROR(VLOOKUP(C1640,EQUIPOS!$B$3:$F$18,5,0),""))</f>
        <v/>
      </c>
      <c r="F1640" s="5" t="str">
        <f aca="false">IF(C1640="","",IFERROR(VLOOKUP(C1640,EQUIPOS!$B$3:$G$18,6,0),""))</f>
        <v/>
      </c>
      <c r="G1640" s="8"/>
      <c r="H1640" s="5"/>
      <c r="I1640" s="5"/>
      <c r="J1640" s="9"/>
      <c r="K1640" s="17" t="str">
        <f aca="false">IF(H1640="","",IFERROR(SUMIFS(BD_PLAN!$I$3:$I$312,BD_PLAN!$B$3:$B$312,E1640,BD_PLAN!$C$3:$C$312,INDEX(BD_CICLO!$F$3:$F$54,MATCH(E1640&amp;"|"&amp;H1640,BD_CICLO!$G$3:$G$54,0))),""))</f>
        <v/>
      </c>
      <c r="L1640" s="9"/>
      <c r="M1640" s="9"/>
      <c r="N1640" s="1" t="str">
        <f aca="false">IF(C1640="","",C1640&amp;"|"&amp;COUNTIF(C$3:C1640,C1640))</f>
        <v/>
      </c>
      <c r="O1640" s="1" t="str">
        <f aca="false">IF(OR(C1640="",M1640=""),"",C1640&amp;"|"&amp;COUNTIFS(C$3:C1640,C1640,M$3:M1640,"&lt;&gt;"))</f>
        <v/>
      </c>
    </row>
    <row r="1641" customFormat="false" ht="15" hidden="false" customHeight="false" outlineLevel="0" collapsed="false">
      <c r="B1641" s="7"/>
      <c r="C1641" s="5"/>
      <c r="D1641" s="9" t="str">
        <f aca="false">IF(C1641="","",IFERROR(VLOOKUP(C1641,EQUIPOS!$B$3:$C$18,2,0),"NO EXISTE"))</f>
        <v/>
      </c>
      <c r="E1641" s="9" t="str">
        <f aca="false">IF(C1641="","",IFERROR(VLOOKUP(C1641,EQUIPOS!$B$3:$F$18,5,0),""))</f>
        <v/>
      </c>
      <c r="F1641" s="5" t="str">
        <f aca="false">IF(C1641="","",IFERROR(VLOOKUP(C1641,EQUIPOS!$B$3:$G$18,6,0),""))</f>
        <v/>
      </c>
      <c r="G1641" s="8"/>
      <c r="H1641" s="5"/>
      <c r="I1641" s="5"/>
      <c r="J1641" s="9"/>
      <c r="K1641" s="17" t="str">
        <f aca="false">IF(H1641="","",IFERROR(SUMIFS(BD_PLAN!$I$3:$I$312,BD_PLAN!$B$3:$B$312,E1641,BD_PLAN!$C$3:$C$312,INDEX(BD_CICLO!$F$3:$F$54,MATCH(E1641&amp;"|"&amp;H1641,BD_CICLO!$G$3:$G$54,0))),""))</f>
        <v/>
      </c>
      <c r="L1641" s="9"/>
      <c r="M1641" s="9"/>
      <c r="N1641" s="1" t="str">
        <f aca="false">IF(C1641="","",C1641&amp;"|"&amp;COUNTIF(C$3:C1641,C1641))</f>
        <v/>
      </c>
      <c r="O1641" s="1" t="str">
        <f aca="false">IF(OR(C1641="",M1641=""),"",C1641&amp;"|"&amp;COUNTIFS(C$3:C1641,C1641,M$3:M1641,"&lt;&gt;"))</f>
        <v/>
      </c>
    </row>
    <row r="1642" customFormat="false" ht="15" hidden="false" customHeight="false" outlineLevel="0" collapsed="false">
      <c r="B1642" s="7"/>
      <c r="C1642" s="5"/>
      <c r="D1642" s="9" t="str">
        <f aca="false">IF(C1642="","",IFERROR(VLOOKUP(C1642,EQUIPOS!$B$3:$C$18,2,0),"NO EXISTE"))</f>
        <v/>
      </c>
      <c r="E1642" s="9" t="str">
        <f aca="false">IF(C1642="","",IFERROR(VLOOKUP(C1642,EQUIPOS!$B$3:$F$18,5,0),""))</f>
        <v/>
      </c>
      <c r="F1642" s="5" t="str">
        <f aca="false">IF(C1642="","",IFERROR(VLOOKUP(C1642,EQUIPOS!$B$3:$G$18,6,0),""))</f>
        <v/>
      </c>
      <c r="G1642" s="8"/>
      <c r="H1642" s="5"/>
      <c r="I1642" s="5"/>
      <c r="J1642" s="9"/>
      <c r="K1642" s="17" t="str">
        <f aca="false">IF(H1642="","",IFERROR(SUMIFS(BD_PLAN!$I$3:$I$312,BD_PLAN!$B$3:$B$312,E1642,BD_PLAN!$C$3:$C$312,INDEX(BD_CICLO!$F$3:$F$54,MATCH(E1642&amp;"|"&amp;H1642,BD_CICLO!$G$3:$G$54,0))),""))</f>
        <v/>
      </c>
      <c r="L1642" s="9"/>
      <c r="M1642" s="9"/>
      <c r="N1642" s="1" t="str">
        <f aca="false">IF(C1642="","",C1642&amp;"|"&amp;COUNTIF(C$3:C1642,C1642))</f>
        <v/>
      </c>
      <c r="O1642" s="1" t="str">
        <f aca="false">IF(OR(C1642="",M1642=""),"",C1642&amp;"|"&amp;COUNTIFS(C$3:C1642,C1642,M$3:M1642,"&lt;&gt;"))</f>
        <v/>
      </c>
    </row>
    <row r="1643" customFormat="false" ht="15" hidden="false" customHeight="false" outlineLevel="0" collapsed="false">
      <c r="B1643" s="7"/>
      <c r="C1643" s="5"/>
      <c r="D1643" s="9" t="str">
        <f aca="false">IF(C1643="","",IFERROR(VLOOKUP(C1643,EQUIPOS!$B$3:$C$18,2,0),"NO EXISTE"))</f>
        <v/>
      </c>
      <c r="E1643" s="9" t="str">
        <f aca="false">IF(C1643="","",IFERROR(VLOOKUP(C1643,EQUIPOS!$B$3:$F$18,5,0),""))</f>
        <v/>
      </c>
      <c r="F1643" s="5" t="str">
        <f aca="false">IF(C1643="","",IFERROR(VLOOKUP(C1643,EQUIPOS!$B$3:$G$18,6,0),""))</f>
        <v/>
      </c>
      <c r="G1643" s="8"/>
      <c r="H1643" s="5"/>
      <c r="I1643" s="5"/>
      <c r="J1643" s="9"/>
      <c r="K1643" s="17" t="str">
        <f aca="false">IF(H1643="","",IFERROR(SUMIFS(BD_PLAN!$I$3:$I$312,BD_PLAN!$B$3:$B$312,E1643,BD_PLAN!$C$3:$C$312,INDEX(BD_CICLO!$F$3:$F$54,MATCH(E1643&amp;"|"&amp;H1643,BD_CICLO!$G$3:$G$54,0))),""))</f>
        <v/>
      </c>
      <c r="L1643" s="9"/>
      <c r="M1643" s="9"/>
      <c r="N1643" s="1" t="str">
        <f aca="false">IF(C1643="","",C1643&amp;"|"&amp;COUNTIF(C$3:C1643,C1643))</f>
        <v/>
      </c>
      <c r="O1643" s="1" t="str">
        <f aca="false">IF(OR(C1643="",M1643=""),"",C1643&amp;"|"&amp;COUNTIFS(C$3:C1643,C1643,M$3:M1643,"&lt;&gt;"))</f>
        <v/>
      </c>
    </row>
    <row r="1644" customFormat="false" ht="15" hidden="false" customHeight="false" outlineLevel="0" collapsed="false">
      <c r="B1644" s="7"/>
      <c r="C1644" s="5"/>
      <c r="D1644" s="9" t="str">
        <f aca="false">IF(C1644="","",IFERROR(VLOOKUP(C1644,EQUIPOS!$B$3:$C$18,2,0),"NO EXISTE"))</f>
        <v/>
      </c>
      <c r="E1644" s="9" t="str">
        <f aca="false">IF(C1644="","",IFERROR(VLOOKUP(C1644,EQUIPOS!$B$3:$F$18,5,0),""))</f>
        <v/>
      </c>
      <c r="F1644" s="5" t="str">
        <f aca="false">IF(C1644="","",IFERROR(VLOOKUP(C1644,EQUIPOS!$B$3:$G$18,6,0),""))</f>
        <v/>
      </c>
      <c r="G1644" s="8"/>
      <c r="H1644" s="5"/>
      <c r="I1644" s="5"/>
      <c r="J1644" s="9"/>
      <c r="K1644" s="17" t="str">
        <f aca="false">IF(H1644="","",IFERROR(SUMIFS(BD_PLAN!$I$3:$I$312,BD_PLAN!$B$3:$B$312,E1644,BD_PLAN!$C$3:$C$312,INDEX(BD_CICLO!$F$3:$F$54,MATCH(E1644&amp;"|"&amp;H1644,BD_CICLO!$G$3:$G$54,0))),""))</f>
        <v/>
      </c>
      <c r="L1644" s="9"/>
      <c r="M1644" s="9"/>
      <c r="N1644" s="1" t="str">
        <f aca="false">IF(C1644="","",C1644&amp;"|"&amp;COUNTIF(C$3:C1644,C1644))</f>
        <v/>
      </c>
      <c r="O1644" s="1" t="str">
        <f aca="false">IF(OR(C1644="",M1644=""),"",C1644&amp;"|"&amp;COUNTIFS(C$3:C1644,C1644,M$3:M1644,"&lt;&gt;"))</f>
        <v/>
      </c>
    </row>
    <row r="1645" customFormat="false" ht="15" hidden="false" customHeight="false" outlineLevel="0" collapsed="false">
      <c r="B1645" s="7"/>
      <c r="C1645" s="5"/>
      <c r="D1645" s="9" t="str">
        <f aca="false">IF(C1645="","",IFERROR(VLOOKUP(C1645,EQUIPOS!$B$3:$C$18,2,0),"NO EXISTE"))</f>
        <v/>
      </c>
      <c r="E1645" s="9" t="str">
        <f aca="false">IF(C1645="","",IFERROR(VLOOKUP(C1645,EQUIPOS!$B$3:$F$18,5,0),""))</f>
        <v/>
      </c>
      <c r="F1645" s="5" t="str">
        <f aca="false">IF(C1645="","",IFERROR(VLOOKUP(C1645,EQUIPOS!$B$3:$G$18,6,0),""))</f>
        <v/>
      </c>
      <c r="G1645" s="8"/>
      <c r="H1645" s="5"/>
      <c r="I1645" s="5"/>
      <c r="J1645" s="9"/>
      <c r="K1645" s="17" t="str">
        <f aca="false">IF(H1645="","",IFERROR(SUMIFS(BD_PLAN!$I$3:$I$312,BD_PLAN!$B$3:$B$312,E1645,BD_PLAN!$C$3:$C$312,INDEX(BD_CICLO!$F$3:$F$54,MATCH(E1645&amp;"|"&amp;H1645,BD_CICLO!$G$3:$G$54,0))),""))</f>
        <v/>
      </c>
      <c r="L1645" s="9"/>
      <c r="M1645" s="9"/>
      <c r="N1645" s="1" t="str">
        <f aca="false">IF(C1645="","",C1645&amp;"|"&amp;COUNTIF(C$3:C1645,C1645))</f>
        <v/>
      </c>
      <c r="O1645" s="1" t="str">
        <f aca="false">IF(OR(C1645="",M1645=""),"",C1645&amp;"|"&amp;COUNTIFS(C$3:C1645,C1645,M$3:M1645,"&lt;&gt;"))</f>
        <v/>
      </c>
    </row>
    <row r="1646" customFormat="false" ht="15" hidden="false" customHeight="false" outlineLevel="0" collapsed="false">
      <c r="B1646" s="7"/>
      <c r="C1646" s="5"/>
      <c r="D1646" s="9" t="str">
        <f aca="false">IF(C1646="","",IFERROR(VLOOKUP(C1646,EQUIPOS!$B$3:$C$18,2,0),"NO EXISTE"))</f>
        <v/>
      </c>
      <c r="E1646" s="9" t="str">
        <f aca="false">IF(C1646="","",IFERROR(VLOOKUP(C1646,EQUIPOS!$B$3:$F$18,5,0),""))</f>
        <v/>
      </c>
      <c r="F1646" s="5" t="str">
        <f aca="false">IF(C1646="","",IFERROR(VLOOKUP(C1646,EQUIPOS!$B$3:$G$18,6,0),""))</f>
        <v/>
      </c>
      <c r="G1646" s="8"/>
      <c r="H1646" s="5"/>
      <c r="I1646" s="5"/>
      <c r="J1646" s="9"/>
      <c r="K1646" s="17" t="str">
        <f aca="false">IF(H1646="","",IFERROR(SUMIFS(BD_PLAN!$I$3:$I$312,BD_PLAN!$B$3:$B$312,E1646,BD_PLAN!$C$3:$C$312,INDEX(BD_CICLO!$F$3:$F$54,MATCH(E1646&amp;"|"&amp;H1646,BD_CICLO!$G$3:$G$54,0))),""))</f>
        <v/>
      </c>
      <c r="L1646" s="9"/>
      <c r="M1646" s="9"/>
      <c r="N1646" s="1" t="str">
        <f aca="false">IF(C1646="","",C1646&amp;"|"&amp;COUNTIF(C$3:C1646,C1646))</f>
        <v/>
      </c>
      <c r="O1646" s="1" t="str">
        <f aca="false">IF(OR(C1646="",M1646=""),"",C1646&amp;"|"&amp;COUNTIFS(C$3:C1646,C1646,M$3:M1646,"&lt;&gt;"))</f>
        <v/>
      </c>
    </row>
    <row r="1647" customFormat="false" ht="15" hidden="false" customHeight="false" outlineLevel="0" collapsed="false">
      <c r="B1647" s="7"/>
      <c r="C1647" s="5"/>
      <c r="D1647" s="9" t="str">
        <f aca="false">IF(C1647="","",IFERROR(VLOOKUP(C1647,EQUIPOS!$B$3:$C$18,2,0),"NO EXISTE"))</f>
        <v/>
      </c>
      <c r="E1647" s="9" t="str">
        <f aca="false">IF(C1647="","",IFERROR(VLOOKUP(C1647,EQUIPOS!$B$3:$F$18,5,0),""))</f>
        <v/>
      </c>
      <c r="F1647" s="5" t="str">
        <f aca="false">IF(C1647="","",IFERROR(VLOOKUP(C1647,EQUIPOS!$B$3:$G$18,6,0),""))</f>
        <v/>
      </c>
      <c r="G1647" s="8"/>
      <c r="H1647" s="5"/>
      <c r="I1647" s="5"/>
      <c r="J1647" s="9"/>
      <c r="K1647" s="17" t="str">
        <f aca="false">IF(H1647="","",IFERROR(SUMIFS(BD_PLAN!$I$3:$I$312,BD_PLAN!$B$3:$B$312,E1647,BD_PLAN!$C$3:$C$312,INDEX(BD_CICLO!$F$3:$F$54,MATCH(E1647&amp;"|"&amp;H1647,BD_CICLO!$G$3:$G$54,0))),""))</f>
        <v/>
      </c>
      <c r="L1647" s="9"/>
      <c r="M1647" s="9"/>
      <c r="N1647" s="1" t="str">
        <f aca="false">IF(C1647="","",C1647&amp;"|"&amp;COUNTIF(C$3:C1647,C1647))</f>
        <v/>
      </c>
      <c r="O1647" s="1" t="str">
        <f aca="false">IF(OR(C1647="",M1647=""),"",C1647&amp;"|"&amp;COUNTIFS(C$3:C1647,C1647,M$3:M1647,"&lt;&gt;"))</f>
        <v/>
      </c>
    </row>
    <row r="1648" customFormat="false" ht="15" hidden="false" customHeight="false" outlineLevel="0" collapsed="false">
      <c r="B1648" s="7"/>
      <c r="C1648" s="5"/>
      <c r="D1648" s="9" t="str">
        <f aca="false">IF(C1648="","",IFERROR(VLOOKUP(C1648,EQUIPOS!$B$3:$C$18,2,0),"NO EXISTE"))</f>
        <v/>
      </c>
      <c r="E1648" s="9" t="str">
        <f aca="false">IF(C1648="","",IFERROR(VLOOKUP(C1648,EQUIPOS!$B$3:$F$18,5,0),""))</f>
        <v/>
      </c>
      <c r="F1648" s="5" t="str">
        <f aca="false">IF(C1648="","",IFERROR(VLOOKUP(C1648,EQUIPOS!$B$3:$G$18,6,0),""))</f>
        <v/>
      </c>
      <c r="G1648" s="8"/>
      <c r="H1648" s="5"/>
      <c r="I1648" s="5"/>
      <c r="J1648" s="9"/>
      <c r="K1648" s="17" t="str">
        <f aca="false">IF(H1648="","",IFERROR(SUMIFS(BD_PLAN!$I$3:$I$312,BD_PLAN!$B$3:$B$312,E1648,BD_PLAN!$C$3:$C$312,INDEX(BD_CICLO!$F$3:$F$54,MATCH(E1648&amp;"|"&amp;H1648,BD_CICLO!$G$3:$G$54,0))),""))</f>
        <v/>
      </c>
      <c r="L1648" s="9"/>
      <c r="M1648" s="9"/>
      <c r="N1648" s="1" t="str">
        <f aca="false">IF(C1648="","",C1648&amp;"|"&amp;COUNTIF(C$3:C1648,C1648))</f>
        <v/>
      </c>
      <c r="O1648" s="1" t="str">
        <f aca="false">IF(OR(C1648="",M1648=""),"",C1648&amp;"|"&amp;COUNTIFS(C$3:C1648,C1648,M$3:M1648,"&lt;&gt;"))</f>
        <v/>
      </c>
    </row>
    <row r="1649" customFormat="false" ht="15" hidden="false" customHeight="false" outlineLevel="0" collapsed="false">
      <c r="B1649" s="7"/>
      <c r="C1649" s="5"/>
      <c r="D1649" s="9" t="str">
        <f aca="false">IF(C1649="","",IFERROR(VLOOKUP(C1649,EQUIPOS!$B$3:$C$18,2,0),"NO EXISTE"))</f>
        <v/>
      </c>
      <c r="E1649" s="9" t="str">
        <f aca="false">IF(C1649="","",IFERROR(VLOOKUP(C1649,EQUIPOS!$B$3:$F$18,5,0),""))</f>
        <v/>
      </c>
      <c r="F1649" s="5" t="str">
        <f aca="false">IF(C1649="","",IFERROR(VLOOKUP(C1649,EQUIPOS!$B$3:$G$18,6,0),""))</f>
        <v/>
      </c>
      <c r="G1649" s="8"/>
      <c r="H1649" s="5"/>
      <c r="I1649" s="5"/>
      <c r="J1649" s="9"/>
      <c r="K1649" s="17" t="str">
        <f aca="false">IF(H1649="","",IFERROR(SUMIFS(BD_PLAN!$I$3:$I$312,BD_PLAN!$B$3:$B$312,E1649,BD_PLAN!$C$3:$C$312,INDEX(BD_CICLO!$F$3:$F$54,MATCH(E1649&amp;"|"&amp;H1649,BD_CICLO!$G$3:$G$54,0))),""))</f>
        <v/>
      </c>
      <c r="L1649" s="9"/>
      <c r="M1649" s="9"/>
      <c r="N1649" s="1" t="str">
        <f aca="false">IF(C1649="","",C1649&amp;"|"&amp;COUNTIF(C$3:C1649,C1649))</f>
        <v/>
      </c>
      <c r="O1649" s="1" t="str">
        <f aca="false">IF(OR(C1649="",M1649=""),"",C1649&amp;"|"&amp;COUNTIFS(C$3:C1649,C1649,M$3:M1649,"&lt;&gt;"))</f>
        <v/>
      </c>
    </row>
    <row r="1650" customFormat="false" ht="15" hidden="false" customHeight="false" outlineLevel="0" collapsed="false">
      <c r="B1650" s="7"/>
      <c r="C1650" s="5"/>
      <c r="D1650" s="9" t="str">
        <f aca="false">IF(C1650="","",IFERROR(VLOOKUP(C1650,EQUIPOS!$B$3:$C$18,2,0),"NO EXISTE"))</f>
        <v/>
      </c>
      <c r="E1650" s="9" t="str">
        <f aca="false">IF(C1650="","",IFERROR(VLOOKUP(C1650,EQUIPOS!$B$3:$F$18,5,0),""))</f>
        <v/>
      </c>
      <c r="F1650" s="5" t="str">
        <f aca="false">IF(C1650="","",IFERROR(VLOOKUP(C1650,EQUIPOS!$B$3:$G$18,6,0),""))</f>
        <v/>
      </c>
      <c r="G1650" s="8"/>
      <c r="H1650" s="5"/>
      <c r="I1650" s="5"/>
      <c r="J1650" s="9"/>
      <c r="K1650" s="17" t="str">
        <f aca="false">IF(H1650="","",IFERROR(SUMIFS(BD_PLAN!$I$3:$I$312,BD_PLAN!$B$3:$B$312,E1650,BD_PLAN!$C$3:$C$312,INDEX(BD_CICLO!$F$3:$F$54,MATCH(E1650&amp;"|"&amp;H1650,BD_CICLO!$G$3:$G$54,0))),""))</f>
        <v/>
      </c>
      <c r="L1650" s="9"/>
      <c r="M1650" s="9"/>
      <c r="N1650" s="1" t="str">
        <f aca="false">IF(C1650="","",C1650&amp;"|"&amp;COUNTIF(C$3:C1650,C1650))</f>
        <v/>
      </c>
      <c r="O1650" s="1" t="str">
        <f aca="false">IF(OR(C1650="",M1650=""),"",C1650&amp;"|"&amp;COUNTIFS(C$3:C1650,C1650,M$3:M1650,"&lt;&gt;"))</f>
        <v/>
      </c>
    </row>
    <row r="1651" customFormat="false" ht="15" hidden="false" customHeight="false" outlineLevel="0" collapsed="false">
      <c r="B1651" s="7"/>
      <c r="C1651" s="5"/>
      <c r="D1651" s="9" t="str">
        <f aca="false">IF(C1651="","",IFERROR(VLOOKUP(C1651,EQUIPOS!$B$3:$C$18,2,0),"NO EXISTE"))</f>
        <v/>
      </c>
      <c r="E1651" s="9" t="str">
        <f aca="false">IF(C1651="","",IFERROR(VLOOKUP(C1651,EQUIPOS!$B$3:$F$18,5,0),""))</f>
        <v/>
      </c>
      <c r="F1651" s="5" t="str">
        <f aca="false">IF(C1651="","",IFERROR(VLOOKUP(C1651,EQUIPOS!$B$3:$G$18,6,0),""))</f>
        <v/>
      </c>
      <c r="G1651" s="8"/>
      <c r="H1651" s="5"/>
      <c r="I1651" s="5"/>
      <c r="J1651" s="9"/>
      <c r="K1651" s="17" t="str">
        <f aca="false">IF(H1651="","",IFERROR(SUMIFS(BD_PLAN!$I$3:$I$312,BD_PLAN!$B$3:$B$312,E1651,BD_PLAN!$C$3:$C$312,INDEX(BD_CICLO!$F$3:$F$54,MATCH(E1651&amp;"|"&amp;H1651,BD_CICLO!$G$3:$G$54,0))),""))</f>
        <v/>
      </c>
      <c r="L1651" s="9"/>
      <c r="M1651" s="9"/>
      <c r="N1651" s="1" t="str">
        <f aca="false">IF(C1651="","",C1651&amp;"|"&amp;COUNTIF(C$3:C1651,C1651))</f>
        <v/>
      </c>
      <c r="O1651" s="1" t="str">
        <f aca="false">IF(OR(C1651="",M1651=""),"",C1651&amp;"|"&amp;COUNTIFS(C$3:C1651,C1651,M$3:M1651,"&lt;&gt;"))</f>
        <v/>
      </c>
    </row>
    <row r="1652" customFormat="false" ht="15" hidden="false" customHeight="false" outlineLevel="0" collapsed="false">
      <c r="B1652" s="7"/>
      <c r="C1652" s="5"/>
      <c r="D1652" s="9" t="str">
        <f aca="false">IF(C1652="","",IFERROR(VLOOKUP(C1652,EQUIPOS!$B$3:$C$18,2,0),"NO EXISTE"))</f>
        <v/>
      </c>
      <c r="E1652" s="9" t="str">
        <f aca="false">IF(C1652="","",IFERROR(VLOOKUP(C1652,EQUIPOS!$B$3:$F$18,5,0),""))</f>
        <v/>
      </c>
      <c r="F1652" s="5" t="str">
        <f aca="false">IF(C1652="","",IFERROR(VLOOKUP(C1652,EQUIPOS!$B$3:$G$18,6,0),""))</f>
        <v/>
      </c>
      <c r="G1652" s="8"/>
      <c r="H1652" s="5"/>
      <c r="I1652" s="5"/>
      <c r="J1652" s="9"/>
      <c r="K1652" s="17" t="str">
        <f aca="false">IF(H1652="","",IFERROR(SUMIFS(BD_PLAN!$I$3:$I$312,BD_PLAN!$B$3:$B$312,E1652,BD_PLAN!$C$3:$C$312,INDEX(BD_CICLO!$F$3:$F$54,MATCH(E1652&amp;"|"&amp;H1652,BD_CICLO!$G$3:$G$54,0))),""))</f>
        <v/>
      </c>
      <c r="L1652" s="9"/>
      <c r="M1652" s="9"/>
      <c r="N1652" s="1" t="str">
        <f aca="false">IF(C1652="","",C1652&amp;"|"&amp;COUNTIF(C$3:C1652,C1652))</f>
        <v/>
      </c>
      <c r="O1652" s="1" t="str">
        <f aca="false">IF(OR(C1652="",M1652=""),"",C1652&amp;"|"&amp;COUNTIFS(C$3:C1652,C1652,M$3:M1652,"&lt;&gt;"))</f>
        <v/>
      </c>
    </row>
    <row r="1653" customFormat="false" ht="15" hidden="false" customHeight="false" outlineLevel="0" collapsed="false">
      <c r="B1653" s="7"/>
      <c r="C1653" s="5"/>
      <c r="D1653" s="9" t="str">
        <f aca="false">IF(C1653="","",IFERROR(VLOOKUP(C1653,EQUIPOS!$B$3:$C$18,2,0),"NO EXISTE"))</f>
        <v/>
      </c>
      <c r="E1653" s="9" t="str">
        <f aca="false">IF(C1653="","",IFERROR(VLOOKUP(C1653,EQUIPOS!$B$3:$F$18,5,0),""))</f>
        <v/>
      </c>
      <c r="F1653" s="5" t="str">
        <f aca="false">IF(C1653="","",IFERROR(VLOOKUP(C1653,EQUIPOS!$B$3:$G$18,6,0),""))</f>
        <v/>
      </c>
      <c r="G1653" s="8"/>
      <c r="H1653" s="5"/>
      <c r="I1653" s="5"/>
      <c r="J1653" s="9"/>
      <c r="K1653" s="17" t="str">
        <f aca="false">IF(H1653="","",IFERROR(SUMIFS(BD_PLAN!$I$3:$I$312,BD_PLAN!$B$3:$B$312,E1653,BD_PLAN!$C$3:$C$312,INDEX(BD_CICLO!$F$3:$F$54,MATCH(E1653&amp;"|"&amp;H1653,BD_CICLO!$G$3:$G$54,0))),""))</f>
        <v/>
      </c>
      <c r="L1653" s="9"/>
      <c r="M1653" s="9"/>
      <c r="N1653" s="1" t="str">
        <f aca="false">IF(C1653="","",C1653&amp;"|"&amp;COUNTIF(C$3:C1653,C1653))</f>
        <v/>
      </c>
      <c r="O1653" s="1" t="str">
        <f aca="false">IF(OR(C1653="",M1653=""),"",C1653&amp;"|"&amp;COUNTIFS(C$3:C1653,C1653,M$3:M1653,"&lt;&gt;"))</f>
        <v/>
      </c>
    </row>
    <row r="1654" customFormat="false" ht="15" hidden="false" customHeight="false" outlineLevel="0" collapsed="false">
      <c r="B1654" s="7"/>
      <c r="C1654" s="5"/>
      <c r="D1654" s="9" t="str">
        <f aca="false">IF(C1654="","",IFERROR(VLOOKUP(C1654,EQUIPOS!$B$3:$C$18,2,0),"NO EXISTE"))</f>
        <v/>
      </c>
      <c r="E1654" s="9" t="str">
        <f aca="false">IF(C1654="","",IFERROR(VLOOKUP(C1654,EQUIPOS!$B$3:$F$18,5,0),""))</f>
        <v/>
      </c>
      <c r="F1654" s="5" t="str">
        <f aca="false">IF(C1654="","",IFERROR(VLOOKUP(C1654,EQUIPOS!$B$3:$G$18,6,0),""))</f>
        <v/>
      </c>
      <c r="G1654" s="8"/>
      <c r="H1654" s="5"/>
      <c r="I1654" s="5"/>
      <c r="J1654" s="9"/>
      <c r="K1654" s="17" t="str">
        <f aca="false">IF(H1654="","",IFERROR(SUMIFS(BD_PLAN!$I$3:$I$312,BD_PLAN!$B$3:$B$312,E1654,BD_PLAN!$C$3:$C$312,INDEX(BD_CICLO!$F$3:$F$54,MATCH(E1654&amp;"|"&amp;H1654,BD_CICLO!$G$3:$G$54,0))),""))</f>
        <v/>
      </c>
      <c r="L1654" s="9"/>
      <c r="M1654" s="9"/>
      <c r="N1654" s="1" t="str">
        <f aca="false">IF(C1654="","",C1654&amp;"|"&amp;COUNTIF(C$3:C1654,C1654))</f>
        <v/>
      </c>
      <c r="O1654" s="1" t="str">
        <f aca="false">IF(OR(C1654="",M1654=""),"",C1654&amp;"|"&amp;COUNTIFS(C$3:C1654,C1654,M$3:M1654,"&lt;&gt;"))</f>
        <v/>
      </c>
    </row>
    <row r="1655" customFormat="false" ht="15" hidden="false" customHeight="false" outlineLevel="0" collapsed="false">
      <c r="B1655" s="7"/>
      <c r="C1655" s="5"/>
      <c r="D1655" s="9" t="str">
        <f aca="false">IF(C1655="","",IFERROR(VLOOKUP(C1655,EQUIPOS!$B$3:$C$18,2,0),"NO EXISTE"))</f>
        <v/>
      </c>
      <c r="E1655" s="9" t="str">
        <f aca="false">IF(C1655="","",IFERROR(VLOOKUP(C1655,EQUIPOS!$B$3:$F$18,5,0),""))</f>
        <v/>
      </c>
      <c r="F1655" s="5" t="str">
        <f aca="false">IF(C1655="","",IFERROR(VLOOKUP(C1655,EQUIPOS!$B$3:$G$18,6,0),""))</f>
        <v/>
      </c>
      <c r="G1655" s="8"/>
      <c r="H1655" s="5"/>
      <c r="I1655" s="5"/>
      <c r="J1655" s="9"/>
      <c r="K1655" s="17" t="str">
        <f aca="false">IF(H1655="","",IFERROR(SUMIFS(BD_PLAN!$I$3:$I$312,BD_PLAN!$B$3:$B$312,E1655,BD_PLAN!$C$3:$C$312,INDEX(BD_CICLO!$F$3:$F$54,MATCH(E1655&amp;"|"&amp;H1655,BD_CICLO!$G$3:$G$54,0))),""))</f>
        <v/>
      </c>
      <c r="L1655" s="9"/>
      <c r="M1655" s="9"/>
      <c r="N1655" s="1" t="str">
        <f aca="false">IF(C1655="","",C1655&amp;"|"&amp;COUNTIF(C$3:C1655,C1655))</f>
        <v/>
      </c>
      <c r="O1655" s="1" t="str">
        <f aca="false">IF(OR(C1655="",M1655=""),"",C1655&amp;"|"&amp;COUNTIFS(C$3:C1655,C1655,M$3:M1655,"&lt;&gt;"))</f>
        <v/>
      </c>
    </row>
    <row r="1656" customFormat="false" ht="15" hidden="false" customHeight="false" outlineLevel="0" collapsed="false">
      <c r="B1656" s="7"/>
      <c r="C1656" s="5"/>
      <c r="D1656" s="9" t="str">
        <f aca="false">IF(C1656="","",IFERROR(VLOOKUP(C1656,EQUIPOS!$B$3:$C$18,2,0),"NO EXISTE"))</f>
        <v/>
      </c>
      <c r="E1656" s="9" t="str">
        <f aca="false">IF(C1656="","",IFERROR(VLOOKUP(C1656,EQUIPOS!$B$3:$F$18,5,0),""))</f>
        <v/>
      </c>
      <c r="F1656" s="5" t="str">
        <f aca="false">IF(C1656="","",IFERROR(VLOOKUP(C1656,EQUIPOS!$B$3:$G$18,6,0),""))</f>
        <v/>
      </c>
      <c r="G1656" s="8"/>
      <c r="H1656" s="5"/>
      <c r="I1656" s="5"/>
      <c r="J1656" s="9"/>
      <c r="K1656" s="17" t="str">
        <f aca="false">IF(H1656="","",IFERROR(SUMIFS(BD_PLAN!$I$3:$I$312,BD_PLAN!$B$3:$B$312,E1656,BD_PLAN!$C$3:$C$312,INDEX(BD_CICLO!$F$3:$F$54,MATCH(E1656&amp;"|"&amp;H1656,BD_CICLO!$G$3:$G$54,0))),""))</f>
        <v/>
      </c>
      <c r="L1656" s="9"/>
      <c r="M1656" s="9"/>
      <c r="N1656" s="1" t="str">
        <f aca="false">IF(C1656="","",C1656&amp;"|"&amp;COUNTIF(C$3:C1656,C1656))</f>
        <v/>
      </c>
      <c r="O1656" s="1" t="str">
        <f aca="false">IF(OR(C1656="",M1656=""),"",C1656&amp;"|"&amp;COUNTIFS(C$3:C1656,C1656,M$3:M1656,"&lt;&gt;"))</f>
        <v/>
      </c>
    </row>
    <row r="1657" customFormat="false" ht="15" hidden="false" customHeight="false" outlineLevel="0" collapsed="false">
      <c r="B1657" s="7"/>
      <c r="C1657" s="5"/>
      <c r="D1657" s="9" t="str">
        <f aca="false">IF(C1657="","",IFERROR(VLOOKUP(C1657,EQUIPOS!$B$3:$C$18,2,0),"NO EXISTE"))</f>
        <v/>
      </c>
      <c r="E1657" s="9" t="str">
        <f aca="false">IF(C1657="","",IFERROR(VLOOKUP(C1657,EQUIPOS!$B$3:$F$18,5,0),""))</f>
        <v/>
      </c>
      <c r="F1657" s="5" t="str">
        <f aca="false">IF(C1657="","",IFERROR(VLOOKUP(C1657,EQUIPOS!$B$3:$G$18,6,0),""))</f>
        <v/>
      </c>
      <c r="G1657" s="8"/>
      <c r="H1657" s="5"/>
      <c r="I1657" s="5"/>
      <c r="J1657" s="9"/>
      <c r="K1657" s="17" t="str">
        <f aca="false">IF(H1657="","",IFERROR(SUMIFS(BD_PLAN!$I$3:$I$312,BD_PLAN!$B$3:$B$312,E1657,BD_PLAN!$C$3:$C$312,INDEX(BD_CICLO!$F$3:$F$54,MATCH(E1657&amp;"|"&amp;H1657,BD_CICLO!$G$3:$G$54,0))),""))</f>
        <v/>
      </c>
      <c r="L1657" s="9"/>
      <c r="M1657" s="9"/>
      <c r="N1657" s="1" t="str">
        <f aca="false">IF(C1657="","",C1657&amp;"|"&amp;COUNTIF(C$3:C1657,C1657))</f>
        <v/>
      </c>
      <c r="O1657" s="1" t="str">
        <f aca="false">IF(OR(C1657="",M1657=""),"",C1657&amp;"|"&amp;COUNTIFS(C$3:C1657,C1657,M$3:M1657,"&lt;&gt;"))</f>
        <v/>
      </c>
    </row>
    <row r="1658" customFormat="false" ht="15" hidden="false" customHeight="false" outlineLevel="0" collapsed="false">
      <c r="B1658" s="7"/>
      <c r="C1658" s="5"/>
      <c r="D1658" s="9" t="str">
        <f aca="false">IF(C1658="","",IFERROR(VLOOKUP(C1658,EQUIPOS!$B$3:$C$18,2,0),"NO EXISTE"))</f>
        <v/>
      </c>
      <c r="E1658" s="9" t="str">
        <f aca="false">IF(C1658="","",IFERROR(VLOOKUP(C1658,EQUIPOS!$B$3:$F$18,5,0),""))</f>
        <v/>
      </c>
      <c r="F1658" s="5" t="str">
        <f aca="false">IF(C1658="","",IFERROR(VLOOKUP(C1658,EQUIPOS!$B$3:$G$18,6,0),""))</f>
        <v/>
      </c>
      <c r="G1658" s="8"/>
      <c r="H1658" s="5"/>
      <c r="I1658" s="5"/>
      <c r="J1658" s="9"/>
      <c r="K1658" s="17" t="str">
        <f aca="false">IF(H1658="","",IFERROR(SUMIFS(BD_PLAN!$I$3:$I$312,BD_PLAN!$B$3:$B$312,E1658,BD_PLAN!$C$3:$C$312,INDEX(BD_CICLO!$F$3:$F$54,MATCH(E1658&amp;"|"&amp;H1658,BD_CICLO!$G$3:$G$54,0))),""))</f>
        <v/>
      </c>
      <c r="L1658" s="9"/>
      <c r="M1658" s="9"/>
      <c r="N1658" s="1" t="str">
        <f aca="false">IF(C1658="","",C1658&amp;"|"&amp;COUNTIF(C$3:C1658,C1658))</f>
        <v/>
      </c>
      <c r="O1658" s="1" t="str">
        <f aca="false">IF(OR(C1658="",M1658=""),"",C1658&amp;"|"&amp;COUNTIFS(C$3:C1658,C1658,M$3:M1658,"&lt;&gt;"))</f>
        <v/>
      </c>
    </row>
    <row r="1659" customFormat="false" ht="15" hidden="false" customHeight="false" outlineLevel="0" collapsed="false">
      <c r="B1659" s="7"/>
      <c r="C1659" s="5"/>
      <c r="D1659" s="9" t="str">
        <f aca="false">IF(C1659="","",IFERROR(VLOOKUP(C1659,EQUIPOS!$B$3:$C$18,2,0),"NO EXISTE"))</f>
        <v/>
      </c>
      <c r="E1659" s="9" t="str">
        <f aca="false">IF(C1659="","",IFERROR(VLOOKUP(C1659,EQUIPOS!$B$3:$F$18,5,0),""))</f>
        <v/>
      </c>
      <c r="F1659" s="5" t="str">
        <f aca="false">IF(C1659="","",IFERROR(VLOOKUP(C1659,EQUIPOS!$B$3:$G$18,6,0),""))</f>
        <v/>
      </c>
      <c r="G1659" s="8"/>
      <c r="H1659" s="5"/>
      <c r="I1659" s="5"/>
      <c r="J1659" s="9"/>
      <c r="K1659" s="17" t="str">
        <f aca="false">IF(H1659="","",IFERROR(SUMIFS(BD_PLAN!$I$3:$I$312,BD_PLAN!$B$3:$B$312,E1659,BD_PLAN!$C$3:$C$312,INDEX(BD_CICLO!$F$3:$F$54,MATCH(E1659&amp;"|"&amp;H1659,BD_CICLO!$G$3:$G$54,0))),""))</f>
        <v/>
      </c>
      <c r="L1659" s="9"/>
      <c r="M1659" s="9"/>
      <c r="N1659" s="1" t="str">
        <f aca="false">IF(C1659="","",C1659&amp;"|"&amp;COUNTIF(C$3:C1659,C1659))</f>
        <v/>
      </c>
      <c r="O1659" s="1" t="str">
        <f aca="false">IF(OR(C1659="",M1659=""),"",C1659&amp;"|"&amp;COUNTIFS(C$3:C1659,C1659,M$3:M1659,"&lt;&gt;"))</f>
        <v/>
      </c>
    </row>
    <row r="1660" customFormat="false" ht="15" hidden="false" customHeight="false" outlineLevel="0" collapsed="false">
      <c r="B1660" s="7"/>
      <c r="C1660" s="5"/>
      <c r="D1660" s="9" t="str">
        <f aca="false">IF(C1660="","",IFERROR(VLOOKUP(C1660,EQUIPOS!$B$3:$C$18,2,0),"NO EXISTE"))</f>
        <v/>
      </c>
      <c r="E1660" s="9" t="str">
        <f aca="false">IF(C1660="","",IFERROR(VLOOKUP(C1660,EQUIPOS!$B$3:$F$18,5,0),""))</f>
        <v/>
      </c>
      <c r="F1660" s="5" t="str">
        <f aca="false">IF(C1660="","",IFERROR(VLOOKUP(C1660,EQUIPOS!$B$3:$G$18,6,0),""))</f>
        <v/>
      </c>
      <c r="G1660" s="8"/>
      <c r="H1660" s="5"/>
      <c r="I1660" s="5"/>
      <c r="J1660" s="9"/>
      <c r="K1660" s="17" t="str">
        <f aca="false">IF(H1660="","",IFERROR(SUMIFS(BD_PLAN!$I$3:$I$312,BD_PLAN!$B$3:$B$312,E1660,BD_PLAN!$C$3:$C$312,INDEX(BD_CICLO!$F$3:$F$54,MATCH(E1660&amp;"|"&amp;H1660,BD_CICLO!$G$3:$G$54,0))),""))</f>
        <v/>
      </c>
      <c r="L1660" s="9"/>
      <c r="M1660" s="9"/>
      <c r="N1660" s="1" t="str">
        <f aca="false">IF(C1660="","",C1660&amp;"|"&amp;COUNTIF(C$3:C1660,C1660))</f>
        <v/>
      </c>
      <c r="O1660" s="1" t="str">
        <f aca="false">IF(OR(C1660="",M1660=""),"",C1660&amp;"|"&amp;COUNTIFS(C$3:C1660,C1660,M$3:M1660,"&lt;&gt;"))</f>
        <v/>
      </c>
    </row>
    <row r="1661" customFormat="false" ht="15" hidden="false" customHeight="false" outlineLevel="0" collapsed="false">
      <c r="B1661" s="7"/>
      <c r="C1661" s="5"/>
      <c r="D1661" s="9" t="str">
        <f aca="false">IF(C1661="","",IFERROR(VLOOKUP(C1661,EQUIPOS!$B$3:$C$18,2,0),"NO EXISTE"))</f>
        <v/>
      </c>
      <c r="E1661" s="9" t="str">
        <f aca="false">IF(C1661="","",IFERROR(VLOOKUP(C1661,EQUIPOS!$B$3:$F$18,5,0),""))</f>
        <v/>
      </c>
      <c r="F1661" s="5" t="str">
        <f aca="false">IF(C1661="","",IFERROR(VLOOKUP(C1661,EQUIPOS!$B$3:$G$18,6,0),""))</f>
        <v/>
      </c>
      <c r="G1661" s="8"/>
      <c r="H1661" s="5"/>
      <c r="I1661" s="5"/>
      <c r="J1661" s="9"/>
      <c r="K1661" s="17" t="str">
        <f aca="false">IF(H1661="","",IFERROR(SUMIFS(BD_PLAN!$I$3:$I$312,BD_PLAN!$B$3:$B$312,E1661,BD_PLAN!$C$3:$C$312,INDEX(BD_CICLO!$F$3:$F$54,MATCH(E1661&amp;"|"&amp;H1661,BD_CICLO!$G$3:$G$54,0))),""))</f>
        <v/>
      </c>
      <c r="L1661" s="9"/>
      <c r="M1661" s="9"/>
      <c r="N1661" s="1" t="str">
        <f aca="false">IF(C1661="","",C1661&amp;"|"&amp;COUNTIF(C$3:C1661,C1661))</f>
        <v/>
      </c>
      <c r="O1661" s="1" t="str">
        <f aca="false">IF(OR(C1661="",M1661=""),"",C1661&amp;"|"&amp;COUNTIFS(C$3:C1661,C1661,M$3:M1661,"&lt;&gt;"))</f>
        <v/>
      </c>
    </row>
    <row r="1662" customFormat="false" ht="15" hidden="false" customHeight="false" outlineLevel="0" collapsed="false">
      <c r="B1662" s="7"/>
      <c r="C1662" s="5"/>
      <c r="D1662" s="9" t="str">
        <f aca="false">IF(C1662="","",IFERROR(VLOOKUP(C1662,EQUIPOS!$B$3:$C$18,2,0),"NO EXISTE"))</f>
        <v/>
      </c>
      <c r="E1662" s="9" t="str">
        <f aca="false">IF(C1662="","",IFERROR(VLOOKUP(C1662,EQUIPOS!$B$3:$F$18,5,0),""))</f>
        <v/>
      </c>
      <c r="F1662" s="5" t="str">
        <f aca="false">IF(C1662="","",IFERROR(VLOOKUP(C1662,EQUIPOS!$B$3:$G$18,6,0),""))</f>
        <v/>
      </c>
      <c r="G1662" s="8"/>
      <c r="H1662" s="5"/>
      <c r="I1662" s="5"/>
      <c r="J1662" s="9"/>
      <c r="K1662" s="17" t="str">
        <f aca="false">IF(H1662="","",IFERROR(SUMIFS(BD_PLAN!$I$3:$I$312,BD_PLAN!$B$3:$B$312,E1662,BD_PLAN!$C$3:$C$312,INDEX(BD_CICLO!$F$3:$F$54,MATCH(E1662&amp;"|"&amp;H1662,BD_CICLO!$G$3:$G$54,0))),""))</f>
        <v/>
      </c>
      <c r="L1662" s="9"/>
      <c r="M1662" s="9"/>
      <c r="N1662" s="1" t="str">
        <f aca="false">IF(C1662="","",C1662&amp;"|"&amp;COUNTIF(C$3:C1662,C1662))</f>
        <v/>
      </c>
      <c r="O1662" s="1" t="str">
        <f aca="false">IF(OR(C1662="",M1662=""),"",C1662&amp;"|"&amp;COUNTIFS(C$3:C1662,C1662,M$3:M1662,"&lt;&gt;"))</f>
        <v/>
      </c>
    </row>
    <row r="1663" customFormat="false" ht="15" hidden="false" customHeight="false" outlineLevel="0" collapsed="false">
      <c r="B1663" s="7"/>
      <c r="C1663" s="5"/>
      <c r="D1663" s="9" t="str">
        <f aca="false">IF(C1663="","",IFERROR(VLOOKUP(C1663,EQUIPOS!$B$3:$C$18,2,0),"NO EXISTE"))</f>
        <v/>
      </c>
      <c r="E1663" s="9" t="str">
        <f aca="false">IF(C1663="","",IFERROR(VLOOKUP(C1663,EQUIPOS!$B$3:$F$18,5,0),""))</f>
        <v/>
      </c>
      <c r="F1663" s="5" t="str">
        <f aca="false">IF(C1663="","",IFERROR(VLOOKUP(C1663,EQUIPOS!$B$3:$G$18,6,0),""))</f>
        <v/>
      </c>
      <c r="G1663" s="8"/>
      <c r="H1663" s="5"/>
      <c r="I1663" s="5"/>
      <c r="J1663" s="9"/>
      <c r="K1663" s="17" t="str">
        <f aca="false">IF(H1663="","",IFERROR(SUMIFS(BD_PLAN!$I$3:$I$312,BD_PLAN!$B$3:$B$312,E1663,BD_PLAN!$C$3:$C$312,INDEX(BD_CICLO!$F$3:$F$54,MATCH(E1663&amp;"|"&amp;H1663,BD_CICLO!$G$3:$G$54,0))),""))</f>
        <v/>
      </c>
      <c r="L1663" s="9"/>
      <c r="M1663" s="9"/>
      <c r="N1663" s="1" t="str">
        <f aca="false">IF(C1663="","",C1663&amp;"|"&amp;COUNTIF(C$3:C1663,C1663))</f>
        <v/>
      </c>
      <c r="O1663" s="1" t="str">
        <f aca="false">IF(OR(C1663="",M1663=""),"",C1663&amp;"|"&amp;COUNTIFS(C$3:C1663,C1663,M$3:M1663,"&lt;&gt;"))</f>
        <v/>
      </c>
    </row>
    <row r="1664" customFormat="false" ht="15" hidden="false" customHeight="false" outlineLevel="0" collapsed="false">
      <c r="B1664" s="7"/>
      <c r="C1664" s="5"/>
      <c r="D1664" s="9" t="str">
        <f aca="false">IF(C1664="","",IFERROR(VLOOKUP(C1664,EQUIPOS!$B$3:$C$18,2,0),"NO EXISTE"))</f>
        <v/>
      </c>
      <c r="E1664" s="9" t="str">
        <f aca="false">IF(C1664="","",IFERROR(VLOOKUP(C1664,EQUIPOS!$B$3:$F$18,5,0),""))</f>
        <v/>
      </c>
      <c r="F1664" s="5" t="str">
        <f aca="false">IF(C1664="","",IFERROR(VLOOKUP(C1664,EQUIPOS!$B$3:$G$18,6,0),""))</f>
        <v/>
      </c>
      <c r="G1664" s="8"/>
      <c r="H1664" s="5"/>
      <c r="I1664" s="5"/>
      <c r="J1664" s="9"/>
      <c r="K1664" s="17" t="str">
        <f aca="false">IF(H1664="","",IFERROR(SUMIFS(BD_PLAN!$I$3:$I$312,BD_PLAN!$B$3:$B$312,E1664,BD_PLAN!$C$3:$C$312,INDEX(BD_CICLO!$F$3:$F$54,MATCH(E1664&amp;"|"&amp;H1664,BD_CICLO!$G$3:$G$54,0))),""))</f>
        <v/>
      </c>
      <c r="L1664" s="9"/>
      <c r="M1664" s="9"/>
      <c r="N1664" s="1" t="str">
        <f aca="false">IF(C1664="","",C1664&amp;"|"&amp;COUNTIF(C$3:C1664,C1664))</f>
        <v/>
      </c>
      <c r="O1664" s="1" t="str">
        <f aca="false">IF(OR(C1664="",M1664=""),"",C1664&amp;"|"&amp;COUNTIFS(C$3:C1664,C1664,M$3:M1664,"&lt;&gt;"))</f>
        <v/>
      </c>
    </row>
    <row r="1665" customFormat="false" ht="15" hidden="false" customHeight="false" outlineLevel="0" collapsed="false">
      <c r="B1665" s="7"/>
      <c r="C1665" s="5"/>
      <c r="D1665" s="9" t="str">
        <f aca="false">IF(C1665="","",IFERROR(VLOOKUP(C1665,EQUIPOS!$B$3:$C$18,2,0),"NO EXISTE"))</f>
        <v/>
      </c>
      <c r="E1665" s="9" t="str">
        <f aca="false">IF(C1665="","",IFERROR(VLOOKUP(C1665,EQUIPOS!$B$3:$F$18,5,0),""))</f>
        <v/>
      </c>
      <c r="F1665" s="5" t="str">
        <f aca="false">IF(C1665="","",IFERROR(VLOOKUP(C1665,EQUIPOS!$B$3:$G$18,6,0),""))</f>
        <v/>
      </c>
      <c r="G1665" s="8"/>
      <c r="H1665" s="5"/>
      <c r="I1665" s="5"/>
      <c r="J1665" s="9"/>
      <c r="K1665" s="17" t="str">
        <f aca="false">IF(H1665="","",IFERROR(SUMIFS(BD_PLAN!$I$3:$I$312,BD_PLAN!$B$3:$B$312,E1665,BD_PLAN!$C$3:$C$312,INDEX(BD_CICLO!$F$3:$F$54,MATCH(E1665&amp;"|"&amp;H1665,BD_CICLO!$G$3:$G$54,0))),""))</f>
        <v/>
      </c>
      <c r="L1665" s="9"/>
      <c r="M1665" s="9"/>
      <c r="N1665" s="1" t="str">
        <f aca="false">IF(C1665="","",C1665&amp;"|"&amp;COUNTIF(C$3:C1665,C1665))</f>
        <v/>
      </c>
      <c r="O1665" s="1" t="str">
        <f aca="false">IF(OR(C1665="",M1665=""),"",C1665&amp;"|"&amp;COUNTIFS(C$3:C1665,C1665,M$3:M1665,"&lt;&gt;"))</f>
        <v/>
      </c>
    </row>
    <row r="1666" customFormat="false" ht="15" hidden="false" customHeight="false" outlineLevel="0" collapsed="false">
      <c r="B1666" s="7"/>
      <c r="C1666" s="5"/>
      <c r="D1666" s="9" t="str">
        <f aca="false">IF(C1666="","",IFERROR(VLOOKUP(C1666,EQUIPOS!$B$3:$C$18,2,0),"NO EXISTE"))</f>
        <v/>
      </c>
      <c r="E1666" s="9" t="str">
        <f aca="false">IF(C1666="","",IFERROR(VLOOKUP(C1666,EQUIPOS!$B$3:$F$18,5,0),""))</f>
        <v/>
      </c>
      <c r="F1666" s="5" t="str">
        <f aca="false">IF(C1666="","",IFERROR(VLOOKUP(C1666,EQUIPOS!$B$3:$G$18,6,0),""))</f>
        <v/>
      </c>
      <c r="G1666" s="8"/>
      <c r="H1666" s="5"/>
      <c r="I1666" s="5"/>
      <c r="J1666" s="9"/>
      <c r="K1666" s="17" t="str">
        <f aca="false">IF(H1666="","",IFERROR(SUMIFS(BD_PLAN!$I$3:$I$312,BD_PLAN!$B$3:$B$312,E1666,BD_PLAN!$C$3:$C$312,INDEX(BD_CICLO!$F$3:$F$54,MATCH(E1666&amp;"|"&amp;H1666,BD_CICLO!$G$3:$G$54,0))),""))</f>
        <v/>
      </c>
      <c r="L1666" s="9"/>
      <c r="M1666" s="9"/>
      <c r="N1666" s="1" t="str">
        <f aca="false">IF(C1666="","",C1666&amp;"|"&amp;COUNTIF(C$3:C1666,C1666))</f>
        <v/>
      </c>
      <c r="O1666" s="1" t="str">
        <f aca="false">IF(OR(C1666="",M1666=""),"",C1666&amp;"|"&amp;COUNTIFS(C$3:C1666,C1666,M$3:M1666,"&lt;&gt;"))</f>
        <v/>
      </c>
    </row>
    <row r="1667" customFormat="false" ht="15" hidden="false" customHeight="false" outlineLevel="0" collapsed="false">
      <c r="B1667" s="7"/>
      <c r="C1667" s="5"/>
      <c r="D1667" s="9" t="str">
        <f aca="false">IF(C1667="","",IFERROR(VLOOKUP(C1667,EQUIPOS!$B$3:$C$18,2,0),"NO EXISTE"))</f>
        <v/>
      </c>
      <c r="E1667" s="9" t="str">
        <f aca="false">IF(C1667="","",IFERROR(VLOOKUP(C1667,EQUIPOS!$B$3:$F$18,5,0),""))</f>
        <v/>
      </c>
      <c r="F1667" s="5" t="str">
        <f aca="false">IF(C1667="","",IFERROR(VLOOKUP(C1667,EQUIPOS!$B$3:$G$18,6,0),""))</f>
        <v/>
      </c>
      <c r="G1667" s="8"/>
      <c r="H1667" s="5"/>
      <c r="I1667" s="5"/>
      <c r="J1667" s="9"/>
      <c r="K1667" s="17" t="str">
        <f aca="false">IF(H1667="","",IFERROR(SUMIFS(BD_PLAN!$I$3:$I$312,BD_PLAN!$B$3:$B$312,E1667,BD_PLAN!$C$3:$C$312,INDEX(BD_CICLO!$F$3:$F$54,MATCH(E1667&amp;"|"&amp;H1667,BD_CICLO!$G$3:$G$54,0))),""))</f>
        <v/>
      </c>
      <c r="L1667" s="9"/>
      <c r="M1667" s="9"/>
      <c r="N1667" s="1" t="str">
        <f aca="false">IF(C1667="","",C1667&amp;"|"&amp;COUNTIF(C$3:C1667,C1667))</f>
        <v/>
      </c>
      <c r="O1667" s="1" t="str">
        <f aca="false">IF(OR(C1667="",M1667=""),"",C1667&amp;"|"&amp;COUNTIFS(C$3:C1667,C1667,M$3:M1667,"&lt;&gt;"))</f>
        <v/>
      </c>
    </row>
    <row r="1668" customFormat="false" ht="15" hidden="false" customHeight="false" outlineLevel="0" collapsed="false">
      <c r="B1668" s="7"/>
      <c r="C1668" s="5"/>
      <c r="D1668" s="9" t="str">
        <f aca="false">IF(C1668="","",IFERROR(VLOOKUP(C1668,EQUIPOS!$B$3:$C$18,2,0),"NO EXISTE"))</f>
        <v/>
      </c>
      <c r="E1668" s="9" t="str">
        <f aca="false">IF(C1668="","",IFERROR(VLOOKUP(C1668,EQUIPOS!$B$3:$F$18,5,0),""))</f>
        <v/>
      </c>
      <c r="F1668" s="5" t="str">
        <f aca="false">IF(C1668="","",IFERROR(VLOOKUP(C1668,EQUIPOS!$B$3:$G$18,6,0),""))</f>
        <v/>
      </c>
      <c r="G1668" s="8"/>
      <c r="H1668" s="5"/>
      <c r="I1668" s="5"/>
      <c r="J1668" s="9"/>
      <c r="K1668" s="17" t="str">
        <f aca="false">IF(H1668="","",IFERROR(SUMIFS(BD_PLAN!$I$3:$I$312,BD_PLAN!$B$3:$B$312,E1668,BD_PLAN!$C$3:$C$312,INDEX(BD_CICLO!$F$3:$F$54,MATCH(E1668&amp;"|"&amp;H1668,BD_CICLO!$G$3:$G$54,0))),""))</f>
        <v/>
      </c>
      <c r="L1668" s="9"/>
      <c r="M1668" s="9"/>
      <c r="N1668" s="1" t="str">
        <f aca="false">IF(C1668="","",C1668&amp;"|"&amp;COUNTIF(C$3:C1668,C1668))</f>
        <v/>
      </c>
      <c r="O1668" s="1" t="str">
        <f aca="false">IF(OR(C1668="",M1668=""),"",C1668&amp;"|"&amp;COUNTIFS(C$3:C1668,C1668,M$3:M1668,"&lt;&gt;"))</f>
        <v/>
      </c>
    </row>
    <row r="1669" customFormat="false" ht="15" hidden="false" customHeight="false" outlineLevel="0" collapsed="false">
      <c r="B1669" s="7"/>
      <c r="C1669" s="5"/>
      <c r="D1669" s="9" t="str">
        <f aca="false">IF(C1669="","",IFERROR(VLOOKUP(C1669,EQUIPOS!$B$3:$C$18,2,0),"NO EXISTE"))</f>
        <v/>
      </c>
      <c r="E1669" s="9" t="str">
        <f aca="false">IF(C1669="","",IFERROR(VLOOKUP(C1669,EQUIPOS!$B$3:$F$18,5,0),""))</f>
        <v/>
      </c>
      <c r="F1669" s="5" t="str">
        <f aca="false">IF(C1669="","",IFERROR(VLOOKUP(C1669,EQUIPOS!$B$3:$G$18,6,0),""))</f>
        <v/>
      </c>
      <c r="G1669" s="8"/>
      <c r="H1669" s="5"/>
      <c r="I1669" s="5"/>
      <c r="J1669" s="9"/>
      <c r="K1669" s="17" t="str">
        <f aca="false">IF(H1669="","",IFERROR(SUMIFS(BD_PLAN!$I$3:$I$312,BD_PLAN!$B$3:$B$312,E1669,BD_PLAN!$C$3:$C$312,INDEX(BD_CICLO!$F$3:$F$54,MATCH(E1669&amp;"|"&amp;H1669,BD_CICLO!$G$3:$G$54,0))),""))</f>
        <v/>
      </c>
      <c r="L1669" s="9"/>
      <c r="M1669" s="9"/>
      <c r="N1669" s="1" t="str">
        <f aca="false">IF(C1669="","",C1669&amp;"|"&amp;COUNTIF(C$3:C1669,C1669))</f>
        <v/>
      </c>
      <c r="O1669" s="1" t="str">
        <f aca="false">IF(OR(C1669="",M1669=""),"",C1669&amp;"|"&amp;COUNTIFS(C$3:C1669,C1669,M$3:M1669,"&lt;&gt;"))</f>
        <v/>
      </c>
    </row>
    <row r="1670" customFormat="false" ht="15" hidden="false" customHeight="false" outlineLevel="0" collapsed="false">
      <c r="B1670" s="7"/>
      <c r="C1670" s="5"/>
      <c r="D1670" s="9" t="str">
        <f aca="false">IF(C1670="","",IFERROR(VLOOKUP(C1670,EQUIPOS!$B$3:$C$18,2,0),"NO EXISTE"))</f>
        <v/>
      </c>
      <c r="E1670" s="9" t="str">
        <f aca="false">IF(C1670="","",IFERROR(VLOOKUP(C1670,EQUIPOS!$B$3:$F$18,5,0),""))</f>
        <v/>
      </c>
      <c r="F1670" s="5" t="str">
        <f aca="false">IF(C1670="","",IFERROR(VLOOKUP(C1670,EQUIPOS!$B$3:$G$18,6,0),""))</f>
        <v/>
      </c>
      <c r="G1670" s="8"/>
      <c r="H1670" s="5"/>
      <c r="I1670" s="5"/>
      <c r="J1670" s="9"/>
      <c r="K1670" s="17" t="str">
        <f aca="false">IF(H1670="","",IFERROR(SUMIFS(BD_PLAN!$I$3:$I$312,BD_PLAN!$B$3:$B$312,E1670,BD_PLAN!$C$3:$C$312,INDEX(BD_CICLO!$F$3:$F$54,MATCH(E1670&amp;"|"&amp;H1670,BD_CICLO!$G$3:$G$54,0))),""))</f>
        <v/>
      </c>
      <c r="L1670" s="9"/>
      <c r="M1670" s="9"/>
      <c r="N1670" s="1" t="str">
        <f aca="false">IF(C1670="","",C1670&amp;"|"&amp;COUNTIF(C$3:C1670,C1670))</f>
        <v/>
      </c>
      <c r="O1670" s="1" t="str">
        <f aca="false">IF(OR(C1670="",M1670=""),"",C1670&amp;"|"&amp;COUNTIFS(C$3:C1670,C1670,M$3:M1670,"&lt;&gt;"))</f>
        <v/>
      </c>
    </row>
    <row r="1671" customFormat="false" ht="15" hidden="false" customHeight="false" outlineLevel="0" collapsed="false">
      <c r="B1671" s="7"/>
      <c r="C1671" s="5"/>
      <c r="D1671" s="9" t="str">
        <f aca="false">IF(C1671="","",IFERROR(VLOOKUP(C1671,EQUIPOS!$B$3:$C$18,2,0),"NO EXISTE"))</f>
        <v/>
      </c>
      <c r="E1671" s="9" t="str">
        <f aca="false">IF(C1671="","",IFERROR(VLOOKUP(C1671,EQUIPOS!$B$3:$F$18,5,0),""))</f>
        <v/>
      </c>
      <c r="F1671" s="5" t="str">
        <f aca="false">IF(C1671="","",IFERROR(VLOOKUP(C1671,EQUIPOS!$B$3:$G$18,6,0),""))</f>
        <v/>
      </c>
      <c r="G1671" s="8"/>
      <c r="H1671" s="5"/>
      <c r="I1671" s="5"/>
      <c r="J1671" s="9"/>
      <c r="K1671" s="17" t="str">
        <f aca="false">IF(H1671="","",IFERROR(SUMIFS(BD_PLAN!$I$3:$I$312,BD_PLAN!$B$3:$B$312,E1671,BD_PLAN!$C$3:$C$312,INDEX(BD_CICLO!$F$3:$F$54,MATCH(E1671&amp;"|"&amp;H1671,BD_CICLO!$G$3:$G$54,0))),""))</f>
        <v/>
      </c>
      <c r="L1671" s="9"/>
      <c r="M1671" s="9"/>
      <c r="N1671" s="1" t="str">
        <f aca="false">IF(C1671="","",C1671&amp;"|"&amp;COUNTIF(C$3:C1671,C1671))</f>
        <v/>
      </c>
      <c r="O1671" s="1" t="str">
        <f aca="false">IF(OR(C1671="",M1671=""),"",C1671&amp;"|"&amp;COUNTIFS(C$3:C1671,C1671,M$3:M1671,"&lt;&gt;"))</f>
        <v/>
      </c>
    </row>
    <row r="1672" customFormat="false" ht="15" hidden="false" customHeight="false" outlineLevel="0" collapsed="false">
      <c r="B1672" s="7"/>
      <c r="C1672" s="5"/>
      <c r="D1672" s="9" t="str">
        <f aca="false">IF(C1672="","",IFERROR(VLOOKUP(C1672,EQUIPOS!$B$3:$C$18,2,0),"NO EXISTE"))</f>
        <v/>
      </c>
      <c r="E1672" s="9" t="str">
        <f aca="false">IF(C1672="","",IFERROR(VLOOKUP(C1672,EQUIPOS!$B$3:$F$18,5,0),""))</f>
        <v/>
      </c>
      <c r="F1672" s="5" t="str">
        <f aca="false">IF(C1672="","",IFERROR(VLOOKUP(C1672,EQUIPOS!$B$3:$G$18,6,0),""))</f>
        <v/>
      </c>
      <c r="G1672" s="8"/>
      <c r="H1672" s="5"/>
      <c r="I1672" s="5"/>
      <c r="J1672" s="9"/>
      <c r="K1672" s="17" t="str">
        <f aca="false">IF(H1672="","",IFERROR(SUMIFS(BD_PLAN!$I$3:$I$312,BD_PLAN!$B$3:$B$312,E1672,BD_PLAN!$C$3:$C$312,INDEX(BD_CICLO!$F$3:$F$54,MATCH(E1672&amp;"|"&amp;H1672,BD_CICLO!$G$3:$G$54,0))),""))</f>
        <v/>
      </c>
      <c r="L1672" s="9"/>
      <c r="M1672" s="9"/>
      <c r="N1672" s="1" t="str">
        <f aca="false">IF(C1672="","",C1672&amp;"|"&amp;COUNTIF(C$3:C1672,C1672))</f>
        <v/>
      </c>
      <c r="O1672" s="1" t="str">
        <f aca="false">IF(OR(C1672="",M1672=""),"",C1672&amp;"|"&amp;COUNTIFS(C$3:C1672,C1672,M$3:M1672,"&lt;&gt;"))</f>
        <v/>
      </c>
    </row>
    <row r="1673" customFormat="false" ht="15" hidden="false" customHeight="false" outlineLevel="0" collapsed="false">
      <c r="B1673" s="7"/>
      <c r="C1673" s="5"/>
      <c r="D1673" s="9" t="str">
        <f aca="false">IF(C1673="","",IFERROR(VLOOKUP(C1673,EQUIPOS!$B$3:$C$18,2,0),"NO EXISTE"))</f>
        <v/>
      </c>
      <c r="E1673" s="9" t="str">
        <f aca="false">IF(C1673="","",IFERROR(VLOOKUP(C1673,EQUIPOS!$B$3:$F$18,5,0),""))</f>
        <v/>
      </c>
      <c r="F1673" s="5" t="str">
        <f aca="false">IF(C1673="","",IFERROR(VLOOKUP(C1673,EQUIPOS!$B$3:$G$18,6,0),""))</f>
        <v/>
      </c>
      <c r="G1673" s="8"/>
      <c r="H1673" s="5"/>
      <c r="I1673" s="5"/>
      <c r="J1673" s="9"/>
      <c r="K1673" s="17" t="str">
        <f aca="false">IF(H1673="","",IFERROR(SUMIFS(BD_PLAN!$I$3:$I$312,BD_PLAN!$B$3:$B$312,E1673,BD_PLAN!$C$3:$C$312,INDEX(BD_CICLO!$F$3:$F$54,MATCH(E1673&amp;"|"&amp;H1673,BD_CICLO!$G$3:$G$54,0))),""))</f>
        <v/>
      </c>
      <c r="L1673" s="9"/>
      <c r="M1673" s="9"/>
      <c r="N1673" s="1" t="str">
        <f aca="false">IF(C1673="","",C1673&amp;"|"&amp;COUNTIF(C$3:C1673,C1673))</f>
        <v/>
      </c>
      <c r="O1673" s="1" t="str">
        <f aca="false">IF(OR(C1673="",M1673=""),"",C1673&amp;"|"&amp;COUNTIFS(C$3:C1673,C1673,M$3:M1673,"&lt;&gt;"))</f>
        <v/>
      </c>
    </row>
    <row r="1674" customFormat="false" ht="15" hidden="false" customHeight="false" outlineLevel="0" collapsed="false">
      <c r="B1674" s="7"/>
      <c r="C1674" s="5"/>
      <c r="D1674" s="9" t="str">
        <f aca="false">IF(C1674="","",IFERROR(VLOOKUP(C1674,EQUIPOS!$B$3:$C$18,2,0),"NO EXISTE"))</f>
        <v/>
      </c>
      <c r="E1674" s="9" t="str">
        <f aca="false">IF(C1674="","",IFERROR(VLOOKUP(C1674,EQUIPOS!$B$3:$F$18,5,0),""))</f>
        <v/>
      </c>
      <c r="F1674" s="5" t="str">
        <f aca="false">IF(C1674="","",IFERROR(VLOOKUP(C1674,EQUIPOS!$B$3:$G$18,6,0),""))</f>
        <v/>
      </c>
      <c r="G1674" s="8"/>
      <c r="H1674" s="5"/>
      <c r="I1674" s="5"/>
      <c r="J1674" s="9"/>
      <c r="K1674" s="17" t="str">
        <f aca="false">IF(H1674="","",IFERROR(SUMIFS(BD_PLAN!$I$3:$I$312,BD_PLAN!$B$3:$B$312,E1674,BD_PLAN!$C$3:$C$312,INDEX(BD_CICLO!$F$3:$F$54,MATCH(E1674&amp;"|"&amp;H1674,BD_CICLO!$G$3:$G$54,0))),""))</f>
        <v/>
      </c>
      <c r="L1674" s="9"/>
      <c r="M1674" s="9"/>
      <c r="N1674" s="1" t="str">
        <f aca="false">IF(C1674="","",C1674&amp;"|"&amp;COUNTIF(C$3:C1674,C1674))</f>
        <v/>
      </c>
      <c r="O1674" s="1" t="str">
        <f aca="false">IF(OR(C1674="",M1674=""),"",C1674&amp;"|"&amp;COUNTIFS(C$3:C1674,C1674,M$3:M1674,"&lt;&gt;"))</f>
        <v/>
      </c>
    </row>
    <row r="1675" customFormat="false" ht="15" hidden="false" customHeight="false" outlineLevel="0" collapsed="false">
      <c r="B1675" s="7"/>
      <c r="C1675" s="5"/>
      <c r="D1675" s="9" t="str">
        <f aca="false">IF(C1675="","",IFERROR(VLOOKUP(C1675,EQUIPOS!$B$3:$C$18,2,0),"NO EXISTE"))</f>
        <v/>
      </c>
      <c r="E1675" s="9" t="str">
        <f aca="false">IF(C1675="","",IFERROR(VLOOKUP(C1675,EQUIPOS!$B$3:$F$18,5,0),""))</f>
        <v/>
      </c>
      <c r="F1675" s="5" t="str">
        <f aca="false">IF(C1675="","",IFERROR(VLOOKUP(C1675,EQUIPOS!$B$3:$G$18,6,0),""))</f>
        <v/>
      </c>
      <c r="G1675" s="8"/>
      <c r="H1675" s="5"/>
      <c r="I1675" s="5"/>
      <c r="J1675" s="9"/>
      <c r="K1675" s="17" t="str">
        <f aca="false">IF(H1675="","",IFERROR(SUMIFS(BD_PLAN!$I$3:$I$312,BD_PLAN!$B$3:$B$312,E1675,BD_PLAN!$C$3:$C$312,INDEX(BD_CICLO!$F$3:$F$54,MATCH(E1675&amp;"|"&amp;H1675,BD_CICLO!$G$3:$G$54,0))),""))</f>
        <v/>
      </c>
      <c r="L1675" s="9"/>
      <c r="M1675" s="9"/>
      <c r="N1675" s="1" t="str">
        <f aca="false">IF(C1675="","",C1675&amp;"|"&amp;COUNTIF(C$3:C1675,C1675))</f>
        <v/>
      </c>
      <c r="O1675" s="1" t="str">
        <f aca="false">IF(OR(C1675="",M1675=""),"",C1675&amp;"|"&amp;COUNTIFS(C$3:C1675,C1675,M$3:M1675,"&lt;&gt;"))</f>
        <v/>
      </c>
    </row>
    <row r="1676" customFormat="false" ht="15" hidden="false" customHeight="false" outlineLevel="0" collapsed="false">
      <c r="B1676" s="7"/>
      <c r="C1676" s="5"/>
      <c r="D1676" s="9" t="str">
        <f aca="false">IF(C1676="","",IFERROR(VLOOKUP(C1676,EQUIPOS!$B$3:$C$18,2,0),"NO EXISTE"))</f>
        <v/>
      </c>
      <c r="E1676" s="9" t="str">
        <f aca="false">IF(C1676="","",IFERROR(VLOOKUP(C1676,EQUIPOS!$B$3:$F$18,5,0),""))</f>
        <v/>
      </c>
      <c r="F1676" s="5" t="str">
        <f aca="false">IF(C1676="","",IFERROR(VLOOKUP(C1676,EQUIPOS!$B$3:$G$18,6,0),""))</f>
        <v/>
      </c>
      <c r="G1676" s="8"/>
      <c r="H1676" s="5"/>
      <c r="I1676" s="5"/>
      <c r="J1676" s="9"/>
      <c r="K1676" s="17" t="str">
        <f aca="false">IF(H1676="","",IFERROR(SUMIFS(BD_PLAN!$I$3:$I$312,BD_PLAN!$B$3:$B$312,E1676,BD_PLAN!$C$3:$C$312,INDEX(BD_CICLO!$F$3:$F$54,MATCH(E1676&amp;"|"&amp;H1676,BD_CICLO!$G$3:$G$54,0))),""))</f>
        <v/>
      </c>
      <c r="L1676" s="9"/>
      <c r="M1676" s="9"/>
      <c r="N1676" s="1" t="str">
        <f aca="false">IF(C1676="","",C1676&amp;"|"&amp;COUNTIF(C$3:C1676,C1676))</f>
        <v/>
      </c>
      <c r="O1676" s="1" t="str">
        <f aca="false">IF(OR(C1676="",M1676=""),"",C1676&amp;"|"&amp;COUNTIFS(C$3:C1676,C1676,M$3:M1676,"&lt;&gt;"))</f>
        <v/>
      </c>
    </row>
    <row r="1677" customFormat="false" ht="15" hidden="false" customHeight="false" outlineLevel="0" collapsed="false">
      <c r="B1677" s="7"/>
      <c r="C1677" s="5"/>
      <c r="D1677" s="9" t="str">
        <f aca="false">IF(C1677="","",IFERROR(VLOOKUP(C1677,EQUIPOS!$B$3:$C$18,2,0),"NO EXISTE"))</f>
        <v/>
      </c>
      <c r="E1677" s="9" t="str">
        <f aca="false">IF(C1677="","",IFERROR(VLOOKUP(C1677,EQUIPOS!$B$3:$F$18,5,0),""))</f>
        <v/>
      </c>
      <c r="F1677" s="5" t="str">
        <f aca="false">IF(C1677="","",IFERROR(VLOOKUP(C1677,EQUIPOS!$B$3:$G$18,6,0),""))</f>
        <v/>
      </c>
      <c r="G1677" s="8"/>
      <c r="H1677" s="5"/>
      <c r="I1677" s="5"/>
      <c r="J1677" s="9"/>
      <c r="K1677" s="17" t="str">
        <f aca="false">IF(H1677="","",IFERROR(SUMIFS(BD_PLAN!$I$3:$I$312,BD_PLAN!$B$3:$B$312,E1677,BD_PLAN!$C$3:$C$312,INDEX(BD_CICLO!$F$3:$F$54,MATCH(E1677&amp;"|"&amp;H1677,BD_CICLO!$G$3:$G$54,0))),""))</f>
        <v/>
      </c>
      <c r="L1677" s="9"/>
      <c r="M1677" s="9"/>
      <c r="N1677" s="1" t="str">
        <f aca="false">IF(C1677="","",C1677&amp;"|"&amp;COUNTIF(C$3:C1677,C1677))</f>
        <v/>
      </c>
      <c r="O1677" s="1" t="str">
        <f aca="false">IF(OR(C1677="",M1677=""),"",C1677&amp;"|"&amp;COUNTIFS(C$3:C1677,C1677,M$3:M1677,"&lt;&gt;"))</f>
        <v/>
      </c>
    </row>
    <row r="1678" customFormat="false" ht="15" hidden="false" customHeight="false" outlineLevel="0" collapsed="false">
      <c r="B1678" s="7"/>
      <c r="C1678" s="5"/>
      <c r="D1678" s="9" t="str">
        <f aca="false">IF(C1678="","",IFERROR(VLOOKUP(C1678,EQUIPOS!$B$3:$C$18,2,0),"NO EXISTE"))</f>
        <v/>
      </c>
      <c r="E1678" s="9" t="str">
        <f aca="false">IF(C1678="","",IFERROR(VLOOKUP(C1678,EQUIPOS!$B$3:$F$18,5,0),""))</f>
        <v/>
      </c>
      <c r="F1678" s="5" t="str">
        <f aca="false">IF(C1678="","",IFERROR(VLOOKUP(C1678,EQUIPOS!$B$3:$G$18,6,0),""))</f>
        <v/>
      </c>
      <c r="G1678" s="8"/>
      <c r="H1678" s="5"/>
      <c r="I1678" s="5"/>
      <c r="J1678" s="9"/>
      <c r="K1678" s="17" t="str">
        <f aca="false">IF(H1678="","",IFERROR(SUMIFS(BD_PLAN!$I$3:$I$312,BD_PLAN!$B$3:$B$312,E1678,BD_PLAN!$C$3:$C$312,INDEX(BD_CICLO!$F$3:$F$54,MATCH(E1678&amp;"|"&amp;H1678,BD_CICLO!$G$3:$G$54,0))),""))</f>
        <v/>
      </c>
      <c r="L1678" s="9"/>
      <c r="M1678" s="9"/>
      <c r="N1678" s="1" t="str">
        <f aca="false">IF(C1678="","",C1678&amp;"|"&amp;COUNTIF(C$3:C1678,C1678))</f>
        <v/>
      </c>
      <c r="O1678" s="1" t="str">
        <f aca="false">IF(OR(C1678="",M1678=""),"",C1678&amp;"|"&amp;COUNTIFS(C$3:C1678,C1678,M$3:M1678,"&lt;&gt;"))</f>
        <v/>
      </c>
    </row>
    <row r="1679" customFormat="false" ht="15" hidden="false" customHeight="false" outlineLevel="0" collapsed="false">
      <c r="B1679" s="7"/>
      <c r="C1679" s="5"/>
      <c r="D1679" s="9" t="str">
        <f aca="false">IF(C1679="","",IFERROR(VLOOKUP(C1679,EQUIPOS!$B$3:$C$18,2,0),"NO EXISTE"))</f>
        <v/>
      </c>
      <c r="E1679" s="9" t="str">
        <f aca="false">IF(C1679="","",IFERROR(VLOOKUP(C1679,EQUIPOS!$B$3:$F$18,5,0),""))</f>
        <v/>
      </c>
      <c r="F1679" s="5" t="str">
        <f aca="false">IF(C1679="","",IFERROR(VLOOKUP(C1679,EQUIPOS!$B$3:$G$18,6,0),""))</f>
        <v/>
      </c>
      <c r="G1679" s="8"/>
      <c r="H1679" s="5"/>
      <c r="I1679" s="5"/>
      <c r="J1679" s="9"/>
      <c r="K1679" s="17" t="str">
        <f aca="false">IF(H1679="","",IFERROR(SUMIFS(BD_PLAN!$I$3:$I$312,BD_PLAN!$B$3:$B$312,E1679,BD_PLAN!$C$3:$C$312,INDEX(BD_CICLO!$F$3:$F$54,MATCH(E1679&amp;"|"&amp;H1679,BD_CICLO!$G$3:$G$54,0))),""))</f>
        <v/>
      </c>
      <c r="L1679" s="9"/>
      <c r="M1679" s="9"/>
      <c r="N1679" s="1" t="str">
        <f aca="false">IF(C1679="","",C1679&amp;"|"&amp;COUNTIF(C$3:C1679,C1679))</f>
        <v/>
      </c>
      <c r="O1679" s="1" t="str">
        <f aca="false">IF(OR(C1679="",M1679=""),"",C1679&amp;"|"&amp;COUNTIFS(C$3:C1679,C1679,M$3:M1679,"&lt;&gt;"))</f>
        <v/>
      </c>
    </row>
    <row r="1680" customFormat="false" ht="15" hidden="false" customHeight="false" outlineLevel="0" collapsed="false">
      <c r="B1680" s="7"/>
      <c r="C1680" s="5"/>
      <c r="D1680" s="9" t="str">
        <f aca="false">IF(C1680="","",IFERROR(VLOOKUP(C1680,EQUIPOS!$B$3:$C$18,2,0),"NO EXISTE"))</f>
        <v/>
      </c>
      <c r="E1680" s="9" t="str">
        <f aca="false">IF(C1680="","",IFERROR(VLOOKUP(C1680,EQUIPOS!$B$3:$F$18,5,0),""))</f>
        <v/>
      </c>
      <c r="F1680" s="5" t="str">
        <f aca="false">IF(C1680="","",IFERROR(VLOOKUP(C1680,EQUIPOS!$B$3:$G$18,6,0),""))</f>
        <v/>
      </c>
      <c r="G1680" s="8"/>
      <c r="H1680" s="5"/>
      <c r="I1680" s="5"/>
      <c r="J1680" s="9"/>
      <c r="K1680" s="17" t="str">
        <f aca="false">IF(H1680="","",IFERROR(SUMIFS(BD_PLAN!$I$3:$I$312,BD_PLAN!$B$3:$B$312,E1680,BD_PLAN!$C$3:$C$312,INDEX(BD_CICLO!$F$3:$F$54,MATCH(E1680&amp;"|"&amp;H1680,BD_CICLO!$G$3:$G$54,0))),""))</f>
        <v/>
      </c>
      <c r="L1680" s="9"/>
      <c r="M1680" s="9"/>
      <c r="N1680" s="1" t="str">
        <f aca="false">IF(C1680="","",C1680&amp;"|"&amp;COUNTIF(C$3:C1680,C1680))</f>
        <v/>
      </c>
      <c r="O1680" s="1" t="str">
        <f aca="false">IF(OR(C1680="",M1680=""),"",C1680&amp;"|"&amp;COUNTIFS(C$3:C1680,C1680,M$3:M1680,"&lt;&gt;"))</f>
        <v/>
      </c>
    </row>
    <row r="1681" customFormat="false" ht="15" hidden="false" customHeight="false" outlineLevel="0" collapsed="false">
      <c r="B1681" s="7"/>
      <c r="C1681" s="5"/>
      <c r="D1681" s="9" t="str">
        <f aca="false">IF(C1681="","",IFERROR(VLOOKUP(C1681,EQUIPOS!$B$3:$C$18,2,0),"NO EXISTE"))</f>
        <v/>
      </c>
      <c r="E1681" s="9" t="str">
        <f aca="false">IF(C1681="","",IFERROR(VLOOKUP(C1681,EQUIPOS!$B$3:$F$18,5,0),""))</f>
        <v/>
      </c>
      <c r="F1681" s="5" t="str">
        <f aca="false">IF(C1681="","",IFERROR(VLOOKUP(C1681,EQUIPOS!$B$3:$G$18,6,0),""))</f>
        <v/>
      </c>
      <c r="G1681" s="8"/>
      <c r="H1681" s="5"/>
      <c r="I1681" s="5"/>
      <c r="J1681" s="9"/>
      <c r="K1681" s="17" t="str">
        <f aca="false">IF(H1681="","",IFERROR(SUMIFS(BD_PLAN!$I$3:$I$312,BD_PLAN!$B$3:$B$312,E1681,BD_PLAN!$C$3:$C$312,INDEX(BD_CICLO!$F$3:$F$54,MATCH(E1681&amp;"|"&amp;H1681,BD_CICLO!$G$3:$G$54,0))),""))</f>
        <v/>
      </c>
      <c r="L1681" s="9"/>
      <c r="M1681" s="9"/>
      <c r="N1681" s="1" t="str">
        <f aca="false">IF(C1681="","",C1681&amp;"|"&amp;COUNTIF(C$3:C1681,C1681))</f>
        <v/>
      </c>
      <c r="O1681" s="1" t="str">
        <f aca="false">IF(OR(C1681="",M1681=""),"",C1681&amp;"|"&amp;COUNTIFS(C$3:C1681,C1681,M$3:M1681,"&lt;&gt;"))</f>
        <v/>
      </c>
    </row>
    <row r="1682" customFormat="false" ht="15" hidden="false" customHeight="false" outlineLevel="0" collapsed="false">
      <c r="B1682" s="7"/>
      <c r="C1682" s="5"/>
      <c r="D1682" s="9" t="str">
        <f aca="false">IF(C1682="","",IFERROR(VLOOKUP(C1682,EQUIPOS!$B$3:$C$18,2,0),"NO EXISTE"))</f>
        <v/>
      </c>
      <c r="E1682" s="9" t="str">
        <f aca="false">IF(C1682="","",IFERROR(VLOOKUP(C1682,EQUIPOS!$B$3:$F$18,5,0),""))</f>
        <v/>
      </c>
      <c r="F1682" s="5" t="str">
        <f aca="false">IF(C1682="","",IFERROR(VLOOKUP(C1682,EQUIPOS!$B$3:$G$18,6,0),""))</f>
        <v/>
      </c>
      <c r="G1682" s="8"/>
      <c r="H1682" s="5"/>
      <c r="I1682" s="5"/>
      <c r="J1682" s="9"/>
      <c r="K1682" s="17" t="str">
        <f aca="false">IF(H1682="","",IFERROR(SUMIFS(BD_PLAN!$I$3:$I$312,BD_PLAN!$B$3:$B$312,E1682,BD_PLAN!$C$3:$C$312,INDEX(BD_CICLO!$F$3:$F$54,MATCH(E1682&amp;"|"&amp;H1682,BD_CICLO!$G$3:$G$54,0))),""))</f>
        <v/>
      </c>
      <c r="L1682" s="9"/>
      <c r="M1682" s="9"/>
      <c r="N1682" s="1" t="str">
        <f aca="false">IF(C1682="","",C1682&amp;"|"&amp;COUNTIF(C$3:C1682,C1682))</f>
        <v/>
      </c>
      <c r="O1682" s="1" t="str">
        <f aca="false">IF(OR(C1682="",M1682=""),"",C1682&amp;"|"&amp;COUNTIFS(C$3:C1682,C1682,M$3:M1682,"&lt;&gt;"))</f>
        <v/>
      </c>
    </row>
    <row r="1683" customFormat="false" ht="15" hidden="false" customHeight="false" outlineLevel="0" collapsed="false">
      <c r="B1683" s="7"/>
      <c r="C1683" s="5"/>
      <c r="D1683" s="9" t="str">
        <f aca="false">IF(C1683="","",IFERROR(VLOOKUP(C1683,EQUIPOS!$B$3:$C$18,2,0),"NO EXISTE"))</f>
        <v/>
      </c>
      <c r="E1683" s="9" t="str">
        <f aca="false">IF(C1683="","",IFERROR(VLOOKUP(C1683,EQUIPOS!$B$3:$F$18,5,0),""))</f>
        <v/>
      </c>
      <c r="F1683" s="5" t="str">
        <f aca="false">IF(C1683="","",IFERROR(VLOOKUP(C1683,EQUIPOS!$B$3:$G$18,6,0),""))</f>
        <v/>
      </c>
      <c r="G1683" s="8"/>
      <c r="H1683" s="5"/>
      <c r="I1683" s="5"/>
      <c r="J1683" s="9"/>
      <c r="K1683" s="17" t="str">
        <f aca="false">IF(H1683="","",IFERROR(SUMIFS(BD_PLAN!$I$3:$I$312,BD_PLAN!$B$3:$B$312,E1683,BD_PLAN!$C$3:$C$312,INDEX(BD_CICLO!$F$3:$F$54,MATCH(E1683&amp;"|"&amp;H1683,BD_CICLO!$G$3:$G$54,0))),""))</f>
        <v/>
      </c>
      <c r="L1683" s="9"/>
      <c r="M1683" s="9"/>
      <c r="N1683" s="1" t="str">
        <f aca="false">IF(C1683="","",C1683&amp;"|"&amp;COUNTIF(C$3:C1683,C1683))</f>
        <v/>
      </c>
      <c r="O1683" s="1" t="str">
        <f aca="false">IF(OR(C1683="",M1683=""),"",C1683&amp;"|"&amp;COUNTIFS(C$3:C1683,C1683,M$3:M1683,"&lt;&gt;"))</f>
        <v/>
      </c>
    </row>
    <row r="1684" customFormat="false" ht="15" hidden="false" customHeight="false" outlineLevel="0" collapsed="false">
      <c r="B1684" s="7"/>
      <c r="C1684" s="5"/>
      <c r="D1684" s="9" t="str">
        <f aca="false">IF(C1684="","",IFERROR(VLOOKUP(C1684,EQUIPOS!$B$3:$C$18,2,0),"NO EXISTE"))</f>
        <v/>
      </c>
      <c r="E1684" s="9" t="str">
        <f aca="false">IF(C1684="","",IFERROR(VLOOKUP(C1684,EQUIPOS!$B$3:$F$18,5,0),""))</f>
        <v/>
      </c>
      <c r="F1684" s="5" t="str">
        <f aca="false">IF(C1684="","",IFERROR(VLOOKUP(C1684,EQUIPOS!$B$3:$G$18,6,0),""))</f>
        <v/>
      </c>
      <c r="G1684" s="8"/>
      <c r="H1684" s="5"/>
      <c r="I1684" s="5"/>
      <c r="J1684" s="9"/>
      <c r="K1684" s="17" t="str">
        <f aca="false">IF(H1684="","",IFERROR(SUMIFS(BD_PLAN!$I$3:$I$312,BD_PLAN!$B$3:$B$312,E1684,BD_PLAN!$C$3:$C$312,INDEX(BD_CICLO!$F$3:$F$54,MATCH(E1684&amp;"|"&amp;H1684,BD_CICLO!$G$3:$G$54,0))),""))</f>
        <v/>
      </c>
      <c r="L1684" s="9"/>
      <c r="M1684" s="9"/>
      <c r="N1684" s="1" t="str">
        <f aca="false">IF(C1684="","",C1684&amp;"|"&amp;COUNTIF(C$3:C1684,C1684))</f>
        <v/>
      </c>
      <c r="O1684" s="1" t="str">
        <f aca="false">IF(OR(C1684="",M1684=""),"",C1684&amp;"|"&amp;COUNTIFS(C$3:C1684,C1684,M$3:M1684,"&lt;&gt;"))</f>
        <v/>
      </c>
    </row>
    <row r="1685" customFormat="false" ht="15" hidden="false" customHeight="false" outlineLevel="0" collapsed="false">
      <c r="B1685" s="7"/>
      <c r="C1685" s="5"/>
      <c r="D1685" s="9" t="str">
        <f aca="false">IF(C1685="","",IFERROR(VLOOKUP(C1685,EQUIPOS!$B$3:$C$18,2,0),"NO EXISTE"))</f>
        <v/>
      </c>
      <c r="E1685" s="9" t="str">
        <f aca="false">IF(C1685="","",IFERROR(VLOOKUP(C1685,EQUIPOS!$B$3:$F$18,5,0),""))</f>
        <v/>
      </c>
      <c r="F1685" s="5" t="str">
        <f aca="false">IF(C1685="","",IFERROR(VLOOKUP(C1685,EQUIPOS!$B$3:$G$18,6,0),""))</f>
        <v/>
      </c>
      <c r="G1685" s="8"/>
      <c r="H1685" s="5"/>
      <c r="I1685" s="5"/>
      <c r="J1685" s="9"/>
      <c r="K1685" s="17" t="str">
        <f aca="false">IF(H1685="","",IFERROR(SUMIFS(BD_PLAN!$I$3:$I$312,BD_PLAN!$B$3:$B$312,E1685,BD_PLAN!$C$3:$C$312,INDEX(BD_CICLO!$F$3:$F$54,MATCH(E1685&amp;"|"&amp;H1685,BD_CICLO!$G$3:$G$54,0))),""))</f>
        <v/>
      </c>
      <c r="L1685" s="9"/>
      <c r="M1685" s="9"/>
      <c r="N1685" s="1" t="str">
        <f aca="false">IF(C1685="","",C1685&amp;"|"&amp;COUNTIF(C$3:C1685,C1685))</f>
        <v/>
      </c>
      <c r="O1685" s="1" t="str">
        <f aca="false">IF(OR(C1685="",M1685=""),"",C1685&amp;"|"&amp;COUNTIFS(C$3:C1685,C1685,M$3:M1685,"&lt;&gt;"))</f>
        <v/>
      </c>
    </row>
    <row r="1686" customFormat="false" ht="15" hidden="false" customHeight="false" outlineLevel="0" collapsed="false">
      <c r="B1686" s="7"/>
      <c r="C1686" s="5"/>
      <c r="D1686" s="9" t="str">
        <f aca="false">IF(C1686="","",IFERROR(VLOOKUP(C1686,EQUIPOS!$B$3:$C$18,2,0),"NO EXISTE"))</f>
        <v/>
      </c>
      <c r="E1686" s="9" t="str">
        <f aca="false">IF(C1686="","",IFERROR(VLOOKUP(C1686,EQUIPOS!$B$3:$F$18,5,0),""))</f>
        <v/>
      </c>
      <c r="F1686" s="5" t="str">
        <f aca="false">IF(C1686="","",IFERROR(VLOOKUP(C1686,EQUIPOS!$B$3:$G$18,6,0),""))</f>
        <v/>
      </c>
      <c r="G1686" s="8"/>
      <c r="H1686" s="5"/>
      <c r="I1686" s="5"/>
      <c r="J1686" s="9"/>
      <c r="K1686" s="17" t="str">
        <f aca="false">IF(H1686="","",IFERROR(SUMIFS(BD_PLAN!$I$3:$I$312,BD_PLAN!$B$3:$B$312,E1686,BD_PLAN!$C$3:$C$312,INDEX(BD_CICLO!$F$3:$F$54,MATCH(E1686&amp;"|"&amp;H1686,BD_CICLO!$G$3:$G$54,0))),""))</f>
        <v/>
      </c>
      <c r="L1686" s="9"/>
      <c r="M1686" s="9"/>
      <c r="N1686" s="1" t="str">
        <f aca="false">IF(C1686="","",C1686&amp;"|"&amp;COUNTIF(C$3:C1686,C1686))</f>
        <v/>
      </c>
      <c r="O1686" s="1" t="str">
        <f aca="false">IF(OR(C1686="",M1686=""),"",C1686&amp;"|"&amp;COUNTIFS(C$3:C1686,C1686,M$3:M1686,"&lt;&gt;"))</f>
        <v/>
      </c>
    </row>
    <row r="1687" customFormat="false" ht="15" hidden="false" customHeight="false" outlineLevel="0" collapsed="false">
      <c r="B1687" s="7"/>
      <c r="C1687" s="5"/>
      <c r="D1687" s="9" t="str">
        <f aca="false">IF(C1687="","",IFERROR(VLOOKUP(C1687,EQUIPOS!$B$3:$C$18,2,0),"NO EXISTE"))</f>
        <v/>
      </c>
      <c r="E1687" s="9" t="str">
        <f aca="false">IF(C1687="","",IFERROR(VLOOKUP(C1687,EQUIPOS!$B$3:$F$18,5,0),""))</f>
        <v/>
      </c>
      <c r="F1687" s="5" t="str">
        <f aca="false">IF(C1687="","",IFERROR(VLOOKUP(C1687,EQUIPOS!$B$3:$G$18,6,0),""))</f>
        <v/>
      </c>
      <c r="G1687" s="8"/>
      <c r="H1687" s="5"/>
      <c r="I1687" s="5"/>
      <c r="J1687" s="9"/>
      <c r="K1687" s="17" t="str">
        <f aca="false">IF(H1687="","",IFERROR(SUMIFS(BD_PLAN!$I$3:$I$312,BD_PLAN!$B$3:$B$312,E1687,BD_PLAN!$C$3:$C$312,INDEX(BD_CICLO!$F$3:$F$54,MATCH(E1687&amp;"|"&amp;H1687,BD_CICLO!$G$3:$G$54,0))),""))</f>
        <v/>
      </c>
      <c r="L1687" s="9"/>
      <c r="M1687" s="9"/>
      <c r="N1687" s="1" t="str">
        <f aca="false">IF(C1687="","",C1687&amp;"|"&amp;COUNTIF(C$3:C1687,C1687))</f>
        <v/>
      </c>
      <c r="O1687" s="1" t="str">
        <f aca="false">IF(OR(C1687="",M1687=""),"",C1687&amp;"|"&amp;COUNTIFS(C$3:C1687,C1687,M$3:M1687,"&lt;&gt;"))</f>
        <v/>
      </c>
    </row>
    <row r="1688" customFormat="false" ht="15" hidden="false" customHeight="false" outlineLevel="0" collapsed="false">
      <c r="B1688" s="7"/>
      <c r="C1688" s="5"/>
      <c r="D1688" s="9" t="str">
        <f aca="false">IF(C1688="","",IFERROR(VLOOKUP(C1688,EQUIPOS!$B$3:$C$18,2,0),"NO EXISTE"))</f>
        <v/>
      </c>
      <c r="E1688" s="9" t="str">
        <f aca="false">IF(C1688="","",IFERROR(VLOOKUP(C1688,EQUIPOS!$B$3:$F$18,5,0),""))</f>
        <v/>
      </c>
      <c r="F1688" s="5" t="str">
        <f aca="false">IF(C1688="","",IFERROR(VLOOKUP(C1688,EQUIPOS!$B$3:$G$18,6,0),""))</f>
        <v/>
      </c>
      <c r="G1688" s="8"/>
      <c r="H1688" s="5"/>
      <c r="I1688" s="5"/>
      <c r="J1688" s="9"/>
      <c r="K1688" s="17" t="str">
        <f aca="false">IF(H1688="","",IFERROR(SUMIFS(BD_PLAN!$I$3:$I$312,BD_PLAN!$B$3:$B$312,E1688,BD_PLAN!$C$3:$C$312,INDEX(BD_CICLO!$F$3:$F$54,MATCH(E1688&amp;"|"&amp;H1688,BD_CICLO!$G$3:$G$54,0))),""))</f>
        <v/>
      </c>
      <c r="L1688" s="9"/>
      <c r="M1688" s="9"/>
      <c r="N1688" s="1" t="str">
        <f aca="false">IF(C1688="","",C1688&amp;"|"&amp;COUNTIF(C$3:C1688,C1688))</f>
        <v/>
      </c>
      <c r="O1688" s="1" t="str">
        <f aca="false">IF(OR(C1688="",M1688=""),"",C1688&amp;"|"&amp;COUNTIFS(C$3:C1688,C1688,M$3:M1688,"&lt;&gt;"))</f>
        <v/>
      </c>
    </row>
    <row r="1689" customFormat="false" ht="15" hidden="false" customHeight="false" outlineLevel="0" collapsed="false">
      <c r="B1689" s="7"/>
      <c r="C1689" s="5"/>
      <c r="D1689" s="9" t="str">
        <f aca="false">IF(C1689="","",IFERROR(VLOOKUP(C1689,EQUIPOS!$B$3:$C$18,2,0),"NO EXISTE"))</f>
        <v/>
      </c>
      <c r="E1689" s="9" t="str">
        <f aca="false">IF(C1689="","",IFERROR(VLOOKUP(C1689,EQUIPOS!$B$3:$F$18,5,0),""))</f>
        <v/>
      </c>
      <c r="F1689" s="5" t="str">
        <f aca="false">IF(C1689="","",IFERROR(VLOOKUP(C1689,EQUIPOS!$B$3:$G$18,6,0),""))</f>
        <v/>
      </c>
      <c r="G1689" s="8"/>
      <c r="H1689" s="5"/>
      <c r="I1689" s="5"/>
      <c r="J1689" s="9"/>
      <c r="K1689" s="17" t="str">
        <f aca="false">IF(H1689="","",IFERROR(SUMIFS(BD_PLAN!$I$3:$I$312,BD_PLAN!$B$3:$B$312,E1689,BD_PLAN!$C$3:$C$312,INDEX(BD_CICLO!$F$3:$F$54,MATCH(E1689&amp;"|"&amp;H1689,BD_CICLO!$G$3:$G$54,0))),""))</f>
        <v/>
      </c>
      <c r="L1689" s="9"/>
      <c r="M1689" s="9"/>
      <c r="N1689" s="1" t="str">
        <f aca="false">IF(C1689="","",C1689&amp;"|"&amp;COUNTIF(C$3:C1689,C1689))</f>
        <v/>
      </c>
      <c r="O1689" s="1" t="str">
        <f aca="false">IF(OR(C1689="",M1689=""),"",C1689&amp;"|"&amp;COUNTIFS(C$3:C1689,C1689,M$3:M1689,"&lt;&gt;"))</f>
        <v/>
      </c>
    </row>
    <row r="1690" customFormat="false" ht="15" hidden="false" customHeight="false" outlineLevel="0" collapsed="false">
      <c r="B1690" s="7"/>
      <c r="C1690" s="5"/>
      <c r="D1690" s="9" t="str">
        <f aca="false">IF(C1690="","",IFERROR(VLOOKUP(C1690,EQUIPOS!$B$3:$C$18,2,0),"NO EXISTE"))</f>
        <v/>
      </c>
      <c r="E1690" s="9" t="str">
        <f aca="false">IF(C1690="","",IFERROR(VLOOKUP(C1690,EQUIPOS!$B$3:$F$18,5,0),""))</f>
        <v/>
      </c>
      <c r="F1690" s="5" t="str">
        <f aca="false">IF(C1690="","",IFERROR(VLOOKUP(C1690,EQUIPOS!$B$3:$G$18,6,0),""))</f>
        <v/>
      </c>
      <c r="G1690" s="8"/>
      <c r="H1690" s="5"/>
      <c r="I1690" s="5"/>
      <c r="J1690" s="9"/>
      <c r="K1690" s="17" t="str">
        <f aca="false">IF(H1690="","",IFERROR(SUMIFS(BD_PLAN!$I$3:$I$312,BD_PLAN!$B$3:$B$312,E1690,BD_PLAN!$C$3:$C$312,INDEX(BD_CICLO!$F$3:$F$54,MATCH(E1690&amp;"|"&amp;H1690,BD_CICLO!$G$3:$G$54,0))),""))</f>
        <v/>
      </c>
      <c r="L1690" s="9"/>
      <c r="M1690" s="9"/>
      <c r="N1690" s="1" t="str">
        <f aca="false">IF(C1690="","",C1690&amp;"|"&amp;COUNTIF(C$3:C1690,C1690))</f>
        <v/>
      </c>
      <c r="O1690" s="1" t="str">
        <f aca="false">IF(OR(C1690="",M1690=""),"",C1690&amp;"|"&amp;COUNTIFS(C$3:C1690,C1690,M$3:M1690,"&lt;&gt;"))</f>
        <v/>
      </c>
    </row>
    <row r="1691" customFormat="false" ht="15" hidden="false" customHeight="false" outlineLevel="0" collapsed="false">
      <c r="B1691" s="7"/>
      <c r="C1691" s="5"/>
      <c r="D1691" s="9" t="str">
        <f aca="false">IF(C1691="","",IFERROR(VLOOKUP(C1691,EQUIPOS!$B$3:$C$18,2,0),"NO EXISTE"))</f>
        <v/>
      </c>
      <c r="E1691" s="9" t="str">
        <f aca="false">IF(C1691="","",IFERROR(VLOOKUP(C1691,EQUIPOS!$B$3:$F$18,5,0),""))</f>
        <v/>
      </c>
      <c r="F1691" s="5" t="str">
        <f aca="false">IF(C1691="","",IFERROR(VLOOKUP(C1691,EQUIPOS!$B$3:$G$18,6,0),""))</f>
        <v/>
      </c>
      <c r="G1691" s="8"/>
      <c r="H1691" s="5"/>
      <c r="I1691" s="5"/>
      <c r="J1691" s="9"/>
      <c r="K1691" s="17" t="str">
        <f aca="false">IF(H1691="","",IFERROR(SUMIFS(BD_PLAN!$I$3:$I$312,BD_PLAN!$B$3:$B$312,E1691,BD_PLAN!$C$3:$C$312,INDEX(BD_CICLO!$F$3:$F$54,MATCH(E1691&amp;"|"&amp;H1691,BD_CICLO!$G$3:$G$54,0))),""))</f>
        <v/>
      </c>
      <c r="L1691" s="9"/>
      <c r="M1691" s="9"/>
      <c r="N1691" s="1" t="str">
        <f aca="false">IF(C1691="","",C1691&amp;"|"&amp;COUNTIF(C$3:C1691,C1691))</f>
        <v/>
      </c>
      <c r="O1691" s="1" t="str">
        <f aca="false">IF(OR(C1691="",M1691=""),"",C1691&amp;"|"&amp;COUNTIFS(C$3:C1691,C1691,M$3:M1691,"&lt;&gt;"))</f>
        <v/>
      </c>
    </row>
    <row r="1692" customFormat="false" ht="15" hidden="false" customHeight="false" outlineLevel="0" collapsed="false">
      <c r="B1692" s="7"/>
      <c r="C1692" s="5"/>
      <c r="D1692" s="9" t="str">
        <f aca="false">IF(C1692="","",IFERROR(VLOOKUP(C1692,EQUIPOS!$B$3:$C$18,2,0),"NO EXISTE"))</f>
        <v/>
      </c>
      <c r="E1692" s="9" t="str">
        <f aca="false">IF(C1692="","",IFERROR(VLOOKUP(C1692,EQUIPOS!$B$3:$F$18,5,0),""))</f>
        <v/>
      </c>
      <c r="F1692" s="5" t="str">
        <f aca="false">IF(C1692="","",IFERROR(VLOOKUP(C1692,EQUIPOS!$B$3:$G$18,6,0),""))</f>
        <v/>
      </c>
      <c r="G1692" s="8"/>
      <c r="H1692" s="5"/>
      <c r="I1692" s="5"/>
      <c r="J1692" s="9"/>
      <c r="K1692" s="17" t="str">
        <f aca="false">IF(H1692="","",IFERROR(SUMIFS(BD_PLAN!$I$3:$I$312,BD_PLAN!$B$3:$B$312,E1692,BD_PLAN!$C$3:$C$312,INDEX(BD_CICLO!$F$3:$F$54,MATCH(E1692&amp;"|"&amp;H1692,BD_CICLO!$G$3:$G$54,0))),""))</f>
        <v/>
      </c>
      <c r="L1692" s="9"/>
      <c r="M1692" s="9"/>
      <c r="N1692" s="1" t="str">
        <f aca="false">IF(C1692="","",C1692&amp;"|"&amp;COUNTIF(C$3:C1692,C1692))</f>
        <v/>
      </c>
      <c r="O1692" s="1" t="str">
        <f aca="false">IF(OR(C1692="",M1692=""),"",C1692&amp;"|"&amp;COUNTIFS(C$3:C1692,C1692,M$3:M1692,"&lt;&gt;"))</f>
        <v/>
      </c>
    </row>
    <row r="1693" customFormat="false" ht="15" hidden="false" customHeight="false" outlineLevel="0" collapsed="false">
      <c r="B1693" s="7"/>
      <c r="C1693" s="5"/>
      <c r="D1693" s="9" t="str">
        <f aca="false">IF(C1693="","",IFERROR(VLOOKUP(C1693,EQUIPOS!$B$3:$C$18,2,0),"NO EXISTE"))</f>
        <v/>
      </c>
      <c r="E1693" s="9" t="str">
        <f aca="false">IF(C1693="","",IFERROR(VLOOKUP(C1693,EQUIPOS!$B$3:$F$18,5,0),""))</f>
        <v/>
      </c>
      <c r="F1693" s="5" t="str">
        <f aca="false">IF(C1693="","",IFERROR(VLOOKUP(C1693,EQUIPOS!$B$3:$G$18,6,0),""))</f>
        <v/>
      </c>
      <c r="G1693" s="8"/>
      <c r="H1693" s="5"/>
      <c r="I1693" s="5"/>
      <c r="J1693" s="9"/>
      <c r="K1693" s="17" t="str">
        <f aca="false">IF(H1693="","",IFERROR(SUMIFS(BD_PLAN!$I$3:$I$312,BD_PLAN!$B$3:$B$312,E1693,BD_PLAN!$C$3:$C$312,INDEX(BD_CICLO!$F$3:$F$54,MATCH(E1693&amp;"|"&amp;H1693,BD_CICLO!$G$3:$G$54,0))),""))</f>
        <v/>
      </c>
      <c r="L1693" s="9"/>
      <c r="M1693" s="9"/>
      <c r="N1693" s="1" t="str">
        <f aca="false">IF(C1693="","",C1693&amp;"|"&amp;COUNTIF(C$3:C1693,C1693))</f>
        <v/>
      </c>
      <c r="O1693" s="1" t="str">
        <f aca="false">IF(OR(C1693="",M1693=""),"",C1693&amp;"|"&amp;COUNTIFS(C$3:C1693,C1693,M$3:M1693,"&lt;&gt;"))</f>
        <v/>
      </c>
    </row>
    <row r="1694" customFormat="false" ht="15" hidden="false" customHeight="false" outlineLevel="0" collapsed="false">
      <c r="B1694" s="7"/>
      <c r="C1694" s="5"/>
      <c r="D1694" s="9" t="str">
        <f aca="false">IF(C1694="","",IFERROR(VLOOKUP(C1694,EQUIPOS!$B$3:$C$18,2,0),"NO EXISTE"))</f>
        <v/>
      </c>
      <c r="E1694" s="9" t="str">
        <f aca="false">IF(C1694="","",IFERROR(VLOOKUP(C1694,EQUIPOS!$B$3:$F$18,5,0),""))</f>
        <v/>
      </c>
      <c r="F1694" s="5" t="str">
        <f aca="false">IF(C1694="","",IFERROR(VLOOKUP(C1694,EQUIPOS!$B$3:$G$18,6,0),""))</f>
        <v/>
      </c>
      <c r="G1694" s="8"/>
      <c r="H1694" s="5"/>
      <c r="I1694" s="5"/>
      <c r="J1694" s="9"/>
      <c r="K1694" s="17" t="str">
        <f aca="false">IF(H1694="","",IFERROR(SUMIFS(BD_PLAN!$I$3:$I$312,BD_PLAN!$B$3:$B$312,E1694,BD_PLAN!$C$3:$C$312,INDEX(BD_CICLO!$F$3:$F$54,MATCH(E1694&amp;"|"&amp;H1694,BD_CICLO!$G$3:$G$54,0))),""))</f>
        <v/>
      </c>
      <c r="L1694" s="9"/>
      <c r="M1694" s="9"/>
      <c r="N1694" s="1" t="str">
        <f aca="false">IF(C1694="","",C1694&amp;"|"&amp;COUNTIF(C$3:C1694,C1694))</f>
        <v/>
      </c>
      <c r="O1694" s="1" t="str">
        <f aca="false">IF(OR(C1694="",M1694=""),"",C1694&amp;"|"&amp;COUNTIFS(C$3:C1694,C1694,M$3:M1694,"&lt;&gt;"))</f>
        <v/>
      </c>
    </row>
    <row r="1695" customFormat="false" ht="15" hidden="false" customHeight="false" outlineLevel="0" collapsed="false">
      <c r="B1695" s="7"/>
      <c r="C1695" s="5"/>
      <c r="D1695" s="9" t="str">
        <f aca="false">IF(C1695="","",IFERROR(VLOOKUP(C1695,EQUIPOS!$B$3:$C$18,2,0),"NO EXISTE"))</f>
        <v/>
      </c>
      <c r="E1695" s="9" t="str">
        <f aca="false">IF(C1695="","",IFERROR(VLOOKUP(C1695,EQUIPOS!$B$3:$F$18,5,0),""))</f>
        <v/>
      </c>
      <c r="F1695" s="5" t="str">
        <f aca="false">IF(C1695="","",IFERROR(VLOOKUP(C1695,EQUIPOS!$B$3:$G$18,6,0),""))</f>
        <v/>
      </c>
      <c r="G1695" s="8"/>
      <c r="H1695" s="5"/>
      <c r="I1695" s="5"/>
      <c r="J1695" s="9"/>
      <c r="K1695" s="17" t="str">
        <f aca="false">IF(H1695="","",IFERROR(SUMIFS(BD_PLAN!$I$3:$I$312,BD_PLAN!$B$3:$B$312,E1695,BD_PLAN!$C$3:$C$312,INDEX(BD_CICLO!$F$3:$F$54,MATCH(E1695&amp;"|"&amp;H1695,BD_CICLO!$G$3:$G$54,0))),""))</f>
        <v/>
      </c>
      <c r="L1695" s="9"/>
      <c r="M1695" s="9"/>
      <c r="N1695" s="1" t="str">
        <f aca="false">IF(C1695="","",C1695&amp;"|"&amp;COUNTIF(C$3:C1695,C1695))</f>
        <v/>
      </c>
      <c r="O1695" s="1" t="str">
        <f aca="false">IF(OR(C1695="",M1695=""),"",C1695&amp;"|"&amp;COUNTIFS(C$3:C1695,C1695,M$3:M1695,"&lt;&gt;"))</f>
        <v/>
      </c>
    </row>
    <row r="1696" customFormat="false" ht="15" hidden="false" customHeight="false" outlineLevel="0" collapsed="false">
      <c r="B1696" s="7"/>
      <c r="C1696" s="5"/>
      <c r="D1696" s="9" t="str">
        <f aca="false">IF(C1696="","",IFERROR(VLOOKUP(C1696,EQUIPOS!$B$3:$C$18,2,0),"NO EXISTE"))</f>
        <v/>
      </c>
      <c r="E1696" s="9" t="str">
        <f aca="false">IF(C1696="","",IFERROR(VLOOKUP(C1696,EQUIPOS!$B$3:$F$18,5,0),""))</f>
        <v/>
      </c>
      <c r="F1696" s="5" t="str">
        <f aca="false">IF(C1696="","",IFERROR(VLOOKUP(C1696,EQUIPOS!$B$3:$G$18,6,0),""))</f>
        <v/>
      </c>
      <c r="G1696" s="8"/>
      <c r="H1696" s="5"/>
      <c r="I1696" s="5"/>
      <c r="J1696" s="9"/>
      <c r="K1696" s="17" t="str">
        <f aca="false">IF(H1696="","",IFERROR(SUMIFS(BD_PLAN!$I$3:$I$312,BD_PLAN!$B$3:$B$312,E1696,BD_PLAN!$C$3:$C$312,INDEX(BD_CICLO!$F$3:$F$54,MATCH(E1696&amp;"|"&amp;H1696,BD_CICLO!$G$3:$G$54,0))),""))</f>
        <v/>
      </c>
      <c r="L1696" s="9"/>
      <c r="M1696" s="9"/>
      <c r="N1696" s="1" t="str">
        <f aca="false">IF(C1696="","",C1696&amp;"|"&amp;COUNTIF(C$3:C1696,C1696))</f>
        <v/>
      </c>
      <c r="O1696" s="1" t="str">
        <f aca="false">IF(OR(C1696="",M1696=""),"",C1696&amp;"|"&amp;COUNTIFS(C$3:C1696,C1696,M$3:M1696,"&lt;&gt;"))</f>
        <v/>
      </c>
    </row>
    <row r="1697" customFormat="false" ht="15" hidden="false" customHeight="false" outlineLevel="0" collapsed="false">
      <c r="B1697" s="7"/>
      <c r="C1697" s="5"/>
      <c r="D1697" s="9" t="str">
        <f aca="false">IF(C1697="","",IFERROR(VLOOKUP(C1697,EQUIPOS!$B$3:$C$18,2,0),"NO EXISTE"))</f>
        <v/>
      </c>
      <c r="E1697" s="9" t="str">
        <f aca="false">IF(C1697="","",IFERROR(VLOOKUP(C1697,EQUIPOS!$B$3:$F$18,5,0),""))</f>
        <v/>
      </c>
      <c r="F1697" s="5" t="str">
        <f aca="false">IF(C1697="","",IFERROR(VLOOKUP(C1697,EQUIPOS!$B$3:$G$18,6,0),""))</f>
        <v/>
      </c>
      <c r="G1697" s="8"/>
      <c r="H1697" s="5"/>
      <c r="I1697" s="5"/>
      <c r="J1697" s="9"/>
      <c r="K1697" s="17" t="str">
        <f aca="false">IF(H1697="","",IFERROR(SUMIFS(BD_PLAN!$I$3:$I$312,BD_PLAN!$B$3:$B$312,E1697,BD_PLAN!$C$3:$C$312,INDEX(BD_CICLO!$F$3:$F$54,MATCH(E1697&amp;"|"&amp;H1697,BD_CICLO!$G$3:$G$54,0))),""))</f>
        <v/>
      </c>
      <c r="L1697" s="9"/>
      <c r="M1697" s="9"/>
      <c r="N1697" s="1" t="str">
        <f aca="false">IF(C1697="","",C1697&amp;"|"&amp;COUNTIF(C$3:C1697,C1697))</f>
        <v/>
      </c>
      <c r="O1697" s="1" t="str">
        <f aca="false">IF(OR(C1697="",M1697=""),"",C1697&amp;"|"&amp;COUNTIFS(C$3:C1697,C1697,M$3:M1697,"&lt;&gt;"))</f>
        <v/>
      </c>
    </row>
    <row r="1698" customFormat="false" ht="15" hidden="false" customHeight="false" outlineLevel="0" collapsed="false">
      <c r="B1698" s="7"/>
      <c r="C1698" s="5"/>
      <c r="D1698" s="9" t="str">
        <f aca="false">IF(C1698="","",IFERROR(VLOOKUP(C1698,EQUIPOS!$B$3:$C$18,2,0),"NO EXISTE"))</f>
        <v/>
      </c>
      <c r="E1698" s="9" t="str">
        <f aca="false">IF(C1698="","",IFERROR(VLOOKUP(C1698,EQUIPOS!$B$3:$F$18,5,0),""))</f>
        <v/>
      </c>
      <c r="F1698" s="5" t="str">
        <f aca="false">IF(C1698="","",IFERROR(VLOOKUP(C1698,EQUIPOS!$B$3:$G$18,6,0),""))</f>
        <v/>
      </c>
      <c r="G1698" s="8"/>
      <c r="H1698" s="5"/>
      <c r="I1698" s="5"/>
      <c r="J1698" s="9"/>
      <c r="K1698" s="17" t="str">
        <f aca="false">IF(H1698="","",IFERROR(SUMIFS(BD_PLAN!$I$3:$I$312,BD_PLAN!$B$3:$B$312,E1698,BD_PLAN!$C$3:$C$312,INDEX(BD_CICLO!$F$3:$F$54,MATCH(E1698&amp;"|"&amp;H1698,BD_CICLO!$G$3:$G$54,0))),""))</f>
        <v/>
      </c>
      <c r="L1698" s="9"/>
      <c r="M1698" s="9"/>
      <c r="N1698" s="1" t="str">
        <f aca="false">IF(C1698="","",C1698&amp;"|"&amp;COUNTIF(C$3:C1698,C1698))</f>
        <v/>
      </c>
      <c r="O1698" s="1" t="str">
        <f aca="false">IF(OR(C1698="",M1698=""),"",C1698&amp;"|"&amp;COUNTIFS(C$3:C1698,C1698,M$3:M1698,"&lt;&gt;"))</f>
        <v/>
      </c>
    </row>
    <row r="1699" customFormat="false" ht="15" hidden="false" customHeight="false" outlineLevel="0" collapsed="false">
      <c r="B1699" s="7"/>
      <c r="C1699" s="5"/>
      <c r="D1699" s="9" t="str">
        <f aca="false">IF(C1699="","",IFERROR(VLOOKUP(C1699,EQUIPOS!$B$3:$C$18,2,0),"NO EXISTE"))</f>
        <v/>
      </c>
      <c r="E1699" s="9" t="str">
        <f aca="false">IF(C1699="","",IFERROR(VLOOKUP(C1699,EQUIPOS!$B$3:$F$18,5,0),""))</f>
        <v/>
      </c>
      <c r="F1699" s="5" t="str">
        <f aca="false">IF(C1699="","",IFERROR(VLOOKUP(C1699,EQUIPOS!$B$3:$G$18,6,0),""))</f>
        <v/>
      </c>
      <c r="G1699" s="8"/>
      <c r="H1699" s="5"/>
      <c r="I1699" s="5"/>
      <c r="J1699" s="9"/>
      <c r="K1699" s="17" t="str">
        <f aca="false">IF(H1699="","",IFERROR(SUMIFS(BD_PLAN!$I$3:$I$312,BD_PLAN!$B$3:$B$312,E1699,BD_PLAN!$C$3:$C$312,INDEX(BD_CICLO!$F$3:$F$54,MATCH(E1699&amp;"|"&amp;H1699,BD_CICLO!$G$3:$G$54,0))),""))</f>
        <v/>
      </c>
      <c r="L1699" s="9"/>
      <c r="M1699" s="9"/>
      <c r="N1699" s="1" t="str">
        <f aca="false">IF(C1699="","",C1699&amp;"|"&amp;COUNTIF(C$3:C1699,C1699))</f>
        <v/>
      </c>
      <c r="O1699" s="1" t="str">
        <f aca="false">IF(OR(C1699="",M1699=""),"",C1699&amp;"|"&amp;COUNTIFS(C$3:C1699,C1699,M$3:M1699,"&lt;&gt;"))</f>
        <v/>
      </c>
    </row>
    <row r="1700" customFormat="false" ht="15" hidden="false" customHeight="false" outlineLevel="0" collapsed="false">
      <c r="B1700" s="7"/>
      <c r="C1700" s="5"/>
      <c r="D1700" s="9" t="str">
        <f aca="false">IF(C1700="","",IFERROR(VLOOKUP(C1700,EQUIPOS!$B$3:$C$18,2,0),"NO EXISTE"))</f>
        <v/>
      </c>
      <c r="E1700" s="9" t="str">
        <f aca="false">IF(C1700="","",IFERROR(VLOOKUP(C1700,EQUIPOS!$B$3:$F$18,5,0),""))</f>
        <v/>
      </c>
      <c r="F1700" s="5" t="str">
        <f aca="false">IF(C1700="","",IFERROR(VLOOKUP(C1700,EQUIPOS!$B$3:$G$18,6,0),""))</f>
        <v/>
      </c>
      <c r="G1700" s="8"/>
      <c r="H1700" s="5"/>
      <c r="I1700" s="5"/>
      <c r="J1700" s="9"/>
      <c r="K1700" s="17" t="str">
        <f aca="false">IF(H1700="","",IFERROR(SUMIFS(BD_PLAN!$I$3:$I$312,BD_PLAN!$B$3:$B$312,E1700,BD_PLAN!$C$3:$C$312,INDEX(BD_CICLO!$F$3:$F$54,MATCH(E1700&amp;"|"&amp;H1700,BD_CICLO!$G$3:$G$54,0))),""))</f>
        <v/>
      </c>
      <c r="L1700" s="9"/>
      <c r="M1700" s="9"/>
      <c r="N1700" s="1" t="str">
        <f aca="false">IF(C1700="","",C1700&amp;"|"&amp;COUNTIF(C$3:C1700,C1700))</f>
        <v/>
      </c>
      <c r="O1700" s="1" t="str">
        <f aca="false">IF(OR(C1700="",M1700=""),"",C1700&amp;"|"&amp;COUNTIFS(C$3:C1700,C1700,M$3:M1700,"&lt;&gt;"))</f>
        <v/>
      </c>
    </row>
    <row r="1701" customFormat="false" ht="15" hidden="false" customHeight="false" outlineLevel="0" collapsed="false">
      <c r="B1701" s="7"/>
      <c r="C1701" s="5"/>
      <c r="D1701" s="9" t="str">
        <f aca="false">IF(C1701="","",IFERROR(VLOOKUP(C1701,EQUIPOS!$B$3:$C$18,2,0),"NO EXISTE"))</f>
        <v/>
      </c>
      <c r="E1701" s="9" t="str">
        <f aca="false">IF(C1701="","",IFERROR(VLOOKUP(C1701,EQUIPOS!$B$3:$F$18,5,0),""))</f>
        <v/>
      </c>
      <c r="F1701" s="5" t="str">
        <f aca="false">IF(C1701="","",IFERROR(VLOOKUP(C1701,EQUIPOS!$B$3:$G$18,6,0),""))</f>
        <v/>
      </c>
      <c r="G1701" s="8"/>
      <c r="H1701" s="5"/>
      <c r="I1701" s="5"/>
      <c r="J1701" s="9"/>
      <c r="K1701" s="17" t="str">
        <f aca="false">IF(H1701="","",IFERROR(SUMIFS(BD_PLAN!$I$3:$I$312,BD_PLAN!$B$3:$B$312,E1701,BD_PLAN!$C$3:$C$312,INDEX(BD_CICLO!$F$3:$F$54,MATCH(E1701&amp;"|"&amp;H1701,BD_CICLO!$G$3:$G$54,0))),""))</f>
        <v/>
      </c>
      <c r="L1701" s="9"/>
      <c r="M1701" s="9"/>
      <c r="N1701" s="1" t="str">
        <f aca="false">IF(C1701="","",C1701&amp;"|"&amp;COUNTIF(C$3:C1701,C1701))</f>
        <v/>
      </c>
      <c r="O1701" s="1" t="str">
        <f aca="false">IF(OR(C1701="",M1701=""),"",C1701&amp;"|"&amp;COUNTIFS(C$3:C1701,C1701,M$3:M1701,"&lt;&gt;"))</f>
        <v/>
      </c>
    </row>
    <row r="1702" customFormat="false" ht="15" hidden="false" customHeight="false" outlineLevel="0" collapsed="false">
      <c r="B1702" s="7"/>
      <c r="C1702" s="5"/>
      <c r="D1702" s="9" t="str">
        <f aca="false">IF(C1702="","",IFERROR(VLOOKUP(C1702,EQUIPOS!$B$3:$C$18,2,0),"NO EXISTE"))</f>
        <v/>
      </c>
      <c r="E1702" s="9" t="str">
        <f aca="false">IF(C1702="","",IFERROR(VLOOKUP(C1702,EQUIPOS!$B$3:$F$18,5,0),""))</f>
        <v/>
      </c>
      <c r="F1702" s="5" t="str">
        <f aca="false">IF(C1702="","",IFERROR(VLOOKUP(C1702,EQUIPOS!$B$3:$G$18,6,0),""))</f>
        <v/>
      </c>
      <c r="G1702" s="8"/>
      <c r="H1702" s="5"/>
      <c r="I1702" s="5"/>
      <c r="J1702" s="9"/>
      <c r="K1702" s="17" t="str">
        <f aca="false">IF(H1702="","",IFERROR(SUMIFS(BD_PLAN!$I$3:$I$312,BD_PLAN!$B$3:$B$312,E1702,BD_PLAN!$C$3:$C$312,INDEX(BD_CICLO!$F$3:$F$54,MATCH(E1702&amp;"|"&amp;H1702,BD_CICLO!$G$3:$G$54,0))),""))</f>
        <v/>
      </c>
      <c r="L1702" s="9"/>
      <c r="M1702" s="9"/>
      <c r="N1702" s="1" t="str">
        <f aca="false">IF(C1702="","",C1702&amp;"|"&amp;COUNTIF(C$3:C1702,C1702))</f>
        <v/>
      </c>
      <c r="O1702" s="1" t="str">
        <f aca="false">IF(OR(C1702="",M1702=""),"",C1702&amp;"|"&amp;COUNTIFS(C$3:C1702,C1702,M$3:M1702,"&lt;&gt;"))</f>
        <v/>
      </c>
    </row>
    <row r="1703" customFormat="false" ht="15" hidden="false" customHeight="false" outlineLevel="0" collapsed="false">
      <c r="B1703" s="7"/>
      <c r="C1703" s="5"/>
      <c r="D1703" s="9" t="str">
        <f aca="false">IF(C1703="","",IFERROR(VLOOKUP(C1703,EQUIPOS!$B$3:$C$18,2,0),"NO EXISTE"))</f>
        <v/>
      </c>
      <c r="E1703" s="9" t="str">
        <f aca="false">IF(C1703="","",IFERROR(VLOOKUP(C1703,EQUIPOS!$B$3:$F$18,5,0),""))</f>
        <v/>
      </c>
      <c r="F1703" s="5" t="str">
        <f aca="false">IF(C1703="","",IFERROR(VLOOKUP(C1703,EQUIPOS!$B$3:$G$18,6,0),""))</f>
        <v/>
      </c>
      <c r="G1703" s="8"/>
      <c r="H1703" s="5"/>
      <c r="I1703" s="5"/>
      <c r="J1703" s="9"/>
      <c r="K1703" s="17" t="str">
        <f aca="false">IF(H1703="","",IFERROR(SUMIFS(BD_PLAN!$I$3:$I$312,BD_PLAN!$B$3:$B$312,E1703,BD_PLAN!$C$3:$C$312,INDEX(BD_CICLO!$F$3:$F$54,MATCH(E1703&amp;"|"&amp;H1703,BD_CICLO!$G$3:$G$54,0))),""))</f>
        <v/>
      </c>
      <c r="L1703" s="9"/>
      <c r="M1703" s="9"/>
      <c r="N1703" s="1" t="str">
        <f aca="false">IF(C1703="","",C1703&amp;"|"&amp;COUNTIF(C$3:C1703,C1703))</f>
        <v/>
      </c>
      <c r="O1703" s="1" t="str">
        <f aca="false">IF(OR(C1703="",M1703=""),"",C1703&amp;"|"&amp;COUNTIFS(C$3:C1703,C1703,M$3:M1703,"&lt;&gt;"))</f>
        <v/>
      </c>
    </row>
    <row r="1704" customFormat="false" ht="15" hidden="false" customHeight="false" outlineLevel="0" collapsed="false">
      <c r="B1704" s="7"/>
      <c r="C1704" s="5"/>
      <c r="D1704" s="9" t="str">
        <f aca="false">IF(C1704="","",IFERROR(VLOOKUP(C1704,EQUIPOS!$B$3:$C$18,2,0),"NO EXISTE"))</f>
        <v/>
      </c>
      <c r="E1704" s="9" t="str">
        <f aca="false">IF(C1704="","",IFERROR(VLOOKUP(C1704,EQUIPOS!$B$3:$F$18,5,0),""))</f>
        <v/>
      </c>
      <c r="F1704" s="5" t="str">
        <f aca="false">IF(C1704="","",IFERROR(VLOOKUP(C1704,EQUIPOS!$B$3:$G$18,6,0),""))</f>
        <v/>
      </c>
      <c r="G1704" s="8"/>
      <c r="H1704" s="5"/>
      <c r="I1704" s="5"/>
      <c r="J1704" s="9"/>
      <c r="K1704" s="17" t="str">
        <f aca="false">IF(H1704="","",IFERROR(SUMIFS(BD_PLAN!$I$3:$I$312,BD_PLAN!$B$3:$B$312,E1704,BD_PLAN!$C$3:$C$312,INDEX(BD_CICLO!$F$3:$F$54,MATCH(E1704&amp;"|"&amp;H1704,BD_CICLO!$G$3:$G$54,0))),""))</f>
        <v/>
      </c>
      <c r="L1704" s="9"/>
      <c r="M1704" s="9"/>
      <c r="N1704" s="1" t="str">
        <f aca="false">IF(C1704="","",C1704&amp;"|"&amp;COUNTIF(C$3:C1704,C1704))</f>
        <v/>
      </c>
      <c r="O1704" s="1" t="str">
        <f aca="false">IF(OR(C1704="",M1704=""),"",C1704&amp;"|"&amp;COUNTIFS(C$3:C1704,C1704,M$3:M1704,"&lt;&gt;"))</f>
        <v/>
      </c>
    </row>
    <row r="1705" customFormat="false" ht="15" hidden="false" customHeight="false" outlineLevel="0" collapsed="false">
      <c r="B1705" s="7"/>
      <c r="C1705" s="5"/>
      <c r="D1705" s="9" t="str">
        <f aca="false">IF(C1705="","",IFERROR(VLOOKUP(C1705,EQUIPOS!$B$3:$C$18,2,0),"NO EXISTE"))</f>
        <v/>
      </c>
      <c r="E1705" s="9" t="str">
        <f aca="false">IF(C1705="","",IFERROR(VLOOKUP(C1705,EQUIPOS!$B$3:$F$18,5,0),""))</f>
        <v/>
      </c>
      <c r="F1705" s="5" t="str">
        <f aca="false">IF(C1705="","",IFERROR(VLOOKUP(C1705,EQUIPOS!$B$3:$G$18,6,0),""))</f>
        <v/>
      </c>
      <c r="G1705" s="8"/>
      <c r="H1705" s="5"/>
      <c r="I1705" s="5"/>
      <c r="J1705" s="9"/>
      <c r="K1705" s="17" t="str">
        <f aca="false">IF(H1705="","",IFERROR(SUMIFS(BD_PLAN!$I$3:$I$312,BD_PLAN!$B$3:$B$312,E1705,BD_PLAN!$C$3:$C$312,INDEX(BD_CICLO!$F$3:$F$54,MATCH(E1705&amp;"|"&amp;H1705,BD_CICLO!$G$3:$G$54,0))),""))</f>
        <v/>
      </c>
      <c r="L1705" s="9"/>
      <c r="M1705" s="9"/>
      <c r="N1705" s="1" t="str">
        <f aca="false">IF(C1705="","",C1705&amp;"|"&amp;COUNTIF(C$3:C1705,C1705))</f>
        <v/>
      </c>
      <c r="O1705" s="1" t="str">
        <f aca="false">IF(OR(C1705="",M1705=""),"",C1705&amp;"|"&amp;COUNTIFS(C$3:C1705,C1705,M$3:M1705,"&lt;&gt;"))</f>
        <v/>
      </c>
    </row>
    <row r="1706" customFormat="false" ht="15" hidden="false" customHeight="false" outlineLevel="0" collapsed="false">
      <c r="B1706" s="7"/>
      <c r="C1706" s="5"/>
      <c r="D1706" s="9" t="str">
        <f aca="false">IF(C1706="","",IFERROR(VLOOKUP(C1706,EQUIPOS!$B$3:$C$18,2,0),"NO EXISTE"))</f>
        <v/>
      </c>
      <c r="E1706" s="9" t="str">
        <f aca="false">IF(C1706="","",IFERROR(VLOOKUP(C1706,EQUIPOS!$B$3:$F$18,5,0),""))</f>
        <v/>
      </c>
      <c r="F1706" s="5" t="str">
        <f aca="false">IF(C1706="","",IFERROR(VLOOKUP(C1706,EQUIPOS!$B$3:$G$18,6,0),""))</f>
        <v/>
      </c>
      <c r="G1706" s="8"/>
      <c r="H1706" s="5"/>
      <c r="I1706" s="5"/>
      <c r="J1706" s="9"/>
      <c r="K1706" s="17" t="str">
        <f aca="false">IF(H1706="","",IFERROR(SUMIFS(BD_PLAN!$I$3:$I$312,BD_PLAN!$B$3:$B$312,E1706,BD_PLAN!$C$3:$C$312,INDEX(BD_CICLO!$F$3:$F$54,MATCH(E1706&amp;"|"&amp;H1706,BD_CICLO!$G$3:$G$54,0))),""))</f>
        <v/>
      </c>
      <c r="L1706" s="9"/>
      <c r="M1706" s="9"/>
      <c r="N1706" s="1" t="str">
        <f aca="false">IF(C1706="","",C1706&amp;"|"&amp;COUNTIF(C$3:C1706,C1706))</f>
        <v/>
      </c>
      <c r="O1706" s="1" t="str">
        <f aca="false">IF(OR(C1706="",M1706=""),"",C1706&amp;"|"&amp;COUNTIFS(C$3:C1706,C1706,M$3:M1706,"&lt;&gt;"))</f>
        <v/>
      </c>
    </row>
    <row r="1707" customFormat="false" ht="15" hidden="false" customHeight="false" outlineLevel="0" collapsed="false">
      <c r="B1707" s="7"/>
      <c r="C1707" s="5"/>
      <c r="D1707" s="9" t="str">
        <f aca="false">IF(C1707="","",IFERROR(VLOOKUP(C1707,EQUIPOS!$B$3:$C$18,2,0),"NO EXISTE"))</f>
        <v/>
      </c>
      <c r="E1707" s="9" t="str">
        <f aca="false">IF(C1707="","",IFERROR(VLOOKUP(C1707,EQUIPOS!$B$3:$F$18,5,0),""))</f>
        <v/>
      </c>
      <c r="F1707" s="5" t="str">
        <f aca="false">IF(C1707="","",IFERROR(VLOOKUP(C1707,EQUIPOS!$B$3:$G$18,6,0),""))</f>
        <v/>
      </c>
      <c r="G1707" s="8"/>
      <c r="H1707" s="5"/>
      <c r="I1707" s="5"/>
      <c r="J1707" s="9"/>
      <c r="K1707" s="17" t="str">
        <f aca="false">IF(H1707="","",IFERROR(SUMIFS(BD_PLAN!$I$3:$I$312,BD_PLAN!$B$3:$B$312,E1707,BD_PLAN!$C$3:$C$312,INDEX(BD_CICLO!$F$3:$F$54,MATCH(E1707&amp;"|"&amp;H1707,BD_CICLO!$G$3:$G$54,0))),""))</f>
        <v/>
      </c>
      <c r="L1707" s="9"/>
      <c r="M1707" s="9"/>
      <c r="N1707" s="1" t="str">
        <f aca="false">IF(C1707="","",C1707&amp;"|"&amp;COUNTIF(C$3:C1707,C1707))</f>
        <v/>
      </c>
      <c r="O1707" s="1" t="str">
        <f aca="false">IF(OR(C1707="",M1707=""),"",C1707&amp;"|"&amp;COUNTIFS(C$3:C1707,C1707,M$3:M1707,"&lt;&gt;"))</f>
        <v/>
      </c>
    </row>
    <row r="1708" customFormat="false" ht="15" hidden="false" customHeight="false" outlineLevel="0" collapsed="false">
      <c r="B1708" s="7"/>
      <c r="C1708" s="5"/>
      <c r="D1708" s="9" t="str">
        <f aca="false">IF(C1708="","",IFERROR(VLOOKUP(C1708,EQUIPOS!$B$3:$C$18,2,0),"NO EXISTE"))</f>
        <v/>
      </c>
      <c r="E1708" s="9" t="str">
        <f aca="false">IF(C1708="","",IFERROR(VLOOKUP(C1708,EQUIPOS!$B$3:$F$18,5,0),""))</f>
        <v/>
      </c>
      <c r="F1708" s="5" t="str">
        <f aca="false">IF(C1708="","",IFERROR(VLOOKUP(C1708,EQUIPOS!$B$3:$G$18,6,0),""))</f>
        <v/>
      </c>
      <c r="G1708" s="8"/>
      <c r="H1708" s="5"/>
      <c r="I1708" s="5"/>
      <c r="J1708" s="9"/>
      <c r="K1708" s="17" t="str">
        <f aca="false">IF(H1708="","",IFERROR(SUMIFS(BD_PLAN!$I$3:$I$312,BD_PLAN!$B$3:$B$312,E1708,BD_PLAN!$C$3:$C$312,INDEX(BD_CICLO!$F$3:$F$54,MATCH(E1708&amp;"|"&amp;H1708,BD_CICLO!$G$3:$G$54,0))),""))</f>
        <v/>
      </c>
      <c r="L1708" s="9"/>
      <c r="M1708" s="9"/>
      <c r="N1708" s="1" t="str">
        <f aca="false">IF(C1708="","",C1708&amp;"|"&amp;COUNTIF(C$3:C1708,C1708))</f>
        <v/>
      </c>
      <c r="O1708" s="1" t="str">
        <f aca="false">IF(OR(C1708="",M1708=""),"",C1708&amp;"|"&amp;COUNTIFS(C$3:C1708,C1708,M$3:M1708,"&lt;&gt;"))</f>
        <v/>
      </c>
    </row>
    <row r="1709" customFormat="false" ht="15" hidden="false" customHeight="false" outlineLevel="0" collapsed="false">
      <c r="B1709" s="7"/>
      <c r="C1709" s="5"/>
      <c r="D1709" s="9" t="str">
        <f aca="false">IF(C1709="","",IFERROR(VLOOKUP(C1709,EQUIPOS!$B$3:$C$18,2,0),"NO EXISTE"))</f>
        <v/>
      </c>
      <c r="E1709" s="9" t="str">
        <f aca="false">IF(C1709="","",IFERROR(VLOOKUP(C1709,EQUIPOS!$B$3:$F$18,5,0),""))</f>
        <v/>
      </c>
      <c r="F1709" s="5" t="str">
        <f aca="false">IF(C1709="","",IFERROR(VLOOKUP(C1709,EQUIPOS!$B$3:$G$18,6,0),""))</f>
        <v/>
      </c>
      <c r="G1709" s="8"/>
      <c r="H1709" s="5"/>
      <c r="I1709" s="5"/>
      <c r="J1709" s="9"/>
      <c r="K1709" s="17" t="str">
        <f aca="false">IF(H1709="","",IFERROR(SUMIFS(BD_PLAN!$I$3:$I$312,BD_PLAN!$B$3:$B$312,E1709,BD_PLAN!$C$3:$C$312,INDEX(BD_CICLO!$F$3:$F$54,MATCH(E1709&amp;"|"&amp;H1709,BD_CICLO!$G$3:$G$54,0))),""))</f>
        <v/>
      </c>
      <c r="L1709" s="9"/>
      <c r="M1709" s="9"/>
      <c r="N1709" s="1" t="str">
        <f aca="false">IF(C1709="","",C1709&amp;"|"&amp;COUNTIF(C$3:C1709,C1709))</f>
        <v/>
      </c>
      <c r="O1709" s="1" t="str">
        <f aca="false">IF(OR(C1709="",M1709=""),"",C1709&amp;"|"&amp;COUNTIFS(C$3:C1709,C1709,M$3:M1709,"&lt;&gt;"))</f>
        <v/>
      </c>
    </row>
    <row r="1710" customFormat="false" ht="15" hidden="false" customHeight="false" outlineLevel="0" collapsed="false">
      <c r="B1710" s="7"/>
      <c r="C1710" s="5"/>
      <c r="D1710" s="9" t="str">
        <f aca="false">IF(C1710="","",IFERROR(VLOOKUP(C1710,EQUIPOS!$B$3:$C$18,2,0),"NO EXISTE"))</f>
        <v/>
      </c>
      <c r="E1710" s="9" t="str">
        <f aca="false">IF(C1710="","",IFERROR(VLOOKUP(C1710,EQUIPOS!$B$3:$F$18,5,0),""))</f>
        <v/>
      </c>
      <c r="F1710" s="5" t="str">
        <f aca="false">IF(C1710="","",IFERROR(VLOOKUP(C1710,EQUIPOS!$B$3:$G$18,6,0),""))</f>
        <v/>
      </c>
      <c r="G1710" s="8"/>
      <c r="H1710" s="5"/>
      <c r="I1710" s="5"/>
      <c r="J1710" s="9"/>
      <c r="K1710" s="17" t="str">
        <f aca="false">IF(H1710="","",IFERROR(SUMIFS(BD_PLAN!$I$3:$I$312,BD_PLAN!$B$3:$B$312,E1710,BD_PLAN!$C$3:$C$312,INDEX(BD_CICLO!$F$3:$F$54,MATCH(E1710&amp;"|"&amp;H1710,BD_CICLO!$G$3:$G$54,0))),""))</f>
        <v/>
      </c>
      <c r="L1710" s="9"/>
      <c r="M1710" s="9"/>
      <c r="N1710" s="1" t="str">
        <f aca="false">IF(C1710="","",C1710&amp;"|"&amp;COUNTIF(C$3:C1710,C1710))</f>
        <v/>
      </c>
      <c r="O1710" s="1" t="str">
        <f aca="false">IF(OR(C1710="",M1710=""),"",C1710&amp;"|"&amp;COUNTIFS(C$3:C1710,C1710,M$3:M1710,"&lt;&gt;"))</f>
        <v/>
      </c>
    </row>
    <row r="1711" customFormat="false" ht="15" hidden="false" customHeight="false" outlineLevel="0" collapsed="false">
      <c r="B1711" s="7"/>
      <c r="C1711" s="5"/>
      <c r="D1711" s="9" t="str">
        <f aca="false">IF(C1711="","",IFERROR(VLOOKUP(C1711,EQUIPOS!$B$3:$C$18,2,0),"NO EXISTE"))</f>
        <v/>
      </c>
      <c r="E1711" s="9" t="str">
        <f aca="false">IF(C1711="","",IFERROR(VLOOKUP(C1711,EQUIPOS!$B$3:$F$18,5,0),""))</f>
        <v/>
      </c>
      <c r="F1711" s="5" t="str">
        <f aca="false">IF(C1711="","",IFERROR(VLOOKUP(C1711,EQUIPOS!$B$3:$G$18,6,0),""))</f>
        <v/>
      </c>
      <c r="G1711" s="8"/>
      <c r="H1711" s="5"/>
      <c r="I1711" s="5"/>
      <c r="J1711" s="9"/>
      <c r="K1711" s="17" t="str">
        <f aca="false">IF(H1711="","",IFERROR(SUMIFS(BD_PLAN!$I$3:$I$312,BD_PLAN!$B$3:$B$312,E1711,BD_PLAN!$C$3:$C$312,INDEX(BD_CICLO!$F$3:$F$54,MATCH(E1711&amp;"|"&amp;H1711,BD_CICLO!$G$3:$G$54,0))),""))</f>
        <v/>
      </c>
      <c r="L1711" s="9"/>
      <c r="M1711" s="9"/>
      <c r="N1711" s="1" t="str">
        <f aca="false">IF(C1711="","",C1711&amp;"|"&amp;COUNTIF(C$3:C1711,C1711))</f>
        <v/>
      </c>
      <c r="O1711" s="1" t="str">
        <f aca="false">IF(OR(C1711="",M1711=""),"",C1711&amp;"|"&amp;COUNTIFS(C$3:C1711,C1711,M$3:M1711,"&lt;&gt;"))</f>
        <v/>
      </c>
    </row>
    <row r="1712" customFormat="false" ht="15" hidden="false" customHeight="false" outlineLevel="0" collapsed="false">
      <c r="B1712" s="7"/>
      <c r="C1712" s="5"/>
      <c r="D1712" s="9" t="str">
        <f aca="false">IF(C1712="","",IFERROR(VLOOKUP(C1712,EQUIPOS!$B$3:$C$18,2,0),"NO EXISTE"))</f>
        <v/>
      </c>
      <c r="E1712" s="9" t="str">
        <f aca="false">IF(C1712="","",IFERROR(VLOOKUP(C1712,EQUIPOS!$B$3:$F$18,5,0),""))</f>
        <v/>
      </c>
      <c r="F1712" s="5" t="str">
        <f aca="false">IF(C1712="","",IFERROR(VLOOKUP(C1712,EQUIPOS!$B$3:$G$18,6,0),""))</f>
        <v/>
      </c>
      <c r="G1712" s="8"/>
      <c r="H1712" s="5"/>
      <c r="I1712" s="5"/>
      <c r="J1712" s="9"/>
      <c r="K1712" s="17" t="str">
        <f aca="false">IF(H1712="","",IFERROR(SUMIFS(BD_PLAN!$I$3:$I$312,BD_PLAN!$B$3:$B$312,E1712,BD_PLAN!$C$3:$C$312,INDEX(BD_CICLO!$F$3:$F$54,MATCH(E1712&amp;"|"&amp;H1712,BD_CICLO!$G$3:$G$54,0))),""))</f>
        <v/>
      </c>
      <c r="L1712" s="9"/>
      <c r="M1712" s="9"/>
      <c r="N1712" s="1" t="str">
        <f aca="false">IF(C1712="","",C1712&amp;"|"&amp;COUNTIF(C$3:C1712,C1712))</f>
        <v/>
      </c>
      <c r="O1712" s="1" t="str">
        <f aca="false">IF(OR(C1712="",M1712=""),"",C1712&amp;"|"&amp;COUNTIFS(C$3:C1712,C1712,M$3:M1712,"&lt;&gt;"))</f>
        <v/>
      </c>
    </row>
    <row r="1713" customFormat="false" ht="15" hidden="false" customHeight="false" outlineLevel="0" collapsed="false">
      <c r="B1713" s="7"/>
      <c r="C1713" s="5"/>
      <c r="D1713" s="9" t="str">
        <f aca="false">IF(C1713="","",IFERROR(VLOOKUP(C1713,EQUIPOS!$B$3:$C$18,2,0),"NO EXISTE"))</f>
        <v/>
      </c>
      <c r="E1713" s="9" t="str">
        <f aca="false">IF(C1713="","",IFERROR(VLOOKUP(C1713,EQUIPOS!$B$3:$F$18,5,0),""))</f>
        <v/>
      </c>
      <c r="F1713" s="5" t="str">
        <f aca="false">IF(C1713="","",IFERROR(VLOOKUP(C1713,EQUIPOS!$B$3:$G$18,6,0),""))</f>
        <v/>
      </c>
      <c r="G1713" s="8"/>
      <c r="H1713" s="5"/>
      <c r="I1713" s="5"/>
      <c r="J1713" s="9"/>
      <c r="K1713" s="17" t="str">
        <f aca="false">IF(H1713="","",IFERROR(SUMIFS(BD_PLAN!$I$3:$I$312,BD_PLAN!$B$3:$B$312,E1713,BD_PLAN!$C$3:$C$312,INDEX(BD_CICLO!$F$3:$F$54,MATCH(E1713&amp;"|"&amp;H1713,BD_CICLO!$G$3:$G$54,0))),""))</f>
        <v/>
      </c>
      <c r="L1713" s="9"/>
      <c r="M1713" s="9"/>
      <c r="N1713" s="1" t="str">
        <f aca="false">IF(C1713="","",C1713&amp;"|"&amp;COUNTIF(C$3:C1713,C1713))</f>
        <v/>
      </c>
      <c r="O1713" s="1" t="str">
        <f aca="false">IF(OR(C1713="",M1713=""),"",C1713&amp;"|"&amp;COUNTIFS(C$3:C1713,C1713,M$3:M1713,"&lt;&gt;"))</f>
        <v/>
      </c>
    </row>
    <row r="1714" customFormat="false" ht="15" hidden="false" customHeight="false" outlineLevel="0" collapsed="false">
      <c r="B1714" s="7"/>
      <c r="C1714" s="5"/>
      <c r="D1714" s="9" t="str">
        <f aca="false">IF(C1714="","",IFERROR(VLOOKUP(C1714,EQUIPOS!$B$3:$C$18,2,0),"NO EXISTE"))</f>
        <v/>
      </c>
      <c r="E1714" s="9" t="str">
        <f aca="false">IF(C1714="","",IFERROR(VLOOKUP(C1714,EQUIPOS!$B$3:$F$18,5,0),""))</f>
        <v/>
      </c>
      <c r="F1714" s="5" t="str">
        <f aca="false">IF(C1714="","",IFERROR(VLOOKUP(C1714,EQUIPOS!$B$3:$G$18,6,0),""))</f>
        <v/>
      </c>
      <c r="G1714" s="8"/>
      <c r="H1714" s="5"/>
      <c r="I1714" s="5"/>
      <c r="J1714" s="9"/>
      <c r="K1714" s="17" t="str">
        <f aca="false">IF(H1714="","",IFERROR(SUMIFS(BD_PLAN!$I$3:$I$312,BD_PLAN!$B$3:$B$312,E1714,BD_PLAN!$C$3:$C$312,INDEX(BD_CICLO!$F$3:$F$54,MATCH(E1714&amp;"|"&amp;H1714,BD_CICLO!$G$3:$G$54,0))),""))</f>
        <v/>
      </c>
      <c r="L1714" s="9"/>
      <c r="M1714" s="9"/>
      <c r="N1714" s="1" t="str">
        <f aca="false">IF(C1714="","",C1714&amp;"|"&amp;COUNTIF(C$3:C1714,C1714))</f>
        <v/>
      </c>
      <c r="O1714" s="1" t="str">
        <f aca="false">IF(OR(C1714="",M1714=""),"",C1714&amp;"|"&amp;COUNTIFS(C$3:C1714,C1714,M$3:M1714,"&lt;&gt;"))</f>
        <v/>
      </c>
    </row>
    <row r="1715" customFormat="false" ht="15" hidden="false" customHeight="false" outlineLevel="0" collapsed="false">
      <c r="B1715" s="7"/>
      <c r="C1715" s="5"/>
      <c r="D1715" s="9" t="str">
        <f aca="false">IF(C1715="","",IFERROR(VLOOKUP(C1715,EQUIPOS!$B$3:$C$18,2,0),"NO EXISTE"))</f>
        <v/>
      </c>
      <c r="E1715" s="9" t="str">
        <f aca="false">IF(C1715="","",IFERROR(VLOOKUP(C1715,EQUIPOS!$B$3:$F$18,5,0),""))</f>
        <v/>
      </c>
      <c r="F1715" s="5" t="str">
        <f aca="false">IF(C1715="","",IFERROR(VLOOKUP(C1715,EQUIPOS!$B$3:$G$18,6,0),""))</f>
        <v/>
      </c>
      <c r="G1715" s="8"/>
      <c r="H1715" s="5"/>
      <c r="I1715" s="5"/>
      <c r="J1715" s="9"/>
      <c r="K1715" s="17" t="str">
        <f aca="false">IF(H1715="","",IFERROR(SUMIFS(BD_PLAN!$I$3:$I$312,BD_PLAN!$B$3:$B$312,E1715,BD_PLAN!$C$3:$C$312,INDEX(BD_CICLO!$F$3:$F$54,MATCH(E1715&amp;"|"&amp;H1715,BD_CICLO!$G$3:$G$54,0))),""))</f>
        <v/>
      </c>
      <c r="L1715" s="9"/>
      <c r="M1715" s="9"/>
      <c r="N1715" s="1" t="str">
        <f aca="false">IF(C1715="","",C1715&amp;"|"&amp;COUNTIF(C$3:C1715,C1715))</f>
        <v/>
      </c>
      <c r="O1715" s="1" t="str">
        <f aca="false">IF(OR(C1715="",M1715=""),"",C1715&amp;"|"&amp;COUNTIFS(C$3:C1715,C1715,M$3:M1715,"&lt;&gt;"))</f>
        <v/>
      </c>
    </row>
    <row r="1716" customFormat="false" ht="15" hidden="false" customHeight="false" outlineLevel="0" collapsed="false">
      <c r="B1716" s="7"/>
      <c r="C1716" s="5"/>
      <c r="D1716" s="9" t="str">
        <f aca="false">IF(C1716="","",IFERROR(VLOOKUP(C1716,EQUIPOS!$B$3:$C$18,2,0),"NO EXISTE"))</f>
        <v/>
      </c>
      <c r="E1716" s="9" t="str">
        <f aca="false">IF(C1716="","",IFERROR(VLOOKUP(C1716,EQUIPOS!$B$3:$F$18,5,0),""))</f>
        <v/>
      </c>
      <c r="F1716" s="5" t="str">
        <f aca="false">IF(C1716="","",IFERROR(VLOOKUP(C1716,EQUIPOS!$B$3:$G$18,6,0),""))</f>
        <v/>
      </c>
      <c r="G1716" s="8"/>
      <c r="H1716" s="5"/>
      <c r="I1716" s="5"/>
      <c r="J1716" s="9"/>
      <c r="K1716" s="17" t="str">
        <f aca="false">IF(H1716="","",IFERROR(SUMIFS(BD_PLAN!$I$3:$I$312,BD_PLAN!$B$3:$B$312,E1716,BD_PLAN!$C$3:$C$312,INDEX(BD_CICLO!$F$3:$F$54,MATCH(E1716&amp;"|"&amp;H1716,BD_CICLO!$G$3:$G$54,0))),""))</f>
        <v/>
      </c>
      <c r="L1716" s="9"/>
      <c r="M1716" s="9"/>
      <c r="N1716" s="1" t="str">
        <f aca="false">IF(C1716="","",C1716&amp;"|"&amp;COUNTIF(C$3:C1716,C1716))</f>
        <v/>
      </c>
      <c r="O1716" s="1" t="str">
        <f aca="false">IF(OR(C1716="",M1716=""),"",C1716&amp;"|"&amp;COUNTIFS(C$3:C1716,C1716,M$3:M1716,"&lt;&gt;"))</f>
        <v/>
      </c>
    </row>
    <row r="1717" customFormat="false" ht="15" hidden="false" customHeight="false" outlineLevel="0" collapsed="false">
      <c r="B1717" s="7"/>
      <c r="C1717" s="5"/>
      <c r="D1717" s="9" t="str">
        <f aca="false">IF(C1717="","",IFERROR(VLOOKUP(C1717,EQUIPOS!$B$3:$C$18,2,0),"NO EXISTE"))</f>
        <v/>
      </c>
      <c r="E1717" s="9" t="str">
        <f aca="false">IF(C1717="","",IFERROR(VLOOKUP(C1717,EQUIPOS!$B$3:$F$18,5,0),""))</f>
        <v/>
      </c>
      <c r="F1717" s="5" t="str">
        <f aca="false">IF(C1717="","",IFERROR(VLOOKUP(C1717,EQUIPOS!$B$3:$G$18,6,0),""))</f>
        <v/>
      </c>
      <c r="G1717" s="8"/>
      <c r="H1717" s="5"/>
      <c r="I1717" s="5"/>
      <c r="J1717" s="9"/>
      <c r="K1717" s="17" t="str">
        <f aca="false">IF(H1717="","",IFERROR(SUMIFS(BD_PLAN!$I$3:$I$312,BD_PLAN!$B$3:$B$312,E1717,BD_PLAN!$C$3:$C$312,INDEX(BD_CICLO!$F$3:$F$54,MATCH(E1717&amp;"|"&amp;H1717,BD_CICLO!$G$3:$G$54,0))),""))</f>
        <v/>
      </c>
      <c r="L1717" s="9"/>
      <c r="M1717" s="9"/>
      <c r="N1717" s="1" t="str">
        <f aca="false">IF(C1717="","",C1717&amp;"|"&amp;COUNTIF(C$3:C1717,C1717))</f>
        <v/>
      </c>
      <c r="O1717" s="1" t="str">
        <f aca="false">IF(OR(C1717="",M1717=""),"",C1717&amp;"|"&amp;COUNTIFS(C$3:C1717,C1717,M$3:M1717,"&lt;&gt;"))</f>
        <v/>
      </c>
    </row>
    <row r="1718" customFormat="false" ht="15" hidden="false" customHeight="false" outlineLevel="0" collapsed="false">
      <c r="B1718" s="7"/>
      <c r="C1718" s="5"/>
      <c r="D1718" s="9" t="str">
        <f aca="false">IF(C1718="","",IFERROR(VLOOKUP(C1718,EQUIPOS!$B$3:$C$18,2,0),"NO EXISTE"))</f>
        <v/>
      </c>
      <c r="E1718" s="9" t="str">
        <f aca="false">IF(C1718="","",IFERROR(VLOOKUP(C1718,EQUIPOS!$B$3:$F$18,5,0),""))</f>
        <v/>
      </c>
      <c r="F1718" s="5" t="str">
        <f aca="false">IF(C1718="","",IFERROR(VLOOKUP(C1718,EQUIPOS!$B$3:$G$18,6,0),""))</f>
        <v/>
      </c>
      <c r="G1718" s="8"/>
      <c r="H1718" s="5"/>
      <c r="I1718" s="5"/>
      <c r="J1718" s="9"/>
      <c r="K1718" s="17" t="str">
        <f aca="false">IF(H1718="","",IFERROR(SUMIFS(BD_PLAN!$I$3:$I$312,BD_PLAN!$B$3:$B$312,E1718,BD_PLAN!$C$3:$C$312,INDEX(BD_CICLO!$F$3:$F$54,MATCH(E1718&amp;"|"&amp;H1718,BD_CICLO!$G$3:$G$54,0))),""))</f>
        <v/>
      </c>
      <c r="L1718" s="9"/>
      <c r="M1718" s="9"/>
      <c r="N1718" s="1" t="str">
        <f aca="false">IF(C1718="","",C1718&amp;"|"&amp;COUNTIF(C$3:C1718,C1718))</f>
        <v/>
      </c>
      <c r="O1718" s="1" t="str">
        <f aca="false">IF(OR(C1718="",M1718=""),"",C1718&amp;"|"&amp;COUNTIFS(C$3:C1718,C1718,M$3:M1718,"&lt;&gt;"))</f>
        <v/>
      </c>
    </row>
    <row r="1719" customFormat="false" ht="15" hidden="false" customHeight="false" outlineLevel="0" collapsed="false">
      <c r="B1719" s="7"/>
      <c r="C1719" s="5"/>
      <c r="D1719" s="9" t="str">
        <f aca="false">IF(C1719="","",IFERROR(VLOOKUP(C1719,EQUIPOS!$B$3:$C$18,2,0),"NO EXISTE"))</f>
        <v/>
      </c>
      <c r="E1719" s="9" t="str">
        <f aca="false">IF(C1719="","",IFERROR(VLOOKUP(C1719,EQUIPOS!$B$3:$F$18,5,0),""))</f>
        <v/>
      </c>
      <c r="F1719" s="5" t="str">
        <f aca="false">IF(C1719="","",IFERROR(VLOOKUP(C1719,EQUIPOS!$B$3:$G$18,6,0),""))</f>
        <v/>
      </c>
      <c r="G1719" s="8"/>
      <c r="H1719" s="5"/>
      <c r="I1719" s="5"/>
      <c r="J1719" s="9"/>
      <c r="K1719" s="17" t="str">
        <f aca="false">IF(H1719="","",IFERROR(SUMIFS(BD_PLAN!$I$3:$I$312,BD_PLAN!$B$3:$B$312,E1719,BD_PLAN!$C$3:$C$312,INDEX(BD_CICLO!$F$3:$F$54,MATCH(E1719&amp;"|"&amp;H1719,BD_CICLO!$G$3:$G$54,0))),""))</f>
        <v/>
      </c>
      <c r="L1719" s="9"/>
      <c r="M1719" s="9"/>
      <c r="N1719" s="1" t="str">
        <f aca="false">IF(C1719="","",C1719&amp;"|"&amp;COUNTIF(C$3:C1719,C1719))</f>
        <v/>
      </c>
      <c r="O1719" s="1" t="str">
        <f aca="false">IF(OR(C1719="",M1719=""),"",C1719&amp;"|"&amp;COUNTIFS(C$3:C1719,C1719,M$3:M1719,"&lt;&gt;"))</f>
        <v/>
      </c>
    </row>
    <row r="1720" customFormat="false" ht="15" hidden="false" customHeight="false" outlineLevel="0" collapsed="false">
      <c r="B1720" s="7"/>
      <c r="C1720" s="5"/>
      <c r="D1720" s="9" t="str">
        <f aca="false">IF(C1720="","",IFERROR(VLOOKUP(C1720,EQUIPOS!$B$3:$C$18,2,0),"NO EXISTE"))</f>
        <v/>
      </c>
      <c r="E1720" s="9" t="str">
        <f aca="false">IF(C1720="","",IFERROR(VLOOKUP(C1720,EQUIPOS!$B$3:$F$18,5,0),""))</f>
        <v/>
      </c>
      <c r="F1720" s="5" t="str">
        <f aca="false">IF(C1720="","",IFERROR(VLOOKUP(C1720,EQUIPOS!$B$3:$G$18,6,0),""))</f>
        <v/>
      </c>
      <c r="G1720" s="8"/>
      <c r="H1720" s="5"/>
      <c r="I1720" s="5"/>
      <c r="J1720" s="9"/>
      <c r="K1720" s="17" t="str">
        <f aca="false">IF(H1720="","",IFERROR(SUMIFS(BD_PLAN!$I$3:$I$312,BD_PLAN!$B$3:$B$312,E1720,BD_PLAN!$C$3:$C$312,INDEX(BD_CICLO!$F$3:$F$54,MATCH(E1720&amp;"|"&amp;H1720,BD_CICLO!$G$3:$G$54,0))),""))</f>
        <v/>
      </c>
      <c r="L1720" s="9"/>
      <c r="M1720" s="9"/>
      <c r="N1720" s="1" t="str">
        <f aca="false">IF(C1720="","",C1720&amp;"|"&amp;COUNTIF(C$3:C1720,C1720))</f>
        <v/>
      </c>
      <c r="O1720" s="1" t="str">
        <f aca="false">IF(OR(C1720="",M1720=""),"",C1720&amp;"|"&amp;COUNTIFS(C$3:C1720,C1720,M$3:M1720,"&lt;&gt;"))</f>
        <v/>
      </c>
    </row>
    <row r="1721" customFormat="false" ht="15" hidden="false" customHeight="false" outlineLevel="0" collapsed="false">
      <c r="B1721" s="7"/>
      <c r="C1721" s="5"/>
      <c r="D1721" s="9" t="str">
        <f aca="false">IF(C1721="","",IFERROR(VLOOKUP(C1721,EQUIPOS!$B$3:$C$18,2,0),"NO EXISTE"))</f>
        <v/>
      </c>
      <c r="E1721" s="9" t="str">
        <f aca="false">IF(C1721="","",IFERROR(VLOOKUP(C1721,EQUIPOS!$B$3:$F$18,5,0),""))</f>
        <v/>
      </c>
      <c r="F1721" s="5" t="str">
        <f aca="false">IF(C1721="","",IFERROR(VLOOKUP(C1721,EQUIPOS!$B$3:$G$18,6,0),""))</f>
        <v/>
      </c>
      <c r="G1721" s="8"/>
      <c r="H1721" s="5"/>
      <c r="I1721" s="5"/>
      <c r="J1721" s="9"/>
      <c r="K1721" s="17" t="str">
        <f aca="false">IF(H1721="","",IFERROR(SUMIFS(BD_PLAN!$I$3:$I$312,BD_PLAN!$B$3:$B$312,E1721,BD_PLAN!$C$3:$C$312,INDEX(BD_CICLO!$F$3:$F$54,MATCH(E1721&amp;"|"&amp;H1721,BD_CICLO!$G$3:$G$54,0))),""))</f>
        <v/>
      </c>
      <c r="L1721" s="9"/>
      <c r="M1721" s="9"/>
      <c r="N1721" s="1" t="str">
        <f aca="false">IF(C1721="","",C1721&amp;"|"&amp;COUNTIF(C$3:C1721,C1721))</f>
        <v/>
      </c>
      <c r="O1721" s="1" t="str">
        <f aca="false">IF(OR(C1721="",M1721=""),"",C1721&amp;"|"&amp;COUNTIFS(C$3:C1721,C1721,M$3:M1721,"&lt;&gt;"))</f>
        <v/>
      </c>
    </row>
    <row r="1722" customFormat="false" ht="15" hidden="false" customHeight="false" outlineLevel="0" collapsed="false">
      <c r="B1722" s="7"/>
      <c r="C1722" s="5"/>
      <c r="D1722" s="9" t="str">
        <f aca="false">IF(C1722="","",IFERROR(VLOOKUP(C1722,EQUIPOS!$B$3:$C$18,2,0),"NO EXISTE"))</f>
        <v/>
      </c>
      <c r="E1722" s="9" t="str">
        <f aca="false">IF(C1722="","",IFERROR(VLOOKUP(C1722,EQUIPOS!$B$3:$F$18,5,0),""))</f>
        <v/>
      </c>
      <c r="F1722" s="5" t="str">
        <f aca="false">IF(C1722="","",IFERROR(VLOOKUP(C1722,EQUIPOS!$B$3:$G$18,6,0),""))</f>
        <v/>
      </c>
      <c r="G1722" s="8"/>
      <c r="H1722" s="5"/>
      <c r="I1722" s="5"/>
      <c r="J1722" s="9"/>
      <c r="K1722" s="17" t="str">
        <f aca="false">IF(H1722="","",IFERROR(SUMIFS(BD_PLAN!$I$3:$I$312,BD_PLAN!$B$3:$B$312,E1722,BD_PLAN!$C$3:$C$312,INDEX(BD_CICLO!$F$3:$F$54,MATCH(E1722&amp;"|"&amp;H1722,BD_CICLO!$G$3:$G$54,0))),""))</f>
        <v/>
      </c>
      <c r="L1722" s="9"/>
      <c r="M1722" s="9"/>
      <c r="N1722" s="1" t="str">
        <f aca="false">IF(C1722="","",C1722&amp;"|"&amp;COUNTIF(C$3:C1722,C1722))</f>
        <v/>
      </c>
      <c r="O1722" s="1" t="str">
        <f aca="false">IF(OR(C1722="",M1722=""),"",C1722&amp;"|"&amp;COUNTIFS(C$3:C1722,C1722,M$3:M1722,"&lt;&gt;"))</f>
        <v/>
      </c>
    </row>
    <row r="1723" customFormat="false" ht="15" hidden="false" customHeight="false" outlineLevel="0" collapsed="false">
      <c r="B1723" s="7"/>
      <c r="C1723" s="5"/>
      <c r="D1723" s="9" t="str">
        <f aca="false">IF(C1723="","",IFERROR(VLOOKUP(C1723,EQUIPOS!$B$3:$C$18,2,0),"NO EXISTE"))</f>
        <v/>
      </c>
      <c r="E1723" s="9" t="str">
        <f aca="false">IF(C1723="","",IFERROR(VLOOKUP(C1723,EQUIPOS!$B$3:$F$18,5,0),""))</f>
        <v/>
      </c>
      <c r="F1723" s="5" t="str">
        <f aca="false">IF(C1723="","",IFERROR(VLOOKUP(C1723,EQUIPOS!$B$3:$G$18,6,0),""))</f>
        <v/>
      </c>
      <c r="G1723" s="8"/>
      <c r="H1723" s="5"/>
      <c r="I1723" s="5"/>
      <c r="J1723" s="9"/>
      <c r="K1723" s="17" t="str">
        <f aca="false">IF(H1723="","",IFERROR(SUMIFS(BD_PLAN!$I$3:$I$312,BD_PLAN!$B$3:$B$312,E1723,BD_PLAN!$C$3:$C$312,INDEX(BD_CICLO!$F$3:$F$54,MATCH(E1723&amp;"|"&amp;H1723,BD_CICLO!$G$3:$G$54,0))),""))</f>
        <v/>
      </c>
      <c r="L1723" s="9"/>
      <c r="M1723" s="9"/>
      <c r="N1723" s="1" t="str">
        <f aca="false">IF(C1723="","",C1723&amp;"|"&amp;COUNTIF(C$3:C1723,C1723))</f>
        <v/>
      </c>
      <c r="O1723" s="1" t="str">
        <f aca="false">IF(OR(C1723="",M1723=""),"",C1723&amp;"|"&amp;COUNTIFS(C$3:C1723,C1723,M$3:M1723,"&lt;&gt;"))</f>
        <v/>
      </c>
    </row>
    <row r="1724" customFormat="false" ht="15" hidden="false" customHeight="false" outlineLevel="0" collapsed="false">
      <c r="B1724" s="7"/>
      <c r="C1724" s="5"/>
      <c r="D1724" s="9" t="str">
        <f aca="false">IF(C1724="","",IFERROR(VLOOKUP(C1724,EQUIPOS!$B$3:$C$18,2,0),"NO EXISTE"))</f>
        <v/>
      </c>
      <c r="E1724" s="9" t="str">
        <f aca="false">IF(C1724="","",IFERROR(VLOOKUP(C1724,EQUIPOS!$B$3:$F$18,5,0),""))</f>
        <v/>
      </c>
      <c r="F1724" s="5" t="str">
        <f aca="false">IF(C1724="","",IFERROR(VLOOKUP(C1724,EQUIPOS!$B$3:$G$18,6,0),""))</f>
        <v/>
      </c>
      <c r="G1724" s="8"/>
      <c r="H1724" s="5"/>
      <c r="I1724" s="5"/>
      <c r="J1724" s="9"/>
      <c r="K1724" s="17" t="str">
        <f aca="false">IF(H1724="","",IFERROR(SUMIFS(BD_PLAN!$I$3:$I$312,BD_PLAN!$B$3:$B$312,E1724,BD_PLAN!$C$3:$C$312,INDEX(BD_CICLO!$F$3:$F$54,MATCH(E1724&amp;"|"&amp;H1724,BD_CICLO!$G$3:$G$54,0))),""))</f>
        <v/>
      </c>
      <c r="L1724" s="9"/>
      <c r="M1724" s="9"/>
      <c r="N1724" s="1" t="str">
        <f aca="false">IF(C1724="","",C1724&amp;"|"&amp;COUNTIF(C$3:C1724,C1724))</f>
        <v/>
      </c>
      <c r="O1724" s="1" t="str">
        <f aca="false">IF(OR(C1724="",M1724=""),"",C1724&amp;"|"&amp;COUNTIFS(C$3:C1724,C1724,M$3:M1724,"&lt;&gt;"))</f>
        <v/>
      </c>
    </row>
    <row r="1725" customFormat="false" ht="15" hidden="false" customHeight="false" outlineLevel="0" collapsed="false">
      <c r="B1725" s="7"/>
      <c r="C1725" s="5"/>
      <c r="D1725" s="9" t="str">
        <f aca="false">IF(C1725="","",IFERROR(VLOOKUP(C1725,EQUIPOS!$B$3:$C$18,2,0),"NO EXISTE"))</f>
        <v/>
      </c>
      <c r="E1725" s="9" t="str">
        <f aca="false">IF(C1725="","",IFERROR(VLOOKUP(C1725,EQUIPOS!$B$3:$F$18,5,0),""))</f>
        <v/>
      </c>
      <c r="F1725" s="5" t="str">
        <f aca="false">IF(C1725="","",IFERROR(VLOOKUP(C1725,EQUIPOS!$B$3:$G$18,6,0),""))</f>
        <v/>
      </c>
      <c r="G1725" s="8"/>
      <c r="H1725" s="5"/>
      <c r="I1725" s="5"/>
      <c r="J1725" s="9"/>
      <c r="K1725" s="17" t="str">
        <f aca="false">IF(H1725="","",IFERROR(SUMIFS(BD_PLAN!$I$3:$I$312,BD_PLAN!$B$3:$B$312,E1725,BD_PLAN!$C$3:$C$312,INDEX(BD_CICLO!$F$3:$F$54,MATCH(E1725&amp;"|"&amp;H1725,BD_CICLO!$G$3:$G$54,0))),""))</f>
        <v/>
      </c>
      <c r="L1725" s="9"/>
      <c r="M1725" s="9"/>
      <c r="N1725" s="1" t="str">
        <f aca="false">IF(C1725="","",C1725&amp;"|"&amp;COUNTIF(C$3:C1725,C1725))</f>
        <v/>
      </c>
      <c r="O1725" s="1" t="str">
        <f aca="false">IF(OR(C1725="",M1725=""),"",C1725&amp;"|"&amp;COUNTIFS(C$3:C1725,C1725,M$3:M1725,"&lt;&gt;"))</f>
        <v/>
      </c>
    </row>
    <row r="1726" customFormat="false" ht="15" hidden="false" customHeight="false" outlineLevel="0" collapsed="false">
      <c r="B1726" s="7"/>
      <c r="C1726" s="5"/>
      <c r="D1726" s="9" t="str">
        <f aca="false">IF(C1726="","",IFERROR(VLOOKUP(C1726,EQUIPOS!$B$3:$C$18,2,0),"NO EXISTE"))</f>
        <v/>
      </c>
      <c r="E1726" s="9" t="str">
        <f aca="false">IF(C1726="","",IFERROR(VLOOKUP(C1726,EQUIPOS!$B$3:$F$18,5,0),""))</f>
        <v/>
      </c>
      <c r="F1726" s="5" t="str">
        <f aca="false">IF(C1726="","",IFERROR(VLOOKUP(C1726,EQUIPOS!$B$3:$G$18,6,0),""))</f>
        <v/>
      </c>
      <c r="G1726" s="8"/>
      <c r="H1726" s="5"/>
      <c r="I1726" s="5"/>
      <c r="J1726" s="9"/>
      <c r="K1726" s="17" t="str">
        <f aca="false">IF(H1726="","",IFERROR(SUMIFS(BD_PLAN!$I$3:$I$312,BD_PLAN!$B$3:$B$312,E1726,BD_PLAN!$C$3:$C$312,INDEX(BD_CICLO!$F$3:$F$54,MATCH(E1726&amp;"|"&amp;H1726,BD_CICLO!$G$3:$G$54,0))),""))</f>
        <v/>
      </c>
      <c r="L1726" s="9"/>
      <c r="M1726" s="9"/>
      <c r="N1726" s="1" t="str">
        <f aca="false">IF(C1726="","",C1726&amp;"|"&amp;COUNTIF(C$3:C1726,C1726))</f>
        <v/>
      </c>
      <c r="O1726" s="1" t="str">
        <f aca="false">IF(OR(C1726="",M1726=""),"",C1726&amp;"|"&amp;COUNTIFS(C$3:C1726,C1726,M$3:M1726,"&lt;&gt;"))</f>
        <v/>
      </c>
    </row>
    <row r="1727" customFormat="false" ht="15" hidden="false" customHeight="false" outlineLevel="0" collapsed="false">
      <c r="B1727" s="7"/>
      <c r="C1727" s="5"/>
      <c r="D1727" s="9" t="str">
        <f aca="false">IF(C1727="","",IFERROR(VLOOKUP(C1727,EQUIPOS!$B$3:$C$18,2,0),"NO EXISTE"))</f>
        <v/>
      </c>
      <c r="E1727" s="9" t="str">
        <f aca="false">IF(C1727="","",IFERROR(VLOOKUP(C1727,EQUIPOS!$B$3:$F$18,5,0),""))</f>
        <v/>
      </c>
      <c r="F1727" s="5" t="str">
        <f aca="false">IF(C1727="","",IFERROR(VLOOKUP(C1727,EQUIPOS!$B$3:$G$18,6,0),""))</f>
        <v/>
      </c>
      <c r="G1727" s="8"/>
      <c r="H1727" s="5"/>
      <c r="I1727" s="5"/>
      <c r="J1727" s="9"/>
      <c r="K1727" s="17" t="str">
        <f aca="false">IF(H1727="","",IFERROR(SUMIFS(BD_PLAN!$I$3:$I$312,BD_PLAN!$B$3:$B$312,E1727,BD_PLAN!$C$3:$C$312,INDEX(BD_CICLO!$F$3:$F$54,MATCH(E1727&amp;"|"&amp;H1727,BD_CICLO!$G$3:$G$54,0))),""))</f>
        <v/>
      </c>
      <c r="L1727" s="9"/>
      <c r="M1727" s="9"/>
      <c r="N1727" s="1" t="str">
        <f aca="false">IF(C1727="","",C1727&amp;"|"&amp;COUNTIF(C$3:C1727,C1727))</f>
        <v/>
      </c>
      <c r="O1727" s="1" t="str">
        <f aca="false">IF(OR(C1727="",M1727=""),"",C1727&amp;"|"&amp;COUNTIFS(C$3:C1727,C1727,M$3:M1727,"&lt;&gt;"))</f>
        <v/>
      </c>
    </row>
    <row r="1728" customFormat="false" ht="15" hidden="false" customHeight="false" outlineLevel="0" collapsed="false">
      <c r="B1728" s="7"/>
      <c r="C1728" s="5"/>
      <c r="D1728" s="9" t="str">
        <f aca="false">IF(C1728="","",IFERROR(VLOOKUP(C1728,EQUIPOS!$B$3:$C$18,2,0),"NO EXISTE"))</f>
        <v/>
      </c>
      <c r="E1728" s="9" t="str">
        <f aca="false">IF(C1728="","",IFERROR(VLOOKUP(C1728,EQUIPOS!$B$3:$F$18,5,0),""))</f>
        <v/>
      </c>
      <c r="F1728" s="5" t="str">
        <f aca="false">IF(C1728="","",IFERROR(VLOOKUP(C1728,EQUIPOS!$B$3:$G$18,6,0),""))</f>
        <v/>
      </c>
      <c r="G1728" s="8"/>
      <c r="H1728" s="5"/>
      <c r="I1728" s="5"/>
      <c r="J1728" s="9"/>
      <c r="K1728" s="17" t="str">
        <f aca="false">IF(H1728="","",IFERROR(SUMIFS(BD_PLAN!$I$3:$I$312,BD_PLAN!$B$3:$B$312,E1728,BD_PLAN!$C$3:$C$312,INDEX(BD_CICLO!$F$3:$F$54,MATCH(E1728&amp;"|"&amp;H1728,BD_CICLO!$G$3:$G$54,0))),""))</f>
        <v/>
      </c>
      <c r="L1728" s="9"/>
      <c r="M1728" s="9"/>
      <c r="N1728" s="1" t="str">
        <f aca="false">IF(C1728="","",C1728&amp;"|"&amp;COUNTIF(C$3:C1728,C1728))</f>
        <v/>
      </c>
      <c r="O1728" s="1" t="str">
        <f aca="false">IF(OR(C1728="",M1728=""),"",C1728&amp;"|"&amp;COUNTIFS(C$3:C1728,C1728,M$3:M1728,"&lt;&gt;"))</f>
        <v/>
      </c>
    </row>
    <row r="1729" customFormat="false" ht="15" hidden="false" customHeight="false" outlineLevel="0" collapsed="false">
      <c r="B1729" s="7"/>
      <c r="C1729" s="5"/>
      <c r="D1729" s="9" t="str">
        <f aca="false">IF(C1729="","",IFERROR(VLOOKUP(C1729,EQUIPOS!$B$3:$C$18,2,0),"NO EXISTE"))</f>
        <v/>
      </c>
      <c r="E1729" s="9" t="str">
        <f aca="false">IF(C1729="","",IFERROR(VLOOKUP(C1729,EQUIPOS!$B$3:$F$18,5,0),""))</f>
        <v/>
      </c>
      <c r="F1729" s="5" t="str">
        <f aca="false">IF(C1729="","",IFERROR(VLOOKUP(C1729,EQUIPOS!$B$3:$G$18,6,0),""))</f>
        <v/>
      </c>
      <c r="G1729" s="8"/>
      <c r="H1729" s="5"/>
      <c r="I1729" s="5"/>
      <c r="J1729" s="9"/>
      <c r="K1729" s="17" t="str">
        <f aca="false">IF(H1729="","",IFERROR(SUMIFS(BD_PLAN!$I$3:$I$312,BD_PLAN!$B$3:$B$312,E1729,BD_PLAN!$C$3:$C$312,INDEX(BD_CICLO!$F$3:$F$54,MATCH(E1729&amp;"|"&amp;H1729,BD_CICLO!$G$3:$G$54,0))),""))</f>
        <v/>
      </c>
      <c r="L1729" s="9"/>
      <c r="M1729" s="9"/>
      <c r="N1729" s="1" t="str">
        <f aca="false">IF(C1729="","",C1729&amp;"|"&amp;COUNTIF(C$3:C1729,C1729))</f>
        <v/>
      </c>
      <c r="O1729" s="1" t="str">
        <f aca="false">IF(OR(C1729="",M1729=""),"",C1729&amp;"|"&amp;COUNTIFS(C$3:C1729,C1729,M$3:M1729,"&lt;&gt;"))</f>
        <v/>
      </c>
    </row>
    <row r="1730" customFormat="false" ht="15" hidden="false" customHeight="false" outlineLevel="0" collapsed="false">
      <c r="B1730" s="7"/>
      <c r="C1730" s="5"/>
      <c r="D1730" s="9" t="str">
        <f aca="false">IF(C1730="","",IFERROR(VLOOKUP(C1730,EQUIPOS!$B$3:$C$18,2,0),"NO EXISTE"))</f>
        <v/>
      </c>
      <c r="E1730" s="9" t="str">
        <f aca="false">IF(C1730="","",IFERROR(VLOOKUP(C1730,EQUIPOS!$B$3:$F$18,5,0),""))</f>
        <v/>
      </c>
      <c r="F1730" s="5" t="str">
        <f aca="false">IF(C1730="","",IFERROR(VLOOKUP(C1730,EQUIPOS!$B$3:$G$18,6,0),""))</f>
        <v/>
      </c>
      <c r="G1730" s="8"/>
      <c r="H1730" s="5"/>
      <c r="I1730" s="5"/>
      <c r="J1730" s="9"/>
      <c r="K1730" s="17" t="str">
        <f aca="false">IF(H1730="","",IFERROR(SUMIFS(BD_PLAN!$I$3:$I$312,BD_PLAN!$B$3:$B$312,E1730,BD_PLAN!$C$3:$C$312,INDEX(BD_CICLO!$F$3:$F$54,MATCH(E1730&amp;"|"&amp;H1730,BD_CICLO!$G$3:$G$54,0))),""))</f>
        <v/>
      </c>
      <c r="L1730" s="9"/>
      <c r="M1730" s="9"/>
      <c r="N1730" s="1" t="str">
        <f aca="false">IF(C1730="","",C1730&amp;"|"&amp;COUNTIF(C$3:C1730,C1730))</f>
        <v/>
      </c>
      <c r="O1730" s="1" t="str">
        <f aca="false">IF(OR(C1730="",M1730=""),"",C1730&amp;"|"&amp;COUNTIFS(C$3:C1730,C1730,M$3:M1730,"&lt;&gt;"))</f>
        <v/>
      </c>
    </row>
    <row r="1731" customFormat="false" ht="15" hidden="false" customHeight="false" outlineLevel="0" collapsed="false">
      <c r="B1731" s="7"/>
      <c r="C1731" s="5"/>
      <c r="D1731" s="9" t="str">
        <f aca="false">IF(C1731="","",IFERROR(VLOOKUP(C1731,EQUIPOS!$B$3:$C$18,2,0),"NO EXISTE"))</f>
        <v/>
      </c>
      <c r="E1731" s="9" t="str">
        <f aca="false">IF(C1731="","",IFERROR(VLOOKUP(C1731,EQUIPOS!$B$3:$F$18,5,0),""))</f>
        <v/>
      </c>
      <c r="F1731" s="5" t="str">
        <f aca="false">IF(C1731="","",IFERROR(VLOOKUP(C1731,EQUIPOS!$B$3:$G$18,6,0),""))</f>
        <v/>
      </c>
      <c r="G1731" s="8"/>
      <c r="H1731" s="5"/>
      <c r="I1731" s="5"/>
      <c r="J1731" s="9"/>
      <c r="K1731" s="17" t="str">
        <f aca="false">IF(H1731="","",IFERROR(SUMIFS(BD_PLAN!$I$3:$I$312,BD_PLAN!$B$3:$B$312,E1731,BD_PLAN!$C$3:$C$312,INDEX(BD_CICLO!$F$3:$F$54,MATCH(E1731&amp;"|"&amp;H1731,BD_CICLO!$G$3:$G$54,0))),""))</f>
        <v/>
      </c>
      <c r="L1731" s="9"/>
      <c r="M1731" s="9"/>
      <c r="N1731" s="1" t="str">
        <f aca="false">IF(C1731="","",C1731&amp;"|"&amp;COUNTIF(C$3:C1731,C1731))</f>
        <v/>
      </c>
      <c r="O1731" s="1" t="str">
        <f aca="false">IF(OR(C1731="",M1731=""),"",C1731&amp;"|"&amp;COUNTIFS(C$3:C1731,C1731,M$3:M1731,"&lt;&gt;"))</f>
        <v/>
      </c>
    </row>
    <row r="1732" customFormat="false" ht="15" hidden="false" customHeight="false" outlineLevel="0" collapsed="false">
      <c r="B1732" s="7"/>
      <c r="C1732" s="5"/>
      <c r="D1732" s="9" t="str">
        <f aca="false">IF(C1732="","",IFERROR(VLOOKUP(C1732,EQUIPOS!$B$3:$C$18,2,0),"NO EXISTE"))</f>
        <v/>
      </c>
      <c r="E1732" s="9" t="str">
        <f aca="false">IF(C1732="","",IFERROR(VLOOKUP(C1732,EQUIPOS!$B$3:$F$18,5,0),""))</f>
        <v/>
      </c>
      <c r="F1732" s="5" t="str">
        <f aca="false">IF(C1732="","",IFERROR(VLOOKUP(C1732,EQUIPOS!$B$3:$G$18,6,0),""))</f>
        <v/>
      </c>
      <c r="G1732" s="8"/>
      <c r="H1732" s="5"/>
      <c r="I1732" s="5"/>
      <c r="J1732" s="9"/>
      <c r="K1732" s="17" t="str">
        <f aca="false">IF(H1732="","",IFERROR(SUMIFS(BD_PLAN!$I$3:$I$312,BD_PLAN!$B$3:$B$312,E1732,BD_PLAN!$C$3:$C$312,INDEX(BD_CICLO!$F$3:$F$54,MATCH(E1732&amp;"|"&amp;H1732,BD_CICLO!$G$3:$G$54,0))),""))</f>
        <v/>
      </c>
      <c r="L1732" s="9"/>
      <c r="M1732" s="9"/>
      <c r="N1732" s="1" t="str">
        <f aca="false">IF(C1732="","",C1732&amp;"|"&amp;COUNTIF(C$3:C1732,C1732))</f>
        <v/>
      </c>
      <c r="O1732" s="1" t="str">
        <f aca="false">IF(OR(C1732="",M1732=""),"",C1732&amp;"|"&amp;COUNTIFS(C$3:C1732,C1732,M$3:M1732,"&lt;&gt;"))</f>
        <v/>
      </c>
    </row>
    <row r="1733" customFormat="false" ht="15" hidden="false" customHeight="false" outlineLevel="0" collapsed="false">
      <c r="B1733" s="7"/>
      <c r="C1733" s="5"/>
      <c r="D1733" s="9" t="str">
        <f aca="false">IF(C1733="","",IFERROR(VLOOKUP(C1733,EQUIPOS!$B$3:$C$18,2,0),"NO EXISTE"))</f>
        <v/>
      </c>
      <c r="E1733" s="9" t="str">
        <f aca="false">IF(C1733="","",IFERROR(VLOOKUP(C1733,EQUIPOS!$B$3:$F$18,5,0),""))</f>
        <v/>
      </c>
      <c r="F1733" s="5" t="str">
        <f aca="false">IF(C1733="","",IFERROR(VLOOKUP(C1733,EQUIPOS!$B$3:$G$18,6,0),""))</f>
        <v/>
      </c>
      <c r="G1733" s="8"/>
      <c r="H1733" s="5"/>
      <c r="I1733" s="5"/>
      <c r="J1733" s="9"/>
      <c r="K1733" s="17" t="str">
        <f aca="false">IF(H1733="","",IFERROR(SUMIFS(BD_PLAN!$I$3:$I$312,BD_PLAN!$B$3:$B$312,E1733,BD_PLAN!$C$3:$C$312,INDEX(BD_CICLO!$F$3:$F$54,MATCH(E1733&amp;"|"&amp;H1733,BD_CICLO!$G$3:$G$54,0))),""))</f>
        <v/>
      </c>
      <c r="L1733" s="9"/>
      <c r="M1733" s="9"/>
      <c r="N1733" s="1" t="str">
        <f aca="false">IF(C1733="","",C1733&amp;"|"&amp;COUNTIF(C$3:C1733,C1733))</f>
        <v/>
      </c>
      <c r="O1733" s="1" t="str">
        <f aca="false">IF(OR(C1733="",M1733=""),"",C1733&amp;"|"&amp;COUNTIFS(C$3:C1733,C1733,M$3:M1733,"&lt;&gt;"))</f>
        <v/>
      </c>
    </row>
    <row r="1734" customFormat="false" ht="15" hidden="false" customHeight="false" outlineLevel="0" collapsed="false">
      <c r="B1734" s="7"/>
      <c r="C1734" s="5"/>
      <c r="D1734" s="9" t="str">
        <f aca="false">IF(C1734="","",IFERROR(VLOOKUP(C1734,EQUIPOS!$B$3:$C$18,2,0),"NO EXISTE"))</f>
        <v/>
      </c>
      <c r="E1734" s="9" t="str">
        <f aca="false">IF(C1734="","",IFERROR(VLOOKUP(C1734,EQUIPOS!$B$3:$F$18,5,0),""))</f>
        <v/>
      </c>
      <c r="F1734" s="5" t="str">
        <f aca="false">IF(C1734="","",IFERROR(VLOOKUP(C1734,EQUIPOS!$B$3:$G$18,6,0),""))</f>
        <v/>
      </c>
      <c r="G1734" s="8"/>
      <c r="H1734" s="5"/>
      <c r="I1734" s="5"/>
      <c r="J1734" s="9"/>
      <c r="K1734" s="17" t="str">
        <f aca="false">IF(H1734="","",IFERROR(SUMIFS(BD_PLAN!$I$3:$I$312,BD_PLAN!$B$3:$B$312,E1734,BD_PLAN!$C$3:$C$312,INDEX(BD_CICLO!$F$3:$F$54,MATCH(E1734&amp;"|"&amp;H1734,BD_CICLO!$G$3:$G$54,0))),""))</f>
        <v/>
      </c>
      <c r="L1734" s="9"/>
      <c r="M1734" s="9"/>
      <c r="N1734" s="1" t="str">
        <f aca="false">IF(C1734="","",C1734&amp;"|"&amp;COUNTIF(C$3:C1734,C1734))</f>
        <v/>
      </c>
      <c r="O1734" s="1" t="str">
        <f aca="false">IF(OR(C1734="",M1734=""),"",C1734&amp;"|"&amp;COUNTIFS(C$3:C1734,C1734,M$3:M1734,"&lt;&gt;"))</f>
        <v/>
      </c>
    </row>
    <row r="1735" customFormat="false" ht="15" hidden="false" customHeight="false" outlineLevel="0" collapsed="false">
      <c r="B1735" s="7"/>
      <c r="C1735" s="5"/>
      <c r="D1735" s="9" t="str">
        <f aca="false">IF(C1735="","",IFERROR(VLOOKUP(C1735,EQUIPOS!$B$3:$C$18,2,0),"NO EXISTE"))</f>
        <v/>
      </c>
      <c r="E1735" s="9" t="str">
        <f aca="false">IF(C1735="","",IFERROR(VLOOKUP(C1735,EQUIPOS!$B$3:$F$18,5,0),""))</f>
        <v/>
      </c>
      <c r="F1735" s="5" t="str">
        <f aca="false">IF(C1735="","",IFERROR(VLOOKUP(C1735,EQUIPOS!$B$3:$G$18,6,0),""))</f>
        <v/>
      </c>
      <c r="G1735" s="8"/>
      <c r="H1735" s="5"/>
      <c r="I1735" s="5"/>
      <c r="J1735" s="9"/>
      <c r="K1735" s="17" t="str">
        <f aca="false">IF(H1735="","",IFERROR(SUMIFS(BD_PLAN!$I$3:$I$312,BD_PLAN!$B$3:$B$312,E1735,BD_PLAN!$C$3:$C$312,INDEX(BD_CICLO!$F$3:$F$54,MATCH(E1735&amp;"|"&amp;H1735,BD_CICLO!$G$3:$G$54,0))),""))</f>
        <v/>
      </c>
      <c r="L1735" s="9"/>
      <c r="M1735" s="9"/>
      <c r="N1735" s="1" t="str">
        <f aca="false">IF(C1735="","",C1735&amp;"|"&amp;COUNTIF(C$3:C1735,C1735))</f>
        <v/>
      </c>
      <c r="O1735" s="1" t="str">
        <f aca="false">IF(OR(C1735="",M1735=""),"",C1735&amp;"|"&amp;COUNTIFS(C$3:C1735,C1735,M$3:M1735,"&lt;&gt;"))</f>
        <v/>
      </c>
    </row>
    <row r="1736" customFormat="false" ht="15" hidden="false" customHeight="false" outlineLevel="0" collapsed="false">
      <c r="B1736" s="7"/>
      <c r="C1736" s="5"/>
      <c r="D1736" s="9" t="str">
        <f aca="false">IF(C1736="","",IFERROR(VLOOKUP(C1736,EQUIPOS!$B$3:$C$18,2,0),"NO EXISTE"))</f>
        <v/>
      </c>
      <c r="E1736" s="9" t="str">
        <f aca="false">IF(C1736="","",IFERROR(VLOOKUP(C1736,EQUIPOS!$B$3:$F$18,5,0),""))</f>
        <v/>
      </c>
      <c r="F1736" s="5" t="str">
        <f aca="false">IF(C1736="","",IFERROR(VLOOKUP(C1736,EQUIPOS!$B$3:$G$18,6,0),""))</f>
        <v/>
      </c>
      <c r="G1736" s="8"/>
      <c r="H1736" s="5"/>
      <c r="I1736" s="5"/>
      <c r="J1736" s="9"/>
      <c r="K1736" s="17" t="str">
        <f aca="false">IF(H1736="","",IFERROR(SUMIFS(BD_PLAN!$I$3:$I$312,BD_PLAN!$B$3:$B$312,E1736,BD_PLAN!$C$3:$C$312,INDEX(BD_CICLO!$F$3:$F$54,MATCH(E1736&amp;"|"&amp;H1736,BD_CICLO!$G$3:$G$54,0))),""))</f>
        <v/>
      </c>
      <c r="L1736" s="9"/>
      <c r="M1736" s="9"/>
      <c r="N1736" s="1" t="str">
        <f aca="false">IF(C1736="","",C1736&amp;"|"&amp;COUNTIF(C$3:C1736,C1736))</f>
        <v/>
      </c>
      <c r="O1736" s="1" t="str">
        <f aca="false">IF(OR(C1736="",M1736=""),"",C1736&amp;"|"&amp;COUNTIFS(C$3:C1736,C1736,M$3:M1736,"&lt;&gt;"))</f>
        <v/>
      </c>
    </row>
    <row r="1737" customFormat="false" ht="15" hidden="false" customHeight="false" outlineLevel="0" collapsed="false">
      <c r="B1737" s="7"/>
      <c r="C1737" s="5"/>
      <c r="D1737" s="9" t="str">
        <f aca="false">IF(C1737="","",IFERROR(VLOOKUP(C1737,EQUIPOS!$B$3:$C$18,2,0),"NO EXISTE"))</f>
        <v/>
      </c>
      <c r="E1737" s="9" t="str">
        <f aca="false">IF(C1737="","",IFERROR(VLOOKUP(C1737,EQUIPOS!$B$3:$F$18,5,0),""))</f>
        <v/>
      </c>
      <c r="F1737" s="5" t="str">
        <f aca="false">IF(C1737="","",IFERROR(VLOOKUP(C1737,EQUIPOS!$B$3:$G$18,6,0),""))</f>
        <v/>
      </c>
      <c r="G1737" s="8"/>
      <c r="H1737" s="5"/>
      <c r="I1737" s="5"/>
      <c r="J1737" s="9"/>
      <c r="K1737" s="17" t="str">
        <f aca="false">IF(H1737="","",IFERROR(SUMIFS(BD_PLAN!$I$3:$I$312,BD_PLAN!$B$3:$B$312,E1737,BD_PLAN!$C$3:$C$312,INDEX(BD_CICLO!$F$3:$F$54,MATCH(E1737&amp;"|"&amp;H1737,BD_CICLO!$G$3:$G$54,0))),""))</f>
        <v/>
      </c>
      <c r="L1737" s="9"/>
      <c r="M1737" s="9"/>
      <c r="N1737" s="1" t="str">
        <f aca="false">IF(C1737="","",C1737&amp;"|"&amp;COUNTIF(C$3:C1737,C1737))</f>
        <v/>
      </c>
      <c r="O1737" s="1" t="str">
        <f aca="false">IF(OR(C1737="",M1737=""),"",C1737&amp;"|"&amp;COUNTIFS(C$3:C1737,C1737,M$3:M1737,"&lt;&gt;"))</f>
        <v/>
      </c>
    </row>
    <row r="1738" customFormat="false" ht="15" hidden="false" customHeight="false" outlineLevel="0" collapsed="false">
      <c r="B1738" s="7"/>
      <c r="C1738" s="5"/>
      <c r="D1738" s="9" t="str">
        <f aca="false">IF(C1738="","",IFERROR(VLOOKUP(C1738,EQUIPOS!$B$3:$C$18,2,0),"NO EXISTE"))</f>
        <v/>
      </c>
      <c r="E1738" s="9" t="str">
        <f aca="false">IF(C1738="","",IFERROR(VLOOKUP(C1738,EQUIPOS!$B$3:$F$18,5,0),""))</f>
        <v/>
      </c>
      <c r="F1738" s="5" t="str">
        <f aca="false">IF(C1738="","",IFERROR(VLOOKUP(C1738,EQUIPOS!$B$3:$G$18,6,0),""))</f>
        <v/>
      </c>
      <c r="G1738" s="8"/>
      <c r="H1738" s="5"/>
      <c r="I1738" s="5"/>
      <c r="J1738" s="9"/>
      <c r="K1738" s="17" t="str">
        <f aca="false">IF(H1738="","",IFERROR(SUMIFS(BD_PLAN!$I$3:$I$312,BD_PLAN!$B$3:$B$312,E1738,BD_PLAN!$C$3:$C$312,INDEX(BD_CICLO!$F$3:$F$54,MATCH(E1738&amp;"|"&amp;H1738,BD_CICLO!$G$3:$G$54,0))),""))</f>
        <v/>
      </c>
      <c r="L1738" s="9"/>
      <c r="M1738" s="9"/>
      <c r="N1738" s="1" t="str">
        <f aca="false">IF(C1738="","",C1738&amp;"|"&amp;COUNTIF(C$3:C1738,C1738))</f>
        <v/>
      </c>
      <c r="O1738" s="1" t="str">
        <f aca="false">IF(OR(C1738="",M1738=""),"",C1738&amp;"|"&amp;COUNTIFS(C$3:C1738,C1738,M$3:M1738,"&lt;&gt;"))</f>
        <v/>
      </c>
    </row>
    <row r="1739" customFormat="false" ht="15" hidden="false" customHeight="false" outlineLevel="0" collapsed="false">
      <c r="B1739" s="7"/>
      <c r="C1739" s="5"/>
      <c r="D1739" s="9" t="str">
        <f aca="false">IF(C1739="","",IFERROR(VLOOKUP(C1739,EQUIPOS!$B$3:$C$18,2,0),"NO EXISTE"))</f>
        <v/>
      </c>
      <c r="E1739" s="9" t="str">
        <f aca="false">IF(C1739="","",IFERROR(VLOOKUP(C1739,EQUIPOS!$B$3:$F$18,5,0),""))</f>
        <v/>
      </c>
      <c r="F1739" s="5" t="str">
        <f aca="false">IF(C1739="","",IFERROR(VLOOKUP(C1739,EQUIPOS!$B$3:$G$18,6,0),""))</f>
        <v/>
      </c>
      <c r="G1739" s="8"/>
      <c r="H1739" s="5"/>
      <c r="I1739" s="5"/>
      <c r="J1739" s="9"/>
      <c r="K1739" s="17" t="str">
        <f aca="false">IF(H1739="","",IFERROR(SUMIFS(BD_PLAN!$I$3:$I$312,BD_PLAN!$B$3:$B$312,E1739,BD_PLAN!$C$3:$C$312,INDEX(BD_CICLO!$F$3:$F$54,MATCH(E1739&amp;"|"&amp;H1739,BD_CICLO!$G$3:$G$54,0))),""))</f>
        <v/>
      </c>
      <c r="L1739" s="9"/>
      <c r="M1739" s="9"/>
      <c r="N1739" s="1" t="str">
        <f aca="false">IF(C1739="","",C1739&amp;"|"&amp;COUNTIF(C$3:C1739,C1739))</f>
        <v/>
      </c>
      <c r="O1739" s="1" t="str">
        <f aca="false">IF(OR(C1739="",M1739=""),"",C1739&amp;"|"&amp;COUNTIFS(C$3:C1739,C1739,M$3:M1739,"&lt;&gt;"))</f>
        <v/>
      </c>
    </row>
    <row r="1740" customFormat="false" ht="15" hidden="false" customHeight="false" outlineLevel="0" collapsed="false">
      <c r="B1740" s="7"/>
      <c r="C1740" s="5"/>
      <c r="D1740" s="9" t="str">
        <f aca="false">IF(C1740="","",IFERROR(VLOOKUP(C1740,EQUIPOS!$B$3:$C$18,2,0),"NO EXISTE"))</f>
        <v/>
      </c>
      <c r="E1740" s="9" t="str">
        <f aca="false">IF(C1740="","",IFERROR(VLOOKUP(C1740,EQUIPOS!$B$3:$F$18,5,0),""))</f>
        <v/>
      </c>
      <c r="F1740" s="5" t="str">
        <f aca="false">IF(C1740="","",IFERROR(VLOOKUP(C1740,EQUIPOS!$B$3:$G$18,6,0),""))</f>
        <v/>
      </c>
      <c r="G1740" s="8"/>
      <c r="H1740" s="5"/>
      <c r="I1740" s="5"/>
      <c r="J1740" s="9"/>
      <c r="K1740" s="17" t="str">
        <f aca="false">IF(H1740="","",IFERROR(SUMIFS(BD_PLAN!$I$3:$I$312,BD_PLAN!$B$3:$B$312,E1740,BD_PLAN!$C$3:$C$312,INDEX(BD_CICLO!$F$3:$F$54,MATCH(E1740&amp;"|"&amp;H1740,BD_CICLO!$G$3:$G$54,0))),""))</f>
        <v/>
      </c>
      <c r="L1740" s="9"/>
      <c r="M1740" s="9"/>
      <c r="N1740" s="1" t="str">
        <f aca="false">IF(C1740="","",C1740&amp;"|"&amp;COUNTIF(C$3:C1740,C1740))</f>
        <v/>
      </c>
      <c r="O1740" s="1" t="str">
        <f aca="false">IF(OR(C1740="",M1740=""),"",C1740&amp;"|"&amp;COUNTIFS(C$3:C1740,C1740,M$3:M1740,"&lt;&gt;"))</f>
        <v/>
      </c>
    </row>
    <row r="1741" customFormat="false" ht="15" hidden="false" customHeight="false" outlineLevel="0" collapsed="false">
      <c r="B1741" s="7"/>
      <c r="C1741" s="5"/>
      <c r="D1741" s="9" t="str">
        <f aca="false">IF(C1741="","",IFERROR(VLOOKUP(C1741,EQUIPOS!$B$3:$C$18,2,0),"NO EXISTE"))</f>
        <v/>
      </c>
      <c r="E1741" s="9" t="str">
        <f aca="false">IF(C1741="","",IFERROR(VLOOKUP(C1741,EQUIPOS!$B$3:$F$18,5,0),""))</f>
        <v/>
      </c>
      <c r="F1741" s="5" t="str">
        <f aca="false">IF(C1741="","",IFERROR(VLOOKUP(C1741,EQUIPOS!$B$3:$G$18,6,0),""))</f>
        <v/>
      </c>
      <c r="G1741" s="8"/>
      <c r="H1741" s="5"/>
      <c r="I1741" s="5"/>
      <c r="J1741" s="9"/>
      <c r="K1741" s="17" t="str">
        <f aca="false">IF(H1741="","",IFERROR(SUMIFS(BD_PLAN!$I$3:$I$312,BD_PLAN!$B$3:$B$312,E1741,BD_PLAN!$C$3:$C$312,INDEX(BD_CICLO!$F$3:$F$54,MATCH(E1741&amp;"|"&amp;H1741,BD_CICLO!$G$3:$G$54,0))),""))</f>
        <v/>
      </c>
      <c r="L1741" s="9"/>
      <c r="M1741" s="9"/>
      <c r="N1741" s="1" t="str">
        <f aca="false">IF(C1741="","",C1741&amp;"|"&amp;COUNTIF(C$3:C1741,C1741))</f>
        <v/>
      </c>
      <c r="O1741" s="1" t="str">
        <f aca="false">IF(OR(C1741="",M1741=""),"",C1741&amp;"|"&amp;COUNTIFS(C$3:C1741,C1741,M$3:M1741,"&lt;&gt;"))</f>
        <v/>
      </c>
    </row>
    <row r="1742" customFormat="false" ht="15" hidden="false" customHeight="false" outlineLevel="0" collapsed="false">
      <c r="B1742" s="7"/>
      <c r="C1742" s="5"/>
      <c r="D1742" s="9" t="str">
        <f aca="false">IF(C1742="","",IFERROR(VLOOKUP(C1742,EQUIPOS!$B$3:$C$18,2,0),"NO EXISTE"))</f>
        <v/>
      </c>
      <c r="E1742" s="9" t="str">
        <f aca="false">IF(C1742="","",IFERROR(VLOOKUP(C1742,EQUIPOS!$B$3:$F$18,5,0),""))</f>
        <v/>
      </c>
      <c r="F1742" s="5" t="str">
        <f aca="false">IF(C1742="","",IFERROR(VLOOKUP(C1742,EQUIPOS!$B$3:$G$18,6,0),""))</f>
        <v/>
      </c>
      <c r="G1742" s="8"/>
      <c r="H1742" s="5"/>
      <c r="I1742" s="5"/>
      <c r="J1742" s="9"/>
      <c r="K1742" s="17" t="str">
        <f aca="false">IF(H1742="","",IFERROR(SUMIFS(BD_PLAN!$I$3:$I$312,BD_PLAN!$B$3:$B$312,E1742,BD_PLAN!$C$3:$C$312,INDEX(BD_CICLO!$F$3:$F$54,MATCH(E1742&amp;"|"&amp;H1742,BD_CICLO!$G$3:$G$54,0))),""))</f>
        <v/>
      </c>
      <c r="L1742" s="9"/>
      <c r="M1742" s="9"/>
      <c r="N1742" s="1" t="str">
        <f aca="false">IF(C1742="","",C1742&amp;"|"&amp;COUNTIF(C$3:C1742,C1742))</f>
        <v/>
      </c>
      <c r="O1742" s="1" t="str">
        <f aca="false">IF(OR(C1742="",M1742=""),"",C1742&amp;"|"&amp;COUNTIFS(C$3:C1742,C1742,M$3:M1742,"&lt;&gt;"))</f>
        <v/>
      </c>
    </row>
    <row r="1743" customFormat="false" ht="15" hidden="false" customHeight="false" outlineLevel="0" collapsed="false">
      <c r="B1743" s="7"/>
      <c r="C1743" s="5"/>
      <c r="D1743" s="9" t="str">
        <f aca="false">IF(C1743="","",IFERROR(VLOOKUP(C1743,EQUIPOS!$B$3:$C$18,2,0),"NO EXISTE"))</f>
        <v/>
      </c>
      <c r="E1743" s="9" t="str">
        <f aca="false">IF(C1743="","",IFERROR(VLOOKUP(C1743,EQUIPOS!$B$3:$F$18,5,0),""))</f>
        <v/>
      </c>
      <c r="F1743" s="5" t="str">
        <f aca="false">IF(C1743="","",IFERROR(VLOOKUP(C1743,EQUIPOS!$B$3:$G$18,6,0),""))</f>
        <v/>
      </c>
      <c r="G1743" s="8"/>
      <c r="H1743" s="5"/>
      <c r="I1743" s="5"/>
      <c r="J1743" s="9"/>
      <c r="K1743" s="17" t="str">
        <f aca="false">IF(H1743="","",IFERROR(SUMIFS(BD_PLAN!$I$3:$I$312,BD_PLAN!$B$3:$B$312,E1743,BD_PLAN!$C$3:$C$312,INDEX(BD_CICLO!$F$3:$F$54,MATCH(E1743&amp;"|"&amp;H1743,BD_CICLO!$G$3:$G$54,0))),""))</f>
        <v/>
      </c>
      <c r="L1743" s="9"/>
      <c r="M1743" s="9"/>
      <c r="N1743" s="1" t="str">
        <f aca="false">IF(C1743="","",C1743&amp;"|"&amp;COUNTIF(C$3:C1743,C1743))</f>
        <v/>
      </c>
      <c r="O1743" s="1" t="str">
        <f aca="false">IF(OR(C1743="",M1743=""),"",C1743&amp;"|"&amp;COUNTIFS(C$3:C1743,C1743,M$3:M1743,"&lt;&gt;"))</f>
        <v/>
      </c>
    </row>
    <row r="1744" customFormat="false" ht="15" hidden="false" customHeight="false" outlineLevel="0" collapsed="false">
      <c r="B1744" s="7"/>
      <c r="C1744" s="5"/>
      <c r="D1744" s="9" t="str">
        <f aca="false">IF(C1744="","",IFERROR(VLOOKUP(C1744,EQUIPOS!$B$3:$C$18,2,0),"NO EXISTE"))</f>
        <v/>
      </c>
      <c r="E1744" s="9" t="str">
        <f aca="false">IF(C1744="","",IFERROR(VLOOKUP(C1744,EQUIPOS!$B$3:$F$18,5,0),""))</f>
        <v/>
      </c>
      <c r="F1744" s="5" t="str">
        <f aca="false">IF(C1744="","",IFERROR(VLOOKUP(C1744,EQUIPOS!$B$3:$G$18,6,0),""))</f>
        <v/>
      </c>
      <c r="G1744" s="8"/>
      <c r="H1744" s="5"/>
      <c r="I1744" s="5"/>
      <c r="J1744" s="9"/>
      <c r="K1744" s="17" t="str">
        <f aca="false">IF(H1744="","",IFERROR(SUMIFS(BD_PLAN!$I$3:$I$312,BD_PLAN!$B$3:$B$312,E1744,BD_PLAN!$C$3:$C$312,INDEX(BD_CICLO!$F$3:$F$54,MATCH(E1744&amp;"|"&amp;H1744,BD_CICLO!$G$3:$G$54,0))),""))</f>
        <v/>
      </c>
      <c r="L1744" s="9"/>
      <c r="M1744" s="9"/>
      <c r="N1744" s="1" t="str">
        <f aca="false">IF(C1744="","",C1744&amp;"|"&amp;COUNTIF(C$3:C1744,C1744))</f>
        <v/>
      </c>
      <c r="O1744" s="1" t="str">
        <f aca="false">IF(OR(C1744="",M1744=""),"",C1744&amp;"|"&amp;COUNTIFS(C$3:C1744,C1744,M$3:M1744,"&lt;&gt;"))</f>
        <v/>
      </c>
    </row>
    <row r="1745" customFormat="false" ht="15" hidden="false" customHeight="false" outlineLevel="0" collapsed="false">
      <c r="B1745" s="7"/>
      <c r="C1745" s="5"/>
      <c r="D1745" s="9" t="str">
        <f aca="false">IF(C1745="","",IFERROR(VLOOKUP(C1745,EQUIPOS!$B$3:$C$18,2,0),"NO EXISTE"))</f>
        <v/>
      </c>
      <c r="E1745" s="9" t="str">
        <f aca="false">IF(C1745="","",IFERROR(VLOOKUP(C1745,EQUIPOS!$B$3:$F$18,5,0),""))</f>
        <v/>
      </c>
      <c r="F1745" s="5" t="str">
        <f aca="false">IF(C1745="","",IFERROR(VLOOKUP(C1745,EQUIPOS!$B$3:$G$18,6,0),""))</f>
        <v/>
      </c>
      <c r="G1745" s="8"/>
      <c r="H1745" s="5"/>
      <c r="I1745" s="5"/>
      <c r="J1745" s="9"/>
      <c r="K1745" s="17" t="str">
        <f aca="false">IF(H1745="","",IFERROR(SUMIFS(BD_PLAN!$I$3:$I$312,BD_PLAN!$B$3:$B$312,E1745,BD_PLAN!$C$3:$C$312,INDEX(BD_CICLO!$F$3:$F$54,MATCH(E1745&amp;"|"&amp;H1745,BD_CICLO!$G$3:$G$54,0))),""))</f>
        <v/>
      </c>
      <c r="L1745" s="9"/>
      <c r="M1745" s="9"/>
      <c r="N1745" s="1" t="str">
        <f aca="false">IF(C1745="","",C1745&amp;"|"&amp;COUNTIF(C$3:C1745,C1745))</f>
        <v/>
      </c>
      <c r="O1745" s="1" t="str">
        <f aca="false">IF(OR(C1745="",M1745=""),"",C1745&amp;"|"&amp;COUNTIFS(C$3:C1745,C1745,M$3:M1745,"&lt;&gt;"))</f>
        <v/>
      </c>
    </row>
    <row r="1746" customFormat="false" ht="15" hidden="false" customHeight="false" outlineLevel="0" collapsed="false">
      <c r="B1746" s="7"/>
      <c r="C1746" s="5"/>
      <c r="D1746" s="9" t="str">
        <f aca="false">IF(C1746="","",IFERROR(VLOOKUP(C1746,EQUIPOS!$B$3:$C$18,2,0),"NO EXISTE"))</f>
        <v/>
      </c>
      <c r="E1746" s="9" t="str">
        <f aca="false">IF(C1746="","",IFERROR(VLOOKUP(C1746,EQUIPOS!$B$3:$F$18,5,0),""))</f>
        <v/>
      </c>
      <c r="F1746" s="5" t="str">
        <f aca="false">IF(C1746="","",IFERROR(VLOOKUP(C1746,EQUIPOS!$B$3:$G$18,6,0),""))</f>
        <v/>
      </c>
      <c r="G1746" s="8"/>
      <c r="H1746" s="5"/>
      <c r="I1746" s="5"/>
      <c r="J1746" s="9"/>
      <c r="K1746" s="17" t="str">
        <f aca="false">IF(H1746="","",IFERROR(SUMIFS(BD_PLAN!$I$3:$I$312,BD_PLAN!$B$3:$B$312,E1746,BD_PLAN!$C$3:$C$312,INDEX(BD_CICLO!$F$3:$F$54,MATCH(E1746&amp;"|"&amp;H1746,BD_CICLO!$G$3:$G$54,0))),""))</f>
        <v/>
      </c>
      <c r="L1746" s="9"/>
      <c r="M1746" s="9"/>
      <c r="N1746" s="1" t="str">
        <f aca="false">IF(C1746="","",C1746&amp;"|"&amp;COUNTIF(C$3:C1746,C1746))</f>
        <v/>
      </c>
      <c r="O1746" s="1" t="str">
        <f aca="false">IF(OR(C1746="",M1746=""),"",C1746&amp;"|"&amp;COUNTIFS(C$3:C1746,C1746,M$3:M1746,"&lt;&gt;"))</f>
        <v/>
      </c>
    </row>
    <row r="1747" customFormat="false" ht="15" hidden="false" customHeight="false" outlineLevel="0" collapsed="false">
      <c r="B1747" s="7"/>
      <c r="C1747" s="5"/>
      <c r="D1747" s="9" t="str">
        <f aca="false">IF(C1747="","",IFERROR(VLOOKUP(C1747,EQUIPOS!$B$3:$C$18,2,0),"NO EXISTE"))</f>
        <v/>
      </c>
      <c r="E1747" s="9" t="str">
        <f aca="false">IF(C1747="","",IFERROR(VLOOKUP(C1747,EQUIPOS!$B$3:$F$18,5,0),""))</f>
        <v/>
      </c>
      <c r="F1747" s="5" t="str">
        <f aca="false">IF(C1747="","",IFERROR(VLOOKUP(C1747,EQUIPOS!$B$3:$G$18,6,0),""))</f>
        <v/>
      </c>
      <c r="G1747" s="8"/>
      <c r="H1747" s="5"/>
      <c r="I1747" s="5"/>
      <c r="J1747" s="9"/>
      <c r="K1747" s="17" t="str">
        <f aca="false">IF(H1747="","",IFERROR(SUMIFS(BD_PLAN!$I$3:$I$312,BD_PLAN!$B$3:$B$312,E1747,BD_PLAN!$C$3:$C$312,INDEX(BD_CICLO!$F$3:$F$54,MATCH(E1747&amp;"|"&amp;H1747,BD_CICLO!$G$3:$G$54,0))),""))</f>
        <v/>
      </c>
      <c r="L1747" s="9"/>
      <c r="M1747" s="9"/>
      <c r="N1747" s="1" t="str">
        <f aca="false">IF(C1747="","",C1747&amp;"|"&amp;COUNTIF(C$3:C1747,C1747))</f>
        <v/>
      </c>
      <c r="O1747" s="1" t="str">
        <f aca="false">IF(OR(C1747="",M1747=""),"",C1747&amp;"|"&amp;COUNTIFS(C$3:C1747,C1747,M$3:M1747,"&lt;&gt;"))</f>
        <v/>
      </c>
    </row>
    <row r="1748" customFormat="false" ht="15" hidden="false" customHeight="false" outlineLevel="0" collapsed="false">
      <c r="B1748" s="7"/>
      <c r="C1748" s="5"/>
      <c r="D1748" s="9" t="str">
        <f aca="false">IF(C1748="","",IFERROR(VLOOKUP(C1748,EQUIPOS!$B$3:$C$18,2,0),"NO EXISTE"))</f>
        <v/>
      </c>
      <c r="E1748" s="9" t="str">
        <f aca="false">IF(C1748="","",IFERROR(VLOOKUP(C1748,EQUIPOS!$B$3:$F$18,5,0),""))</f>
        <v/>
      </c>
      <c r="F1748" s="5" t="str">
        <f aca="false">IF(C1748="","",IFERROR(VLOOKUP(C1748,EQUIPOS!$B$3:$G$18,6,0),""))</f>
        <v/>
      </c>
      <c r="G1748" s="8"/>
      <c r="H1748" s="5"/>
      <c r="I1748" s="5"/>
      <c r="J1748" s="9"/>
      <c r="K1748" s="17" t="str">
        <f aca="false">IF(H1748="","",IFERROR(SUMIFS(BD_PLAN!$I$3:$I$312,BD_PLAN!$B$3:$B$312,E1748,BD_PLAN!$C$3:$C$312,INDEX(BD_CICLO!$F$3:$F$54,MATCH(E1748&amp;"|"&amp;H1748,BD_CICLO!$G$3:$G$54,0))),""))</f>
        <v/>
      </c>
      <c r="L1748" s="9"/>
      <c r="M1748" s="9"/>
      <c r="N1748" s="1" t="str">
        <f aca="false">IF(C1748="","",C1748&amp;"|"&amp;COUNTIF(C$3:C1748,C1748))</f>
        <v/>
      </c>
      <c r="O1748" s="1" t="str">
        <f aca="false">IF(OR(C1748="",M1748=""),"",C1748&amp;"|"&amp;COUNTIFS(C$3:C1748,C1748,M$3:M1748,"&lt;&gt;"))</f>
        <v/>
      </c>
    </row>
    <row r="1749" customFormat="false" ht="15" hidden="false" customHeight="false" outlineLevel="0" collapsed="false">
      <c r="B1749" s="7"/>
      <c r="C1749" s="5"/>
      <c r="D1749" s="9" t="str">
        <f aca="false">IF(C1749="","",IFERROR(VLOOKUP(C1749,EQUIPOS!$B$3:$C$18,2,0),"NO EXISTE"))</f>
        <v/>
      </c>
      <c r="E1749" s="9" t="str">
        <f aca="false">IF(C1749="","",IFERROR(VLOOKUP(C1749,EQUIPOS!$B$3:$F$18,5,0),""))</f>
        <v/>
      </c>
      <c r="F1749" s="5" t="str">
        <f aca="false">IF(C1749="","",IFERROR(VLOOKUP(C1749,EQUIPOS!$B$3:$G$18,6,0),""))</f>
        <v/>
      </c>
      <c r="G1749" s="8"/>
      <c r="H1749" s="5"/>
      <c r="I1749" s="5"/>
      <c r="J1749" s="9"/>
      <c r="K1749" s="17" t="str">
        <f aca="false">IF(H1749="","",IFERROR(SUMIFS(BD_PLAN!$I$3:$I$312,BD_PLAN!$B$3:$B$312,E1749,BD_PLAN!$C$3:$C$312,INDEX(BD_CICLO!$F$3:$F$54,MATCH(E1749&amp;"|"&amp;H1749,BD_CICLO!$G$3:$G$54,0))),""))</f>
        <v/>
      </c>
      <c r="L1749" s="9"/>
      <c r="M1749" s="9"/>
      <c r="N1749" s="1" t="str">
        <f aca="false">IF(C1749="","",C1749&amp;"|"&amp;COUNTIF(C$3:C1749,C1749))</f>
        <v/>
      </c>
      <c r="O1749" s="1" t="str">
        <f aca="false">IF(OR(C1749="",M1749=""),"",C1749&amp;"|"&amp;COUNTIFS(C$3:C1749,C1749,M$3:M1749,"&lt;&gt;"))</f>
        <v/>
      </c>
    </row>
    <row r="1750" customFormat="false" ht="15" hidden="false" customHeight="false" outlineLevel="0" collapsed="false">
      <c r="B1750" s="7"/>
      <c r="C1750" s="5"/>
      <c r="D1750" s="9" t="str">
        <f aca="false">IF(C1750="","",IFERROR(VLOOKUP(C1750,EQUIPOS!$B$3:$C$18,2,0),"NO EXISTE"))</f>
        <v/>
      </c>
      <c r="E1750" s="9" t="str">
        <f aca="false">IF(C1750="","",IFERROR(VLOOKUP(C1750,EQUIPOS!$B$3:$F$18,5,0),""))</f>
        <v/>
      </c>
      <c r="F1750" s="5" t="str">
        <f aca="false">IF(C1750="","",IFERROR(VLOOKUP(C1750,EQUIPOS!$B$3:$G$18,6,0),""))</f>
        <v/>
      </c>
      <c r="G1750" s="8"/>
      <c r="H1750" s="5"/>
      <c r="I1750" s="5"/>
      <c r="J1750" s="9"/>
      <c r="K1750" s="17" t="str">
        <f aca="false">IF(H1750="","",IFERROR(SUMIFS(BD_PLAN!$I$3:$I$312,BD_PLAN!$B$3:$B$312,E1750,BD_PLAN!$C$3:$C$312,INDEX(BD_CICLO!$F$3:$F$54,MATCH(E1750&amp;"|"&amp;H1750,BD_CICLO!$G$3:$G$54,0))),""))</f>
        <v/>
      </c>
      <c r="L1750" s="9"/>
      <c r="M1750" s="9"/>
      <c r="N1750" s="1" t="str">
        <f aca="false">IF(C1750="","",C1750&amp;"|"&amp;COUNTIF(C$3:C1750,C1750))</f>
        <v/>
      </c>
      <c r="O1750" s="1" t="str">
        <f aca="false">IF(OR(C1750="",M1750=""),"",C1750&amp;"|"&amp;COUNTIFS(C$3:C1750,C1750,M$3:M1750,"&lt;&gt;"))</f>
        <v/>
      </c>
    </row>
    <row r="1751" customFormat="false" ht="15" hidden="false" customHeight="false" outlineLevel="0" collapsed="false">
      <c r="B1751" s="7"/>
      <c r="C1751" s="5"/>
      <c r="D1751" s="9" t="str">
        <f aca="false">IF(C1751="","",IFERROR(VLOOKUP(C1751,EQUIPOS!$B$3:$C$18,2,0),"NO EXISTE"))</f>
        <v/>
      </c>
      <c r="E1751" s="9" t="str">
        <f aca="false">IF(C1751="","",IFERROR(VLOOKUP(C1751,EQUIPOS!$B$3:$F$18,5,0),""))</f>
        <v/>
      </c>
      <c r="F1751" s="5" t="str">
        <f aca="false">IF(C1751="","",IFERROR(VLOOKUP(C1751,EQUIPOS!$B$3:$G$18,6,0),""))</f>
        <v/>
      </c>
      <c r="G1751" s="8"/>
      <c r="H1751" s="5"/>
      <c r="I1751" s="5"/>
      <c r="J1751" s="9"/>
      <c r="K1751" s="17" t="str">
        <f aca="false">IF(H1751="","",IFERROR(SUMIFS(BD_PLAN!$I$3:$I$312,BD_PLAN!$B$3:$B$312,E1751,BD_PLAN!$C$3:$C$312,INDEX(BD_CICLO!$F$3:$F$54,MATCH(E1751&amp;"|"&amp;H1751,BD_CICLO!$G$3:$G$54,0))),""))</f>
        <v/>
      </c>
      <c r="L1751" s="9"/>
      <c r="M1751" s="9"/>
      <c r="N1751" s="1" t="str">
        <f aca="false">IF(C1751="","",C1751&amp;"|"&amp;COUNTIF(C$3:C1751,C1751))</f>
        <v/>
      </c>
      <c r="O1751" s="1" t="str">
        <f aca="false">IF(OR(C1751="",M1751=""),"",C1751&amp;"|"&amp;COUNTIFS(C$3:C1751,C1751,M$3:M1751,"&lt;&gt;"))</f>
        <v/>
      </c>
    </row>
    <row r="1752" customFormat="false" ht="15" hidden="false" customHeight="false" outlineLevel="0" collapsed="false">
      <c r="B1752" s="7"/>
      <c r="C1752" s="5"/>
      <c r="D1752" s="9" t="str">
        <f aca="false">IF(C1752="","",IFERROR(VLOOKUP(C1752,EQUIPOS!$B$3:$C$18,2,0),"NO EXISTE"))</f>
        <v/>
      </c>
      <c r="E1752" s="9" t="str">
        <f aca="false">IF(C1752="","",IFERROR(VLOOKUP(C1752,EQUIPOS!$B$3:$F$18,5,0),""))</f>
        <v/>
      </c>
      <c r="F1752" s="5" t="str">
        <f aca="false">IF(C1752="","",IFERROR(VLOOKUP(C1752,EQUIPOS!$B$3:$G$18,6,0),""))</f>
        <v/>
      </c>
      <c r="G1752" s="8"/>
      <c r="H1752" s="5"/>
      <c r="I1752" s="5"/>
      <c r="J1752" s="9"/>
      <c r="K1752" s="17" t="str">
        <f aca="false">IF(H1752="","",IFERROR(SUMIFS(BD_PLAN!$I$3:$I$312,BD_PLAN!$B$3:$B$312,E1752,BD_PLAN!$C$3:$C$312,INDEX(BD_CICLO!$F$3:$F$54,MATCH(E1752&amp;"|"&amp;H1752,BD_CICLO!$G$3:$G$54,0))),""))</f>
        <v/>
      </c>
      <c r="L1752" s="9"/>
      <c r="M1752" s="9"/>
      <c r="N1752" s="1" t="str">
        <f aca="false">IF(C1752="","",C1752&amp;"|"&amp;COUNTIF(C$3:C1752,C1752))</f>
        <v/>
      </c>
      <c r="O1752" s="1" t="str">
        <f aca="false">IF(OR(C1752="",M1752=""),"",C1752&amp;"|"&amp;COUNTIFS(C$3:C1752,C1752,M$3:M1752,"&lt;&gt;"))</f>
        <v/>
      </c>
    </row>
    <row r="1753" customFormat="false" ht="15" hidden="false" customHeight="false" outlineLevel="0" collapsed="false">
      <c r="B1753" s="7"/>
      <c r="C1753" s="5"/>
      <c r="D1753" s="9" t="str">
        <f aca="false">IF(C1753="","",IFERROR(VLOOKUP(C1753,EQUIPOS!$B$3:$C$18,2,0),"NO EXISTE"))</f>
        <v/>
      </c>
      <c r="E1753" s="9" t="str">
        <f aca="false">IF(C1753="","",IFERROR(VLOOKUP(C1753,EQUIPOS!$B$3:$F$18,5,0),""))</f>
        <v/>
      </c>
      <c r="F1753" s="5" t="str">
        <f aca="false">IF(C1753="","",IFERROR(VLOOKUP(C1753,EQUIPOS!$B$3:$G$18,6,0),""))</f>
        <v/>
      </c>
      <c r="G1753" s="8"/>
      <c r="H1753" s="5"/>
      <c r="I1753" s="5"/>
      <c r="J1753" s="9"/>
      <c r="K1753" s="17" t="str">
        <f aca="false">IF(H1753="","",IFERROR(SUMIFS(BD_PLAN!$I$3:$I$312,BD_PLAN!$B$3:$B$312,E1753,BD_PLAN!$C$3:$C$312,INDEX(BD_CICLO!$F$3:$F$54,MATCH(E1753&amp;"|"&amp;H1753,BD_CICLO!$G$3:$G$54,0))),""))</f>
        <v/>
      </c>
      <c r="L1753" s="9"/>
      <c r="M1753" s="9"/>
      <c r="N1753" s="1" t="str">
        <f aca="false">IF(C1753="","",C1753&amp;"|"&amp;COUNTIF(C$3:C1753,C1753))</f>
        <v/>
      </c>
      <c r="O1753" s="1" t="str">
        <f aca="false">IF(OR(C1753="",M1753=""),"",C1753&amp;"|"&amp;COUNTIFS(C$3:C1753,C1753,M$3:M1753,"&lt;&gt;"))</f>
        <v/>
      </c>
    </row>
    <row r="1754" customFormat="false" ht="15" hidden="false" customHeight="false" outlineLevel="0" collapsed="false">
      <c r="B1754" s="7"/>
      <c r="C1754" s="5"/>
      <c r="D1754" s="9" t="str">
        <f aca="false">IF(C1754="","",IFERROR(VLOOKUP(C1754,EQUIPOS!$B$3:$C$18,2,0),"NO EXISTE"))</f>
        <v/>
      </c>
      <c r="E1754" s="9" t="str">
        <f aca="false">IF(C1754="","",IFERROR(VLOOKUP(C1754,EQUIPOS!$B$3:$F$18,5,0),""))</f>
        <v/>
      </c>
      <c r="F1754" s="5" t="str">
        <f aca="false">IF(C1754="","",IFERROR(VLOOKUP(C1754,EQUIPOS!$B$3:$G$18,6,0),""))</f>
        <v/>
      </c>
      <c r="G1754" s="8"/>
      <c r="H1754" s="5"/>
      <c r="I1754" s="5"/>
      <c r="J1754" s="9"/>
      <c r="K1754" s="17" t="str">
        <f aca="false">IF(H1754="","",IFERROR(SUMIFS(BD_PLAN!$I$3:$I$312,BD_PLAN!$B$3:$B$312,E1754,BD_PLAN!$C$3:$C$312,INDEX(BD_CICLO!$F$3:$F$54,MATCH(E1754&amp;"|"&amp;H1754,BD_CICLO!$G$3:$G$54,0))),""))</f>
        <v/>
      </c>
      <c r="L1754" s="9"/>
      <c r="M1754" s="9"/>
      <c r="N1754" s="1" t="str">
        <f aca="false">IF(C1754="","",C1754&amp;"|"&amp;COUNTIF(C$3:C1754,C1754))</f>
        <v/>
      </c>
      <c r="O1754" s="1" t="str">
        <f aca="false">IF(OR(C1754="",M1754=""),"",C1754&amp;"|"&amp;COUNTIFS(C$3:C1754,C1754,M$3:M1754,"&lt;&gt;"))</f>
        <v/>
      </c>
    </row>
    <row r="1755" customFormat="false" ht="15" hidden="false" customHeight="false" outlineLevel="0" collapsed="false">
      <c r="B1755" s="7"/>
      <c r="C1755" s="5"/>
      <c r="D1755" s="9" t="str">
        <f aca="false">IF(C1755="","",IFERROR(VLOOKUP(C1755,EQUIPOS!$B$3:$C$18,2,0),"NO EXISTE"))</f>
        <v/>
      </c>
      <c r="E1755" s="9" t="str">
        <f aca="false">IF(C1755="","",IFERROR(VLOOKUP(C1755,EQUIPOS!$B$3:$F$18,5,0),""))</f>
        <v/>
      </c>
      <c r="F1755" s="5" t="str">
        <f aca="false">IF(C1755="","",IFERROR(VLOOKUP(C1755,EQUIPOS!$B$3:$G$18,6,0),""))</f>
        <v/>
      </c>
      <c r="G1755" s="8"/>
      <c r="H1755" s="5"/>
      <c r="I1755" s="5"/>
      <c r="J1755" s="9"/>
      <c r="K1755" s="17" t="str">
        <f aca="false">IF(H1755="","",IFERROR(SUMIFS(BD_PLAN!$I$3:$I$312,BD_PLAN!$B$3:$B$312,E1755,BD_PLAN!$C$3:$C$312,INDEX(BD_CICLO!$F$3:$F$54,MATCH(E1755&amp;"|"&amp;H1755,BD_CICLO!$G$3:$G$54,0))),""))</f>
        <v/>
      </c>
      <c r="L1755" s="9"/>
      <c r="M1755" s="9"/>
      <c r="N1755" s="1" t="str">
        <f aca="false">IF(C1755="","",C1755&amp;"|"&amp;COUNTIF(C$3:C1755,C1755))</f>
        <v/>
      </c>
      <c r="O1755" s="1" t="str">
        <f aca="false">IF(OR(C1755="",M1755=""),"",C1755&amp;"|"&amp;COUNTIFS(C$3:C1755,C1755,M$3:M1755,"&lt;&gt;"))</f>
        <v/>
      </c>
    </row>
    <row r="1756" customFormat="false" ht="15" hidden="false" customHeight="false" outlineLevel="0" collapsed="false">
      <c r="B1756" s="7"/>
      <c r="C1756" s="5"/>
      <c r="D1756" s="9" t="str">
        <f aca="false">IF(C1756="","",IFERROR(VLOOKUP(C1756,EQUIPOS!$B$3:$C$18,2,0),"NO EXISTE"))</f>
        <v/>
      </c>
      <c r="E1756" s="9" t="str">
        <f aca="false">IF(C1756="","",IFERROR(VLOOKUP(C1756,EQUIPOS!$B$3:$F$18,5,0),""))</f>
        <v/>
      </c>
      <c r="F1756" s="5" t="str">
        <f aca="false">IF(C1756="","",IFERROR(VLOOKUP(C1756,EQUIPOS!$B$3:$G$18,6,0),""))</f>
        <v/>
      </c>
      <c r="G1756" s="8"/>
      <c r="H1756" s="5"/>
      <c r="I1756" s="5"/>
      <c r="J1756" s="9"/>
      <c r="K1756" s="17" t="str">
        <f aca="false">IF(H1756="","",IFERROR(SUMIFS(BD_PLAN!$I$3:$I$312,BD_PLAN!$B$3:$B$312,E1756,BD_PLAN!$C$3:$C$312,INDEX(BD_CICLO!$F$3:$F$54,MATCH(E1756&amp;"|"&amp;H1756,BD_CICLO!$G$3:$G$54,0))),""))</f>
        <v/>
      </c>
      <c r="L1756" s="9"/>
      <c r="M1756" s="9"/>
      <c r="N1756" s="1" t="str">
        <f aca="false">IF(C1756="","",C1756&amp;"|"&amp;COUNTIF(C$3:C1756,C1756))</f>
        <v/>
      </c>
      <c r="O1756" s="1" t="str">
        <f aca="false">IF(OR(C1756="",M1756=""),"",C1756&amp;"|"&amp;COUNTIFS(C$3:C1756,C1756,M$3:M1756,"&lt;&gt;"))</f>
        <v/>
      </c>
    </row>
    <row r="1757" customFormat="false" ht="15" hidden="false" customHeight="false" outlineLevel="0" collapsed="false">
      <c r="B1757" s="7"/>
      <c r="C1757" s="5"/>
      <c r="D1757" s="9" t="str">
        <f aca="false">IF(C1757="","",IFERROR(VLOOKUP(C1757,EQUIPOS!$B$3:$C$18,2,0),"NO EXISTE"))</f>
        <v/>
      </c>
      <c r="E1757" s="9" t="str">
        <f aca="false">IF(C1757="","",IFERROR(VLOOKUP(C1757,EQUIPOS!$B$3:$F$18,5,0),""))</f>
        <v/>
      </c>
      <c r="F1757" s="5" t="str">
        <f aca="false">IF(C1757="","",IFERROR(VLOOKUP(C1757,EQUIPOS!$B$3:$G$18,6,0),""))</f>
        <v/>
      </c>
      <c r="G1757" s="8"/>
      <c r="H1757" s="5"/>
      <c r="I1757" s="5"/>
      <c r="J1757" s="9"/>
      <c r="K1757" s="17" t="str">
        <f aca="false">IF(H1757="","",IFERROR(SUMIFS(BD_PLAN!$I$3:$I$312,BD_PLAN!$B$3:$B$312,E1757,BD_PLAN!$C$3:$C$312,INDEX(BD_CICLO!$F$3:$F$54,MATCH(E1757&amp;"|"&amp;H1757,BD_CICLO!$G$3:$G$54,0))),""))</f>
        <v/>
      </c>
      <c r="L1757" s="9"/>
      <c r="M1757" s="9"/>
      <c r="N1757" s="1" t="str">
        <f aca="false">IF(C1757="","",C1757&amp;"|"&amp;COUNTIF(C$3:C1757,C1757))</f>
        <v/>
      </c>
      <c r="O1757" s="1" t="str">
        <f aca="false">IF(OR(C1757="",M1757=""),"",C1757&amp;"|"&amp;COUNTIFS(C$3:C1757,C1757,M$3:M1757,"&lt;&gt;"))</f>
        <v/>
      </c>
    </row>
    <row r="1758" customFormat="false" ht="15" hidden="false" customHeight="false" outlineLevel="0" collapsed="false">
      <c r="B1758" s="7"/>
      <c r="C1758" s="5"/>
      <c r="D1758" s="9" t="str">
        <f aca="false">IF(C1758="","",IFERROR(VLOOKUP(C1758,EQUIPOS!$B$3:$C$18,2,0),"NO EXISTE"))</f>
        <v/>
      </c>
      <c r="E1758" s="9" t="str">
        <f aca="false">IF(C1758="","",IFERROR(VLOOKUP(C1758,EQUIPOS!$B$3:$F$18,5,0),""))</f>
        <v/>
      </c>
      <c r="F1758" s="5" t="str">
        <f aca="false">IF(C1758="","",IFERROR(VLOOKUP(C1758,EQUIPOS!$B$3:$G$18,6,0),""))</f>
        <v/>
      </c>
      <c r="G1758" s="8"/>
      <c r="H1758" s="5"/>
      <c r="I1758" s="5"/>
      <c r="J1758" s="9"/>
      <c r="K1758" s="17" t="str">
        <f aca="false">IF(H1758="","",IFERROR(SUMIFS(BD_PLAN!$I$3:$I$312,BD_PLAN!$B$3:$B$312,E1758,BD_PLAN!$C$3:$C$312,INDEX(BD_CICLO!$F$3:$F$54,MATCH(E1758&amp;"|"&amp;H1758,BD_CICLO!$G$3:$G$54,0))),""))</f>
        <v/>
      </c>
      <c r="L1758" s="9"/>
      <c r="M1758" s="9"/>
      <c r="N1758" s="1" t="str">
        <f aca="false">IF(C1758="","",C1758&amp;"|"&amp;COUNTIF(C$3:C1758,C1758))</f>
        <v/>
      </c>
      <c r="O1758" s="1" t="str">
        <f aca="false">IF(OR(C1758="",M1758=""),"",C1758&amp;"|"&amp;COUNTIFS(C$3:C1758,C1758,M$3:M1758,"&lt;&gt;"))</f>
        <v/>
      </c>
    </row>
    <row r="1759" customFormat="false" ht="15" hidden="false" customHeight="false" outlineLevel="0" collapsed="false">
      <c r="B1759" s="7"/>
      <c r="C1759" s="5"/>
      <c r="D1759" s="9" t="str">
        <f aca="false">IF(C1759="","",IFERROR(VLOOKUP(C1759,EQUIPOS!$B$3:$C$18,2,0),"NO EXISTE"))</f>
        <v/>
      </c>
      <c r="E1759" s="9" t="str">
        <f aca="false">IF(C1759="","",IFERROR(VLOOKUP(C1759,EQUIPOS!$B$3:$F$18,5,0),""))</f>
        <v/>
      </c>
      <c r="F1759" s="5" t="str">
        <f aca="false">IF(C1759="","",IFERROR(VLOOKUP(C1759,EQUIPOS!$B$3:$G$18,6,0),""))</f>
        <v/>
      </c>
      <c r="G1759" s="8"/>
      <c r="H1759" s="5"/>
      <c r="I1759" s="5"/>
      <c r="J1759" s="9"/>
      <c r="K1759" s="17" t="str">
        <f aca="false">IF(H1759="","",IFERROR(SUMIFS(BD_PLAN!$I$3:$I$312,BD_PLAN!$B$3:$B$312,E1759,BD_PLAN!$C$3:$C$312,INDEX(BD_CICLO!$F$3:$F$54,MATCH(E1759&amp;"|"&amp;H1759,BD_CICLO!$G$3:$G$54,0))),""))</f>
        <v/>
      </c>
      <c r="L1759" s="9"/>
      <c r="M1759" s="9"/>
      <c r="N1759" s="1" t="str">
        <f aca="false">IF(C1759="","",C1759&amp;"|"&amp;COUNTIF(C$3:C1759,C1759))</f>
        <v/>
      </c>
      <c r="O1759" s="1" t="str">
        <f aca="false">IF(OR(C1759="",M1759=""),"",C1759&amp;"|"&amp;COUNTIFS(C$3:C1759,C1759,M$3:M1759,"&lt;&gt;"))</f>
        <v/>
      </c>
    </row>
    <row r="1760" customFormat="false" ht="15" hidden="false" customHeight="false" outlineLevel="0" collapsed="false">
      <c r="B1760" s="7"/>
      <c r="C1760" s="5"/>
      <c r="D1760" s="9" t="str">
        <f aca="false">IF(C1760="","",IFERROR(VLOOKUP(C1760,EQUIPOS!$B$3:$C$18,2,0),"NO EXISTE"))</f>
        <v/>
      </c>
      <c r="E1760" s="9" t="str">
        <f aca="false">IF(C1760="","",IFERROR(VLOOKUP(C1760,EQUIPOS!$B$3:$F$18,5,0),""))</f>
        <v/>
      </c>
      <c r="F1760" s="5" t="str">
        <f aca="false">IF(C1760="","",IFERROR(VLOOKUP(C1760,EQUIPOS!$B$3:$G$18,6,0),""))</f>
        <v/>
      </c>
      <c r="G1760" s="8"/>
      <c r="H1760" s="5"/>
      <c r="I1760" s="5"/>
      <c r="J1760" s="9"/>
      <c r="K1760" s="17" t="str">
        <f aca="false">IF(H1760="","",IFERROR(SUMIFS(BD_PLAN!$I$3:$I$312,BD_PLAN!$B$3:$B$312,E1760,BD_PLAN!$C$3:$C$312,INDEX(BD_CICLO!$F$3:$F$54,MATCH(E1760&amp;"|"&amp;H1760,BD_CICLO!$G$3:$G$54,0))),""))</f>
        <v/>
      </c>
      <c r="L1760" s="9"/>
      <c r="M1760" s="9"/>
      <c r="N1760" s="1" t="str">
        <f aca="false">IF(C1760="","",C1760&amp;"|"&amp;COUNTIF(C$3:C1760,C1760))</f>
        <v/>
      </c>
      <c r="O1760" s="1" t="str">
        <f aca="false">IF(OR(C1760="",M1760=""),"",C1760&amp;"|"&amp;COUNTIFS(C$3:C1760,C1760,M$3:M1760,"&lt;&gt;"))</f>
        <v/>
      </c>
    </row>
    <row r="1761" customFormat="false" ht="15" hidden="false" customHeight="false" outlineLevel="0" collapsed="false">
      <c r="B1761" s="7"/>
      <c r="C1761" s="5"/>
      <c r="D1761" s="9" t="str">
        <f aca="false">IF(C1761="","",IFERROR(VLOOKUP(C1761,EQUIPOS!$B$3:$C$18,2,0),"NO EXISTE"))</f>
        <v/>
      </c>
      <c r="E1761" s="9" t="str">
        <f aca="false">IF(C1761="","",IFERROR(VLOOKUP(C1761,EQUIPOS!$B$3:$F$18,5,0),""))</f>
        <v/>
      </c>
      <c r="F1761" s="5" t="str">
        <f aca="false">IF(C1761="","",IFERROR(VLOOKUP(C1761,EQUIPOS!$B$3:$G$18,6,0),""))</f>
        <v/>
      </c>
      <c r="G1761" s="8"/>
      <c r="H1761" s="5"/>
      <c r="I1761" s="5"/>
      <c r="J1761" s="9"/>
      <c r="K1761" s="17" t="str">
        <f aca="false">IF(H1761="","",IFERROR(SUMIFS(BD_PLAN!$I$3:$I$312,BD_PLAN!$B$3:$B$312,E1761,BD_PLAN!$C$3:$C$312,INDEX(BD_CICLO!$F$3:$F$54,MATCH(E1761&amp;"|"&amp;H1761,BD_CICLO!$G$3:$G$54,0))),""))</f>
        <v/>
      </c>
      <c r="L1761" s="9"/>
      <c r="M1761" s="9"/>
      <c r="N1761" s="1" t="str">
        <f aca="false">IF(C1761="","",C1761&amp;"|"&amp;COUNTIF(C$3:C1761,C1761))</f>
        <v/>
      </c>
      <c r="O1761" s="1" t="str">
        <f aca="false">IF(OR(C1761="",M1761=""),"",C1761&amp;"|"&amp;COUNTIFS(C$3:C1761,C1761,M$3:M1761,"&lt;&gt;"))</f>
        <v/>
      </c>
    </row>
    <row r="1762" customFormat="false" ht="15" hidden="false" customHeight="false" outlineLevel="0" collapsed="false">
      <c r="B1762" s="7"/>
      <c r="C1762" s="5"/>
      <c r="D1762" s="9" t="str">
        <f aca="false">IF(C1762="","",IFERROR(VLOOKUP(C1762,EQUIPOS!$B$3:$C$18,2,0),"NO EXISTE"))</f>
        <v/>
      </c>
      <c r="E1762" s="9" t="str">
        <f aca="false">IF(C1762="","",IFERROR(VLOOKUP(C1762,EQUIPOS!$B$3:$F$18,5,0),""))</f>
        <v/>
      </c>
      <c r="F1762" s="5" t="str">
        <f aca="false">IF(C1762="","",IFERROR(VLOOKUP(C1762,EQUIPOS!$B$3:$G$18,6,0),""))</f>
        <v/>
      </c>
      <c r="G1762" s="8"/>
      <c r="H1762" s="5"/>
      <c r="I1762" s="5"/>
      <c r="J1762" s="9"/>
      <c r="K1762" s="17" t="str">
        <f aca="false">IF(H1762="","",IFERROR(SUMIFS(BD_PLAN!$I$3:$I$312,BD_PLAN!$B$3:$B$312,E1762,BD_PLAN!$C$3:$C$312,INDEX(BD_CICLO!$F$3:$F$54,MATCH(E1762&amp;"|"&amp;H1762,BD_CICLO!$G$3:$G$54,0))),""))</f>
        <v/>
      </c>
      <c r="L1762" s="9"/>
      <c r="M1762" s="9"/>
      <c r="N1762" s="1" t="str">
        <f aca="false">IF(C1762="","",C1762&amp;"|"&amp;COUNTIF(C$3:C1762,C1762))</f>
        <v/>
      </c>
      <c r="O1762" s="1" t="str">
        <f aca="false">IF(OR(C1762="",M1762=""),"",C1762&amp;"|"&amp;COUNTIFS(C$3:C1762,C1762,M$3:M1762,"&lt;&gt;"))</f>
        <v/>
      </c>
    </row>
    <row r="1763" customFormat="false" ht="15" hidden="false" customHeight="false" outlineLevel="0" collapsed="false">
      <c r="B1763" s="7"/>
      <c r="C1763" s="5"/>
      <c r="D1763" s="9" t="str">
        <f aca="false">IF(C1763="","",IFERROR(VLOOKUP(C1763,EQUIPOS!$B$3:$C$18,2,0),"NO EXISTE"))</f>
        <v/>
      </c>
      <c r="E1763" s="9" t="str">
        <f aca="false">IF(C1763="","",IFERROR(VLOOKUP(C1763,EQUIPOS!$B$3:$F$18,5,0),""))</f>
        <v/>
      </c>
      <c r="F1763" s="5" t="str">
        <f aca="false">IF(C1763="","",IFERROR(VLOOKUP(C1763,EQUIPOS!$B$3:$G$18,6,0),""))</f>
        <v/>
      </c>
      <c r="G1763" s="8"/>
      <c r="H1763" s="5"/>
      <c r="I1763" s="5"/>
      <c r="J1763" s="9"/>
      <c r="K1763" s="17" t="str">
        <f aca="false">IF(H1763="","",IFERROR(SUMIFS(BD_PLAN!$I$3:$I$312,BD_PLAN!$B$3:$B$312,E1763,BD_PLAN!$C$3:$C$312,INDEX(BD_CICLO!$F$3:$F$54,MATCH(E1763&amp;"|"&amp;H1763,BD_CICLO!$G$3:$G$54,0))),""))</f>
        <v/>
      </c>
      <c r="L1763" s="9"/>
      <c r="M1763" s="9"/>
      <c r="N1763" s="1" t="str">
        <f aca="false">IF(C1763="","",C1763&amp;"|"&amp;COUNTIF(C$3:C1763,C1763))</f>
        <v/>
      </c>
      <c r="O1763" s="1" t="str">
        <f aca="false">IF(OR(C1763="",M1763=""),"",C1763&amp;"|"&amp;COUNTIFS(C$3:C1763,C1763,M$3:M1763,"&lt;&gt;"))</f>
        <v/>
      </c>
    </row>
    <row r="1764" customFormat="false" ht="15" hidden="false" customHeight="false" outlineLevel="0" collapsed="false">
      <c r="B1764" s="7"/>
      <c r="C1764" s="5"/>
      <c r="D1764" s="9" t="str">
        <f aca="false">IF(C1764="","",IFERROR(VLOOKUP(C1764,EQUIPOS!$B$3:$C$18,2,0),"NO EXISTE"))</f>
        <v/>
      </c>
      <c r="E1764" s="9" t="str">
        <f aca="false">IF(C1764="","",IFERROR(VLOOKUP(C1764,EQUIPOS!$B$3:$F$18,5,0),""))</f>
        <v/>
      </c>
      <c r="F1764" s="5" t="str">
        <f aca="false">IF(C1764="","",IFERROR(VLOOKUP(C1764,EQUIPOS!$B$3:$G$18,6,0),""))</f>
        <v/>
      </c>
      <c r="G1764" s="8"/>
      <c r="H1764" s="5"/>
      <c r="I1764" s="5"/>
      <c r="J1764" s="9"/>
      <c r="K1764" s="17" t="str">
        <f aca="false">IF(H1764="","",IFERROR(SUMIFS(BD_PLAN!$I$3:$I$312,BD_PLAN!$B$3:$B$312,E1764,BD_PLAN!$C$3:$C$312,INDEX(BD_CICLO!$F$3:$F$54,MATCH(E1764&amp;"|"&amp;H1764,BD_CICLO!$G$3:$G$54,0))),""))</f>
        <v/>
      </c>
      <c r="L1764" s="9"/>
      <c r="M1764" s="9"/>
      <c r="N1764" s="1" t="str">
        <f aca="false">IF(C1764="","",C1764&amp;"|"&amp;COUNTIF(C$3:C1764,C1764))</f>
        <v/>
      </c>
      <c r="O1764" s="1" t="str">
        <f aca="false">IF(OR(C1764="",M1764=""),"",C1764&amp;"|"&amp;COUNTIFS(C$3:C1764,C1764,M$3:M1764,"&lt;&gt;"))</f>
        <v/>
      </c>
    </row>
    <row r="1765" customFormat="false" ht="15" hidden="false" customHeight="false" outlineLevel="0" collapsed="false">
      <c r="B1765" s="7"/>
      <c r="C1765" s="5"/>
      <c r="D1765" s="9" t="str">
        <f aca="false">IF(C1765="","",IFERROR(VLOOKUP(C1765,EQUIPOS!$B$3:$C$18,2,0),"NO EXISTE"))</f>
        <v/>
      </c>
      <c r="E1765" s="9" t="str">
        <f aca="false">IF(C1765="","",IFERROR(VLOOKUP(C1765,EQUIPOS!$B$3:$F$18,5,0),""))</f>
        <v/>
      </c>
      <c r="F1765" s="5" t="str">
        <f aca="false">IF(C1765="","",IFERROR(VLOOKUP(C1765,EQUIPOS!$B$3:$G$18,6,0),""))</f>
        <v/>
      </c>
      <c r="G1765" s="8"/>
      <c r="H1765" s="5"/>
      <c r="I1765" s="5"/>
      <c r="J1765" s="9"/>
      <c r="K1765" s="17" t="str">
        <f aca="false">IF(H1765="","",IFERROR(SUMIFS(BD_PLAN!$I$3:$I$312,BD_PLAN!$B$3:$B$312,E1765,BD_PLAN!$C$3:$C$312,INDEX(BD_CICLO!$F$3:$F$54,MATCH(E1765&amp;"|"&amp;H1765,BD_CICLO!$G$3:$G$54,0))),""))</f>
        <v/>
      </c>
      <c r="L1765" s="9"/>
      <c r="M1765" s="9"/>
      <c r="N1765" s="1" t="str">
        <f aca="false">IF(C1765="","",C1765&amp;"|"&amp;COUNTIF(C$3:C1765,C1765))</f>
        <v/>
      </c>
      <c r="O1765" s="1" t="str">
        <f aca="false">IF(OR(C1765="",M1765=""),"",C1765&amp;"|"&amp;COUNTIFS(C$3:C1765,C1765,M$3:M1765,"&lt;&gt;"))</f>
        <v/>
      </c>
    </row>
    <row r="1766" customFormat="false" ht="15" hidden="false" customHeight="false" outlineLevel="0" collapsed="false">
      <c r="B1766" s="7"/>
      <c r="C1766" s="5"/>
      <c r="D1766" s="9" t="str">
        <f aca="false">IF(C1766="","",IFERROR(VLOOKUP(C1766,EQUIPOS!$B$3:$C$18,2,0),"NO EXISTE"))</f>
        <v/>
      </c>
      <c r="E1766" s="9" t="str">
        <f aca="false">IF(C1766="","",IFERROR(VLOOKUP(C1766,EQUIPOS!$B$3:$F$18,5,0),""))</f>
        <v/>
      </c>
      <c r="F1766" s="5" t="str">
        <f aca="false">IF(C1766="","",IFERROR(VLOOKUP(C1766,EQUIPOS!$B$3:$G$18,6,0),""))</f>
        <v/>
      </c>
      <c r="G1766" s="8"/>
      <c r="H1766" s="5"/>
      <c r="I1766" s="5"/>
      <c r="J1766" s="9"/>
      <c r="K1766" s="17" t="str">
        <f aca="false">IF(H1766="","",IFERROR(SUMIFS(BD_PLAN!$I$3:$I$312,BD_PLAN!$B$3:$B$312,E1766,BD_PLAN!$C$3:$C$312,INDEX(BD_CICLO!$F$3:$F$54,MATCH(E1766&amp;"|"&amp;H1766,BD_CICLO!$G$3:$G$54,0))),""))</f>
        <v/>
      </c>
      <c r="L1766" s="9"/>
      <c r="M1766" s="9"/>
      <c r="N1766" s="1" t="str">
        <f aca="false">IF(C1766="","",C1766&amp;"|"&amp;COUNTIF(C$3:C1766,C1766))</f>
        <v/>
      </c>
      <c r="O1766" s="1" t="str">
        <f aca="false">IF(OR(C1766="",M1766=""),"",C1766&amp;"|"&amp;COUNTIFS(C$3:C1766,C1766,M$3:M1766,"&lt;&gt;"))</f>
        <v/>
      </c>
    </row>
    <row r="1767" customFormat="false" ht="15" hidden="false" customHeight="false" outlineLevel="0" collapsed="false">
      <c r="B1767" s="7"/>
      <c r="C1767" s="5"/>
      <c r="D1767" s="9" t="str">
        <f aca="false">IF(C1767="","",IFERROR(VLOOKUP(C1767,EQUIPOS!$B$3:$C$18,2,0),"NO EXISTE"))</f>
        <v/>
      </c>
      <c r="E1767" s="9" t="str">
        <f aca="false">IF(C1767="","",IFERROR(VLOOKUP(C1767,EQUIPOS!$B$3:$F$18,5,0),""))</f>
        <v/>
      </c>
      <c r="F1767" s="5" t="str">
        <f aca="false">IF(C1767="","",IFERROR(VLOOKUP(C1767,EQUIPOS!$B$3:$G$18,6,0),""))</f>
        <v/>
      </c>
      <c r="G1767" s="8"/>
      <c r="H1767" s="5"/>
      <c r="I1767" s="5"/>
      <c r="J1767" s="9"/>
      <c r="K1767" s="17" t="str">
        <f aca="false">IF(H1767="","",IFERROR(SUMIFS(BD_PLAN!$I$3:$I$312,BD_PLAN!$B$3:$B$312,E1767,BD_PLAN!$C$3:$C$312,INDEX(BD_CICLO!$F$3:$F$54,MATCH(E1767&amp;"|"&amp;H1767,BD_CICLO!$G$3:$G$54,0))),""))</f>
        <v/>
      </c>
      <c r="L1767" s="9"/>
      <c r="M1767" s="9"/>
      <c r="N1767" s="1" t="str">
        <f aca="false">IF(C1767="","",C1767&amp;"|"&amp;COUNTIF(C$3:C1767,C1767))</f>
        <v/>
      </c>
      <c r="O1767" s="1" t="str">
        <f aca="false">IF(OR(C1767="",M1767=""),"",C1767&amp;"|"&amp;COUNTIFS(C$3:C1767,C1767,M$3:M1767,"&lt;&gt;"))</f>
        <v/>
      </c>
    </row>
    <row r="1768" customFormat="false" ht="15" hidden="false" customHeight="false" outlineLevel="0" collapsed="false">
      <c r="B1768" s="7"/>
      <c r="C1768" s="5"/>
      <c r="D1768" s="9" t="str">
        <f aca="false">IF(C1768="","",IFERROR(VLOOKUP(C1768,EQUIPOS!$B$3:$C$18,2,0),"NO EXISTE"))</f>
        <v/>
      </c>
      <c r="E1768" s="9" t="str">
        <f aca="false">IF(C1768="","",IFERROR(VLOOKUP(C1768,EQUIPOS!$B$3:$F$18,5,0),""))</f>
        <v/>
      </c>
      <c r="F1768" s="5" t="str">
        <f aca="false">IF(C1768="","",IFERROR(VLOOKUP(C1768,EQUIPOS!$B$3:$G$18,6,0),""))</f>
        <v/>
      </c>
      <c r="G1768" s="8"/>
      <c r="H1768" s="5"/>
      <c r="I1768" s="5"/>
      <c r="J1768" s="9"/>
      <c r="K1768" s="17" t="str">
        <f aca="false">IF(H1768="","",IFERROR(SUMIFS(BD_PLAN!$I$3:$I$312,BD_PLAN!$B$3:$B$312,E1768,BD_PLAN!$C$3:$C$312,INDEX(BD_CICLO!$F$3:$F$54,MATCH(E1768&amp;"|"&amp;H1768,BD_CICLO!$G$3:$G$54,0))),""))</f>
        <v/>
      </c>
      <c r="L1768" s="9"/>
      <c r="M1768" s="9"/>
      <c r="N1768" s="1" t="str">
        <f aca="false">IF(C1768="","",C1768&amp;"|"&amp;COUNTIF(C$3:C1768,C1768))</f>
        <v/>
      </c>
      <c r="O1768" s="1" t="str">
        <f aca="false">IF(OR(C1768="",M1768=""),"",C1768&amp;"|"&amp;COUNTIFS(C$3:C1768,C1768,M$3:M1768,"&lt;&gt;"))</f>
        <v/>
      </c>
    </row>
    <row r="1769" customFormat="false" ht="15" hidden="false" customHeight="false" outlineLevel="0" collapsed="false">
      <c r="B1769" s="7"/>
      <c r="C1769" s="5"/>
      <c r="D1769" s="9" t="str">
        <f aca="false">IF(C1769="","",IFERROR(VLOOKUP(C1769,EQUIPOS!$B$3:$C$18,2,0),"NO EXISTE"))</f>
        <v/>
      </c>
      <c r="E1769" s="9" t="str">
        <f aca="false">IF(C1769="","",IFERROR(VLOOKUP(C1769,EQUIPOS!$B$3:$F$18,5,0),""))</f>
        <v/>
      </c>
      <c r="F1769" s="5" t="str">
        <f aca="false">IF(C1769="","",IFERROR(VLOOKUP(C1769,EQUIPOS!$B$3:$G$18,6,0),""))</f>
        <v/>
      </c>
      <c r="G1769" s="8"/>
      <c r="H1769" s="5"/>
      <c r="I1769" s="5"/>
      <c r="J1769" s="9"/>
      <c r="K1769" s="17" t="str">
        <f aca="false">IF(H1769="","",IFERROR(SUMIFS(BD_PLAN!$I$3:$I$312,BD_PLAN!$B$3:$B$312,E1769,BD_PLAN!$C$3:$C$312,INDEX(BD_CICLO!$F$3:$F$54,MATCH(E1769&amp;"|"&amp;H1769,BD_CICLO!$G$3:$G$54,0))),""))</f>
        <v/>
      </c>
      <c r="L1769" s="9"/>
      <c r="M1769" s="9"/>
      <c r="N1769" s="1" t="str">
        <f aca="false">IF(C1769="","",C1769&amp;"|"&amp;COUNTIF(C$3:C1769,C1769))</f>
        <v/>
      </c>
      <c r="O1769" s="1" t="str">
        <f aca="false">IF(OR(C1769="",M1769=""),"",C1769&amp;"|"&amp;COUNTIFS(C$3:C1769,C1769,M$3:M1769,"&lt;&gt;"))</f>
        <v/>
      </c>
    </row>
    <row r="1770" customFormat="false" ht="15" hidden="false" customHeight="false" outlineLevel="0" collapsed="false">
      <c r="B1770" s="7"/>
      <c r="C1770" s="5"/>
      <c r="D1770" s="9" t="str">
        <f aca="false">IF(C1770="","",IFERROR(VLOOKUP(C1770,EQUIPOS!$B$3:$C$18,2,0),"NO EXISTE"))</f>
        <v/>
      </c>
      <c r="E1770" s="9" t="str">
        <f aca="false">IF(C1770="","",IFERROR(VLOOKUP(C1770,EQUIPOS!$B$3:$F$18,5,0),""))</f>
        <v/>
      </c>
      <c r="F1770" s="5" t="str">
        <f aca="false">IF(C1770="","",IFERROR(VLOOKUP(C1770,EQUIPOS!$B$3:$G$18,6,0),""))</f>
        <v/>
      </c>
      <c r="G1770" s="8"/>
      <c r="H1770" s="5"/>
      <c r="I1770" s="5"/>
      <c r="J1770" s="9"/>
      <c r="K1770" s="17" t="str">
        <f aca="false">IF(H1770="","",IFERROR(SUMIFS(BD_PLAN!$I$3:$I$312,BD_PLAN!$B$3:$B$312,E1770,BD_PLAN!$C$3:$C$312,INDEX(BD_CICLO!$F$3:$F$54,MATCH(E1770&amp;"|"&amp;H1770,BD_CICLO!$G$3:$G$54,0))),""))</f>
        <v/>
      </c>
      <c r="L1770" s="9"/>
      <c r="M1770" s="9"/>
      <c r="N1770" s="1" t="str">
        <f aca="false">IF(C1770="","",C1770&amp;"|"&amp;COUNTIF(C$3:C1770,C1770))</f>
        <v/>
      </c>
      <c r="O1770" s="1" t="str">
        <f aca="false">IF(OR(C1770="",M1770=""),"",C1770&amp;"|"&amp;COUNTIFS(C$3:C1770,C1770,M$3:M1770,"&lt;&gt;"))</f>
        <v/>
      </c>
    </row>
    <row r="1771" customFormat="false" ht="15" hidden="false" customHeight="false" outlineLevel="0" collapsed="false">
      <c r="B1771" s="7"/>
      <c r="C1771" s="5"/>
      <c r="D1771" s="9" t="str">
        <f aca="false">IF(C1771="","",IFERROR(VLOOKUP(C1771,EQUIPOS!$B$3:$C$18,2,0),"NO EXISTE"))</f>
        <v/>
      </c>
      <c r="E1771" s="9" t="str">
        <f aca="false">IF(C1771="","",IFERROR(VLOOKUP(C1771,EQUIPOS!$B$3:$F$18,5,0),""))</f>
        <v/>
      </c>
      <c r="F1771" s="5" t="str">
        <f aca="false">IF(C1771="","",IFERROR(VLOOKUP(C1771,EQUIPOS!$B$3:$G$18,6,0),""))</f>
        <v/>
      </c>
      <c r="G1771" s="8"/>
      <c r="H1771" s="5"/>
      <c r="I1771" s="5"/>
      <c r="J1771" s="9"/>
      <c r="K1771" s="17" t="str">
        <f aca="false">IF(H1771="","",IFERROR(SUMIFS(BD_PLAN!$I$3:$I$312,BD_PLAN!$B$3:$B$312,E1771,BD_PLAN!$C$3:$C$312,INDEX(BD_CICLO!$F$3:$F$54,MATCH(E1771&amp;"|"&amp;H1771,BD_CICLO!$G$3:$G$54,0))),""))</f>
        <v/>
      </c>
      <c r="L1771" s="9"/>
      <c r="M1771" s="9"/>
      <c r="N1771" s="1" t="str">
        <f aca="false">IF(C1771="","",C1771&amp;"|"&amp;COUNTIF(C$3:C1771,C1771))</f>
        <v/>
      </c>
      <c r="O1771" s="1" t="str">
        <f aca="false">IF(OR(C1771="",M1771=""),"",C1771&amp;"|"&amp;COUNTIFS(C$3:C1771,C1771,M$3:M1771,"&lt;&gt;"))</f>
        <v/>
      </c>
    </row>
    <row r="1772" customFormat="false" ht="15" hidden="false" customHeight="false" outlineLevel="0" collapsed="false">
      <c r="B1772" s="7"/>
      <c r="C1772" s="5"/>
      <c r="D1772" s="9" t="str">
        <f aca="false">IF(C1772="","",IFERROR(VLOOKUP(C1772,EQUIPOS!$B$3:$C$18,2,0),"NO EXISTE"))</f>
        <v/>
      </c>
      <c r="E1772" s="9" t="str">
        <f aca="false">IF(C1772="","",IFERROR(VLOOKUP(C1772,EQUIPOS!$B$3:$F$18,5,0),""))</f>
        <v/>
      </c>
      <c r="F1772" s="5" t="str">
        <f aca="false">IF(C1772="","",IFERROR(VLOOKUP(C1772,EQUIPOS!$B$3:$G$18,6,0),""))</f>
        <v/>
      </c>
      <c r="G1772" s="8"/>
      <c r="H1772" s="5"/>
      <c r="I1772" s="5"/>
      <c r="J1772" s="9"/>
      <c r="K1772" s="17" t="str">
        <f aca="false">IF(H1772="","",IFERROR(SUMIFS(BD_PLAN!$I$3:$I$312,BD_PLAN!$B$3:$B$312,E1772,BD_PLAN!$C$3:$C$312,INDEX(BD_CICLO!$F$3:$F$54,MATCH(E1772&amp;"|"&amp;H1772,BD_CICLO!$G$3:$G$54,0))),""))</f>
        <v/>
      </c>
      <c r="L1772" s="9"/>
      <c r="M1772" s="9"/>
      <c r="N1772" s="1" t="str">
        <f aca="false">IF(C1772="","",C1772&amp;"|"&amp;COUNTIF(C$3:C1772,C1772))</f>
        <v/>
      </c>
      <c r="O1772" s="1" t="str">
        <f aca="false">IF(OR(C1772="",M1772=""),"",C1772&amp;"|"&amp;COUNTIFS(C$3:C1772,C1772,M$3:M1772,"&lt;&gt;"))</f>
        <v/>
      </c>
    </row>
    <row r="1773" customFormat="false" ht="15" hidden="false" customHeight="false" outlineLevel="0" collapsed="false">
      <c r="B1773" s="7"/>
      <c r="C1773" s="5"/>
      <c r="D1773" s="9" t="str">
        <f aca="false">IF(C1773="","",IFERROR(VLOOKUP(C1773,EQUIPOS!$B$3:$C$18,2,0),"NO EXISTE"))</f>
        <v/>
      </c>
      <c r="E1773" s="9" t="str">
        <f aca="false">IF(C1773="","",IFERROR(VLOOKUP(C1773,EQUIPOS!$B$3:$F$18,5,0),""))</f>
        <v/>
      </c>
      <c r="F1773" s="5" t="str">
        <f aca="false">IF(C1773="","",IFERROR(VLOOKUP(C1773,EQUIPOS!$B$3:$G$18,6,0),""))</f>
        <v/>
      </c>
      <c r="G1773" s="8"/>
      <c r="H1773" s="5"/>
      <c r="I1773" s="5"/>
      <c r="J1773" s="9"/>
      <c r="K1773" s="17" t="str">
        <f aca="false">IF(H1773="","",IFERROR(SUMIFS(BD_PLAN!$I$3:$I$312,BD_PLAN!$B$3:$B$312,E1773,BD_PLAN!$C$3:$C$312,INDEX(BD_CICLO!$F$3:$F$54,MATCH(E1773&amp;"|"&amp;H1773,BD_CICLO!$G$3:$G$54,0))),""))</f>
        <v/>
      </c>
      <c r="L1773" s="9"/>
      <c r="M1773" s="9"/>
      <c r="N1773" s="1" t="str">
        <f aca="false">IF(C1773="","",C1773&amp;"|"&amp;COUNTIF(C$3:C1773,C1773))</f>
        <v/>
      </c>
      <c r="O1773" s="1" t="str">
        <f aca="false">IF(OR(C1773="",M1773=""),"",C1773&amp;"|"&amp;COUNTIFS(C$3:C1773,C1773,M$3:M1773,"&lt;&gt;"))</f>
        <v/>
      </c>
    </row>
    <row r="1774" customFormat="false" ht="15" hidden="false" customHeight="false" outlineLevel="0" collapsed="false">
      <c r="B1774" s="7"/>
      <c r="C1774" s="5"/>
      <c r="D1774" s="9" t="str">
        <f aca="false">IF(C1774="","",IFERROR(VLOOKUP(C1774,EQUIPOS!$B$3:$C$18,2,0),"NO EXISTE"))</f>
        <v/>
      </c>
      <c r="E1774" s="9" t="str">
        <f aca="false">IF(C1774="","",IFERROR(VLOOKUP(C1774,EQUIPOS!$B$3:$F$18,5,0),""))</f>
        <v/>
      </c>
      <c r="F1774" s="5" t="str">
        <f aca="false">IF(C1774="","",IFERROR(VLOOKUP(C1774,EQUIPOS!$B$3:$G$18,6,0),""))</f>
        <v/>
      </c>
      <c r="G1774" s="8"/>
      <c r="H1774" s="5"/>
      <c r="I1774" s="5"/>
      <c r="J1774" s="9"/>
      <c r="K1774" s="17" t="str">
        <f aca="false">IF(H1774="","",IFERROR(SUMIFS(BD_PLAN!$I$3:$I$312,BD_PLAN!$B$3:$B$312,E1774,BD_PLAN!$C$3:$C$312,INDEX(BD_CICLO!$F$3:$F$54,MATCH(E1774&amp;"|"&amp;H1774,BD_CICLO!$G$3:$G$54,0))),""))</f>
        <v/>
      </c>
      <c r="L1774" s="9"/>
      <c r="M1774" s="9"/>
      <c r="N1774" s="1" t="str">
        <f aca="false">IF(C1774="","",C1774&amp;"|"&amp;COUNTIF(C$3:C1774,C1774))</f>
        <v/>
      </c>
      <c r="O1774" s="1" t="str">
        <f aca="false">IF(OR(C1774="",M1774=""),"",C1774&amp;"|"&amp;COUNTIFS(C$3:C1774,C1774,M$3:M1774,"&lt;&gt;"))</f>
        <v/>
      </c>
    </row>
    <row r="1775" customFormat="false" ht="15" hidden="false" customHeight="false" outlineLevel="0" collapsed="false">
      <c r="B1775" s="7"/>
      <c r="C1775" s="5"/>
      <c r="D1775" s="9" t="str">
        <f aca="false">IF(C1775="","",IFERROR(VLOOKUP(C1775,EQUIPOS!$B$3:$C$18,2,0),"NO EXISTE"))</f>
        <v/>
      </c>
      <c r="E1775" s="9" t="str">
        <f aca="false">IF(C1775="","",IFERROR(VLOOKUP(C1775,EQUIPOS!$B$3:$F$18,5,0),""))</f>
        <v/>
      </c>
      <c r="F1775" s="5" t="str">
        <f aca="false">IF(C1775="","",IFERROR(VLOOKUP(C1775,EQUIPOS!$B$3:$G$18,6,0),""))</f>
        <v/>
      </c>
      <c r="G1775" s="8"/>
      <c r="H1775" s="5"/>
      <c r="I1775" s="5"/>
      <c r="J1775" s="9"/>
      <c r="K1775" s="17" t="str">
        <f aca="false">IF(H1775="","",IFERROR(SUMIFS(BD_PLAN!$I$3:$I$312,BD_PLAN!$B$3:$B$312,E1775,BD_PLAN!$C$3:$C$312,INDEX(BD_CICLO!$F$3:$F$54,MATCH(E1775&amp;"|"&amp;H1775,BD_CICLO!$G$3:$G$54,0))),""))</f>
        <v/>
      </c>
      <c r="L1775" s="9"/>
      <c r="M1775" s="9"/>
      <c r="N1775" s="1" t="str">
        <f aca="false">IF(C1775="","",C1775&amp;"|"&amp;COUNTIF(C$3:C1775,C1775))</f>
        <v/>
      </c>
      <c r="O1775" s="1" t="str">
        <f aca="false">IF(OR(C1775="",M1775=""),"",C1775&amp;"|"&amp;COUNTIFS(C$3:C1775,C1775,M$3:M1775,"&lt;&gt;"))</f>
        <v/>
      </c>
    </row>
    <row r="1776" customFormat="false" ht="15" hidden="false" customHeight="false" outlineLevel="0" collapsed="false">
      <c r="B1776" s="7"/>
      <c r="C1776" s="5"/>
      <c r="D1776" s="9" t="str">
        <f aca="false">IF(C1776="","",IFERROR(VLOOKUP(C1776,EQUIPOS!$B$3:$C$18,2,0),"NO EXISTE"))</f>
        <v/>
      </c>
      <c r="E1776" s="9" t="str">
        <f aca="false">IF(C1776="","",IFERROR(VLOOKUP(C1776,EQUIPOS!$B$3:$F$18,5,0),""))</f>
        <v/>
      </c>
      <c r="F1776" s="5" t="str">
        <f aca="false">IF(C1776="","",IFERROR(VLOOKUP(C1776,EQUIPOS!$B$3:$G$18,6,0),""))</f>
        <v/>
      </c>
      <c r="G1776" s="8"/>
      <c r="H1776" s="5"/>
      <c r="I1776" s="5"/>
      <c r="J1776" s="9"/>
      <c r="K1776" s="17" t="str">
        <f aca="false">IF(H1776="","",IFERROR(SUMIFS(BD_PLAN!$I$3:$I$312,BD_PLAN!$B$3:$B$312,E1776,BD_PLAN!$C$3:$C$312,INDEX(BD_CICLO!$F$3:$F$54,MATCH(E1776&amp;"|"&amp;H1776,BD_CICLO!$G$3:$G$54,0))),""))</f>
        <v/>
      </c>
      <c r="L1776" s="9"/>
      <c r="M1776" s="9"/>
      <c r="N1776" s="1" t="str">
        <f aca="false">IF(C1776="","",C1776&amp;"|"&amp;COUNTIF(C$3:C1776,C1776))</f>
        <v/>
      </c>
      <c r="O1776" s="1" t="str">
        <f aca="false">IF(OR(C1776="",M1776=""),"",C1776&amp;"|"&amp;COUNTIFS(C$3:C1776,C1776,M$3:M1776,"&lt;&gt;"))</f>
        <v/>
      </c>
    </row>
    <row r="1777" customFormat="false" ht="15" hidden="false" customHeight="false" outlineLevel="0" collapsed="false">
      <c r="B1777" s="7"/>
      <c r="C1777" s="5"/>
      <c r="D1777" s="9" t="str">
        <f aca="false">IF(C1777="","",IFERROR(VLOOKUP(C1777,EQUIPOS!$B$3:$C$18,2,0),"NO EXISTE"))</f>
        <v/>
      </c>
      <c r="E1777" s="9" t="str">
        <f aca="false">IF(C1777="","",IFERROR(VLOOKUP(C1777,EQUIPOS!$B$3:$F$18,5,0),""))</f>
        <v/>
      </c>
      <c r="F1777" s="5" t="str">
        <f aca="false">IF(C1777="","",IFERROR(VLOOKUP(C1777,EQUIPOS!$B$3:$G$18,6,0),""))</f>
        <v/>
      </c>
      <c r="G1777" s="8"/>
      <c r="H1777" s="5"/>
      <c r="I1777" s="5"/>
      <c r="J1777" s="9"/>
      <c r="K1777" s="17" t="str">
        <f aca="false">IF(H1777="","",IFERROR(SUMIFS(BD_PLAN!$I$3:$I$312,BD_PLAN!$B$3:$B$312,E1777,BD_PLAN!$C$3:$C$312,INDEX(BD_CICLO!$F$3:$F$54,MATCH(E1777&amp;"|"&amp;H1777,BD_CICLO!$G$3:$G$54,0))),""))</f>
        <v/>
      </c>
      <c r="L1777" s="9"/>
      <c r="M1777" s="9"/>
      <c r="N1777" s="1" t="str">
        <f aca="false">IF(C1777="","",C1777&amp;"|"&amp;COUNTIF(C$3:C1777,C1777))</f>
        <v/>
      </c>
      <c r="O1777" s="1" t="str">
        <f aca="false">IF(OR(C1777="",M1777=""),"",C1777&amp;"|"&amp;COUNTIFS(C$3:C1777,C1777,M$3:M1777,"&lt;&gt;"))</f>
        <v/>
      </c>
    </row>
    <row r="1778" customFormat="false" ht="15" hidden="false" customHeight="false" outlineLevel="0" collapsed="false">
      <c r="B1778" s="7"/>
      <c r="C1778" s="5"/>
      <c r="D1778" s="9" t="str">
        <f aca="false">IF(C1778="","",IFERROR(VLOOKUP(C1778,EQUIPOS!$B$3:$C$18,2,0),"NO EXISTE"))</f>
        <v/>
      </c>
      <c r="E1778" s="9" t="str">
        <f aca="false">IF(C1778="","",IFERROR(VLOOKUP(C1778,EQUIPOS!$B$3:$F$18,5,0),""))</f>
        <v/>
      </c>
      <c r="F1778" s="5" t="str">
        <f aca="false">IF(C1778="","",IFERROR(VLOOKUP(C1778,EQUIPOS!$B$3:$G$18,6,0),""))</f>
        <v/>
      </c>
      <c r="G1778" s="8"/>
      <c r="H1778" s="5"/>
      <c r="I1778" s="5"/>
      <c r="J1778" s="9"/>
      <c r="K1778" s="17" t="str">
        <f aca="false">IF(H1778="","",IFERROR(SUMIFS(BD_PLAN!$I$3:$I$312,BD_PLAN!$B$3:$B$312,E1778,BD_PLAN!$C$3:$C$312,INDEX(BD_CICLO!$F$3:$F$54,MATCH(E1778&amp;"|"&amp;H1778,BD_CICLO!$G$3:$G$54,0))),""))</f>
        <v/>
      </c>
      <c r="L1778" s="9"/>
      <c r="M1778" s="9"/>
      <c r="N1778" s="1" t="str">
        <f aca="false">IF(C1778="","",C1778&amp;"|"&amp;COUNTIF(C$3:C1778,C1778))</f>
        <v/>
      </c>
      <c r="O1778" s="1" t="str">
        <f aca="false">IF(OR(C1778="",M1778=""),"",C1778&amp;"|"&amp;COUNTIFS(C$3:C1778,C1778,M$3:M1778,"&lt;&gt;"))</f>
        <v/>
      </c>
    </row>
    <row r="1779" customFormat="false" ht="15" hidden="false" customHeight="false" outlineLevel="0" collapsed="false">
      <c r="B1779" s="7"/>
      <c r="C1779" s="5"/>
      <c r="D1779" s="9" t="str">
        <f aca="false">IF(C1779="","",IFERROR(VLOOKUP(C1779,EQUIPOS!$B$3:$C$18,2,0),"NO EXISTE"))</f>
        <v/>
      </c>
      <c r="E1779" s="9" t="str">
        <f aca="false">IF(C1779="","",IFERROR(VLOOKUP(C1779,EQUIPOS!$B$3:$F$18,5,0),""))</f>
        <v/>
      </c>
      <c r="F1779" s="5" t="str">
        <f aca="false">IF(C1779="","",IFERROR(VLOOKUP(C1779,EQUIPOS!$B$3:$G$18,6,0),""))</f>
        <v/>
      </c>
      <c r="G1779" s="8"/>
      <c r="H1779" s="5"/>
      <c r="I1779" s="5"/>
      <c r="J1779" s="9"/>
      <c r="K1779" s="17" t="str">
        <f aca="false">IF(H1779="","",IFERROR(SUMIFS(BD_PLAN!$I$3:$I$312,BD_PLAN!$B$3:$B$312,E1779,BD_PLAN!$C$3:$C$312,INDEX(BD_CICLO!$F$3:$F$54,MATCH(E1779&amp;"|"&amp;H1779,BD_CICLO!$G$3:$G$54,0))),""))</f>
        <v/>
      </c>
      <c r="L1779" s="9"/>
      <c r="M1779" s="9"/>
      <c r="N1779" s="1" t="str">
        <f aca="false">IF(C1779="","",C1779&amp;"|"&amp;COUNTIF(C$3:C1779,C1779))</f>
        <v/>
      </c>
      <c r="O1779" s="1" t="str">
        <f aca="false">IF(OR(C1779="",M1779=""),"",C1779&amp;"|"&amp;COUNTIFS(C$3:C1779,C1779,M$3:M1779,"&lt;&gt;"))</f>
        <v/>
      </c>
    </row>
    <row r="1780" customFormat="false" ht="15" hidden="false" customHeight="false" outlineLevel="0" collapsed="false">
      <c r="B1780" s="7"/>
      <c r="C1780" s="5"/>
      <c r="D1780" s="9" t="str">
        <f aca="false">IF(C1780="","",IFERROR(VLOOKUP(C1780,EQUIPOS!$B$3:$C$18,2,0),"NO EXISTE"))</f>
        <v/>
      </c>
      <c r="E1780" s="9" t="str">
        <f aca="false">IF(C1780="","",IFERROR(VLOOKUP(C1780,EQUIPOS!$B$3:$F$18,5,0),""))</f>
        <v/>
      </c>
      <c r="F1780" s="5" t="str">
        <f aca="false">IF(C1780="","",IFERROR(VLOOKUP(C1780,EQUIPOS!$B$3:$G$18,6,0),""))</f>
        <v/>
      </c>
      <c r="G1780" s="8"/>
      <c r="H1780" s="5"/>
      <c r="I1780" s="5"/>
      <c r="J1780" s="9"/>
      <c r="K1780" s="17" t="str">
        <f aca="false">IF(H1780="","",IFERROR(SUMIFS(BD_PLAN!$I$3:$I$312,BD_PLAN!$B$3:$B$312,E1780,BD_PLAN!$C$3:$C$312,INDEX(BD_CICLO!$F$3:$F$54,MATCH(E1780&amp;"|"&amp;H1780,BD_CICLO!$G$3:$G$54,0))),""))</f>
        <v/>
      </c>
      <c r="L1780" s="9"/>
      <c r="M1780" s="9"/>
      <c r="N1780" s="1" t="str">
        <f aca="false">IF(C1780="","",C1780&amp;"|"&amp;COUNTIF(C$3:C1780,C1780))</f>
        <v/>
      </c>
      <c r="O1780" s="1" t="str">
        <f aca="false">IF(OR(C1780="",M1780=""),"",C1780&amp;"|"&amp;COUNTIFS(C$3:C1780,C1780,M$3:M1780,"&lt;&gt;"))</f>
        <v/>
      </c>
    </row>
    <row r="1781" customFormat="false" ht="15" hidden="false" customHeight="false" outlineLevel="0" collapsed="false">
      <c r="B1781" s="7"/>
      <c r="C1781" s="5"/>
      <c r="D1781" s="9" t="str">
        <f aca="false">IF(C1781="","",IFERROR(VLOOKUP(C1781,EQUIPOS!$B$3:$C$18,2,0),"NO EXISTE"))</f>
        <v/>
      </c>
      <c r="E1781" s="9" t="str">
        <f aca="false">IF(C1781="","",IFERROR(VLOOKUP(C1781,EQUIPOS!$B$3:$F$18,5,0),""))</f>
        <v/>
      </c>
      <c r="F1781" s="5" t="str">
        <f aca="false">IF(C1781="","",IFERROR(VLOOKUP(C1781,EQUIPOS!$B$3:$G$18,6,0),""))</f>
        <v/>
      </c>
      <c r="G1781" s="8"/>
      <c r="H1781" s="5"/>
      <c r="I1781" s="5"/>
      <c r="J1781" s="9"/>
      <c r="K1781" s="17" t="str">
        <f aca="false">IF(H1781="","",IFERROR(SUMIFS(BD_PLAN!$I$3:$I$312,BD_PLAN!$B$3:$B$312,E1781,BD_PLAN!$C$3:$C$312,INDEX(BD_CICLO!$F$3:$F$54,MATCH(E1781&amp;"|"&amp;H1781,BD_CICLO!$G$3:$G$54,0))),""))</f>
        <v/>
      </c>
      <c r="L1781" s="9"/>
      <c r="M1781" s="9"/>
      <c r="N1781" s="1" t="str">
        <f aca="false">IF(C1781="","",C1781&amp;"|"&amp;COUNTIF(C$3:C1781,C1781))</f>
        <v/>
      </c>
      <c r="O1781" s="1" t="str">
        <f aca="false">IF(OR(C1781="",M1781=""),"",C1781&amp;"|"&amp;COUNTIFS(C$3:C1781,C1781,M$3:M1781,"&lt;&gt;"))</f>
        <v/>
      </c>
    </row>
    <row r="1782" customFormat="false" ht="15" hidden="false" customHeight="false" outlineLevel="0" collapsed="false">
      <c r="B1782" s="7"/>
      <c r="C1782" s="5"/>
      <c r="D1782" s="9" t="str">
        <f aca="false">IF(C1782="","",IFERROR(VLOOKUP(C1782,EQUIPOS!$B$3:$C$18,2,0),"NO EXISTE"))</f>
        <v/>
      </c>
      <c r="E1782" s="9" t="str">
        <f aca="false">IF(C1782="","",IFERROR(VLOOKUP(C1782,EQUIPOS!$B$3:$F$18,5,0),""))</f>
        <v/>
      </c>
      <c r="F1782" s="5" t="str">
        <f aca="false">IF(C1782="","",IFERROR(VLOOKUP(C1782,EQUIPOS!$B$3:$G$18,6,0),""))</f>
        <v/>
      </c>
      <c r="G1782" s="8"/>
      <c r="H1782" s="5"/>
      <c r="I1782" s="5"/>
      <c r="J1782" s="9"/>
      <c r="K1782" s="17" t="str">
        <f aca="false">IF(H1782="","",IFERROR(SUMIFS(BD_PLAN!$I$3:$I$312,BD_PLAN!$B$3:$B$312,E1782,BD_PLAN!$C$3:$C$312,INDEX(BD_CICLO!$F$3:$F$54,MATCH(E1782&amp;"|"&amp;H1782,BD_CICLO!$G$3:$G$54,0))),""))</f>
        <v/>
      </c>
      <c r="L1782" s="9"/>
      <c r="M1782" s="9"/>
      <c r="N1782" s="1" t="str">
        <f aca="false">IF(C1782="","",C1782&amp;"|"&amp;COUNTIF(C$3:C1782,C1782))</f>
        <v/>
      </c>
      <c r="O1782" s="1" t="str">
        <f aca="false">IF(OR(C1782="",M1782=""),"",C1782&amp;"|"&amp;COUNTIFS(C$3:C1782,C1782,M$3:M1782,"&lt;&gt;"))</f>
        <v/>
      </c>
    </row>
    <row r="1783" customFormat="false" ht="15" hidden="false" customHeight="false" outlineLevel="0" collapsed="false">
      <c r="B1783" s="7"/>
      <c r="C1783" s="5"/>
      <c r="D1783" s="9" t="str">
        <f aca="false">IF(C1783="","",IFERROR(VLOOKUP(C1783,EQUIPOS!$B$3:$C$18,2,0),"NO EXISTE"))</f>
        <v/>
      </c>
      <c r="E1783" s="9" t="str">
        <f aca="false">IF(C1783="","",IFERROR(VLOOKUP(C1783,EQUIPOS!$B$3:$F$18,5,0),""))</f>
        <v/>
      </c>
      <c r="F1783" s="5" t="str">
        <f aca="false">IF(C1783="","",IFERROR(VLOOKUP(C1783,EQUIPOS!$B$3:$G$18,6,0),""))</f>
        <v/>
      </c>
      <c r="G1783" s="8"/>
      <c r="H1783" s="5"/>
      <c r="I1783" s="5"/>
      <c r="J1783" s="9"/>
      <c r="K1783" s="17" t="str">
        <f aca="false">IF(H1783="","",IFERROR(SUMIFS(BD_PLAN!$I$3:$I$312,BD_PLAN!$B$3:$B$312,E1783,BD_PLAN!$C$3:$C$312,INDEX(BD_CICLO!$F$3:$F$54,MATCH(E1783&amp;"|"&amp;H1783,BD_CICLO!$G$3:$G$54,0))),""))</f>
        <v/>
      </c>
      <c r="L1783" s="9"/>
      <c r="M1783" s="9"/>
      <c r="N1783" s="1" t="str">
        <f aca="false">IF(C1783="","",C1783&amp;"|"&amp;COUNTIF(C$3:C1783,C1783))</f>
        <v/>
      </c>
      <c r="O1783" s="1" t="str">
        <f aca="false">IF(OR(C1783="",M1783=""),"",C1783&amp;"|"&amp;COUNTIFS(C$3:C1783,C1783,M$3:M1783,"&lt;&gt;"))</f>
        <v/>
      </c>
    </row>
    <row r="1784" customFormat="false" ht="15" hidden="false" customHeight="false" outlineLevel="0" collapsed="false">
      <c r="B1784" s="7"/>
      <c r="C1784" s="5"/>
      <c r="D1784" s="9" t="str">
        <f aca="false">IF(C1784="","",IFERROR(VLOOKUP(C1784,EQUIPOS!$B$3:$C$18,2,0),"NO EXISTE"))</f>
        <v/>
      </c>
      <c r="E1784" s="9" t="str">
        <f aca="false">IF(C1784="","",IFERROR(VLOOKUP(C1784,EQUIPOS!$B$3:$F$18,5,0),""))</f>
        <v/>
      </c>
      <c r="F1784" s="5" t="str">
        <f aca="false">IF(C1784="","",IFERROR(VLOOKUP(C1784,EQUIPOS!$B$3:$G$18,6,0),""))</f>
        <v/>
      </c>
      <c r="G1784" s="8"/>
      <c r="H1784" s="5"/>
      <c r="I1784" s="5"/>
      <c r="J1784" s="9"/>
      <c r="K1784" s="17" t="str">
        <f aca="false">IF(H1784="","",IFERROR(SUMIFS(BD_PLAN!$I$3:$I$312,BD_PLAN!$B$3:$B$312,E1784,BD_PLAN!$C$3:$C$312,INDEX(BD_CICLO!$F$3:$F$54,MATCH(E1784&amp;"|"&amp;H1784,BD_CICLO!$G$3:$G$54,0))),""))</f>
        <v/>
      </c>
      <c r="L1784" s="9"/>
      <c r="M1784" s="9"/>
      <c r="N1784" s="1" t="str">
        <f aca="false">IF(C1784="","",C1784&amp;"|"&amp;COUNTIF(C$3:C1784,C1784))</f>
        <v/>
      </c>
      <c r="O1784" s="1" t="str">
        <f aca="false">IF(OR(C1784="",M1784=""),"",C1784&amp;"|"&amp;COUNTIFS(C$3:C1784,C1784,M$3:M1784,"&lt;&gt;"))</f>
        <v/>
      </c>
    </row>
    <row r="1785" customFormat="false" ht="15" hidden="false" customHeight="false" outlineLevel="0" collapsed="false">
      <c r="B1785" s="7"/>
      <c r="C1785" s="5"/>
      <c r="D1785" s="9" t="str">
        <f aca="false">IF(C1785="","",IFERROR(VLOOKUP(C1785,EQUIPOS!$B$3:$C$18,2,0),"NO EXISTE"))</f>
        <v/>
      </c>
      <c r="E1785" s="9" t="str">
        <f aca="false">IF(C1785="","",IFERROR(VLOOKUP(C1785,EQUIPOS!$B$3:$F$18,5,0),""))</f>
        <v/>
      </c>
      <c r="F1785" s="5" t="str">
        <f aca="false">IF(C1785="","",IFERROR(VLOOKUP(C1785,EQUIPOS!$B$3:$G$18,6,0),""))</f>
        <v/>
      </c>
      <c r="G1785" s="8"/>
      <c r="H1785" s="5"/>
      <c r="I1785" s="5"/>
      <c r="J1785" s="9"/>
      <c r="K1785" s="17" t="str">
        <f aca="false">IF(H1785="","",IFERROR(SUMIFS(BD_PLAN!$I$3:$I$312,BD_PLAN!$B$3:$B$312,E1785,BD_PLAN!$C$3:$C$312,INDEX(BD_CICLO!$F$3:$F$54,MATCH(E1785&amp;"|"&amp;H1785,BD_CICLO!$G$3:$G$54,0))),""))</f>
        <v/>
      </c>
      <c r="L1785" s="9"/>
      <c r="M1785" s="9"/>
      <c r="N1785" s="1" t="str">
        <f aca="false">IF(C1785="","",C1785&amp;"|"&amp;COUNTIF(C$3:C1785,C1785))</f>
        <v/>
      </c>
      <c r="O1785" s="1" t="str">
        <f aca="false">IF(OR(C1785="",M1785=""),"",C1785&amp;"|"&amp;COUNTIFS(C$3:C1785,C1785,M$3:M1785,"&lt;&gt;"))</f>
        <v/>
      </c>
    </row>
    <row r="1786" customFormat="false" ht="15" hidden="false" customHeight="false" outlineLevel="0" collapsed="false">
      <c r="B1786" s="7"/>
      <c r="C1786" s="5"/>
      <c r="D1786" s="9" t="str">
        <f aca="false">IF(C1786="","",IFERROR(VLOOKUP(C1786,EQUIPOS!$B$3:$C$18,2,0),"NO EXISTE"))</f>
        <v/>
      </c>
      <c r="E1786" s="9" t="str">
        <f aca="false">IF(C1786="","",IFERROR(VLOOKUP(C1786,EQUIPOS!$B$3:$F$18,5,0),""))</f>
        <v/>
      </c>
      <c r="F1786" s="5" t="str">
        <f aca="false">IF(C1786="","",IFERROR(VLOOKUP(C1786,EQUIPOS!$B$3:$G$18,6,0),""))</f>
        <v/>
      </c>
      <c r="G1786" s="8"/>
      <c r="H1786" s="5"/>
      <c r="I1786" s="5"/>
      <c r="J1786" s="9"/>
      <c r="K1786" s="17" t="str">
        <f aca="false">IF(H1786="","",IFERROR(SUMIFS(BD_PLAN!$I$3:$I$312,BD_PLAN!$B$3:$B$312,E1786,BD_PLAN!$C$3:$C$312,INDEX(BD_CICLO!$F$3:$F$54,MATCH(E1786&amp;"|"&amp;H1786,BD_CICLO!$G$3:$G$54,0))),""))</f>
        <v/>
      </c>
      <c r="L1786" s="9"/>
      <c r="M1786" s="9"/>
      <c r="N1786" s="1" t="str">
        <f aca="false">IF(C1786="","",C1786&amp;"|"&amp;COUNTIF(C$3:C1786,C1786))</f>
        <v/>
      </c>
      <c r="O1786" s="1" t="str">
        <f aca="false">IF(OR(C1786="",M1786=""),"",C1786&amp;"|"&amp;COUNTIFS(C$3:C1786,C1786,M$3:M1786,"&lt;&gt;"))</f>
        <v/>
      </c>
    </row>
    <row r="1787" customFormat="false" ht="15" hidden="false" customHeight="false" outlineLevel="0" collapsed="false">
      <c r="B1787" s="7"/>
      <c r="C1787" s="5"/>
      <c r="D1787" s="9" t="str">
        <f aca="false">IF(C1787="","",IFERROR(VLOOKUP(C1787,EQUIPOS!$B$3:$C$18,2,0),"NO EXISTE"))</f>
        <v/>
      </c>
      <c r="E1787" s="9" t="str">
        <f aca="false">IF(C1787="","",IFERROR(VLOOKUP(C1787,EQUIPOS!$B$3:$F$18,5,0),""))</f>
        <v/>
      </c>
      <c r="F1787" s="5" t="str">
        <f aca="false">IF(C1787="","",IFERROR(VLOOKUP(C1787,EQUIPOS!$B$3:$G$18,6,0),""))</f>
        <v/>
      </c>
      <c r="G1787" s="8"/>
      <c r="H1787" s="5"/>
      <c r="I1787" s="5"/>
      <c r="J1787" s="9"/>
      <c r="K1787" s="17" t="str">
        <f aca="false">IF(H1787="","",IFERROR(SUMIFS(BD_PLAN!$I$3:$I$312,BD_PLAN!$B$3:$B$312,E1787,BD_PLAN!$C$3:$C$312,INDEX(BD_CICLO!$F$3:$F$54,MATCH(E1787&amp;"|"&amp;H1787,BD_CICLO!$G$3:$G$54,0))),""))</f>
        <v/>
      </c>
      <c r="L1787" s="9"/>
      <c r="M1787" s="9"/>
      <c r="N1787" s="1" t="str">
        <f aca="false">IF(C1787="","",C1787&amp;"|"&amp;COUNTIF(C$3:C1787,C1787))</f>
        <v/>
      </c>
      <c r="O1787" s="1" t="str">
        <f aca="false">IF(OR(C1787="",M1787=""),"",C1787&amp;"|"&amp;COUNTIFS(C$3:C1787,C1787,M$3:M1787,"&lt;&gt;"))</f>
        <v/>
      </c>
    </row>
    <row r="1788" customFormat="false" ht="15" hidden="false" customHeight="false" outlineLevel="0" collapsed="false">
      <c r="B1788" s="7"/>
      <c r="C1788" s="5"/>
      <c r="D1788" s="9" t="str">
        <f aca="false">IF(C1788="","",IFERROR(VLOOKUP(C1788,EQUIPOS!$B$3:$C$18,2,0),"NO EXISTE"))</f>
        <v/>
      </c>
      <c r="E1788" s="9" t="str">
        <f aca="false">IF(C1788="","",IFERROR(VLOOKUP(C1788,EQUIPOS!$B$3:$F$18,5,0),""))</f>
        <v/>
      </c>
      <c r="F1788" s="5" t="str">
        <f aca="false">IF(C1788="","",IFERROR(VLOOKUP(C1788,EQUIPOS!$B$3:$G$18,6,0),""))</f>
        <v/>
      </c>
      <c r="G1788" s="8"/>
      <c r="H1788" s="5"/>
      <c r="I1788" s="5"/>
      <c r="J1788" s="9"/>
      <c r="K1788" s="17" t="str">
        <f aca="false">IF(H1788="","",IFERROR(SUMIFS(BD_PLAN!$I$3:$I$312,BD_PLAN!$B$3:$B$312,E1788,BD_PLAN!$C$3:$C$312,INDEX(BD_CICLO!$F$3:$F$54,MATCH(E1788&amp;"|"&amp;H1788,BD_CICLO!$G$3:$G$54,0))),""))</f>
        <v/>
      </c>
      <c r="L1788" s="9"/>
      <c r="M1788" s="9"/>
      <c r="N1788" s="1" t="str">
        <f aca="false">IF(C1788="","",C1788&amp;"|"&amp;COUNTIF(C$3:C1788,C1788))</f>
        <v/>
      </c>
      <c r="O1788" s="1" t="str">
        <f aca="false">IF(OR(C1788="",M1788=""),"",C1788&amp;"|"&amp;COUNTIFS(C$3:C1788,C1788,M$3:M1788,"&lt;&gt;"))</f>
        <v/>
      </c>
    </row>
    <row r="1789" customFormat="false" ht="15" hidden="false" customHeight="false" outlineLevel="0" collapsed="false">
      <c r="B1789" s="7"/>
      <c r="C1789" s="5"/>
      <c r="D1789" s="9" t="str">
        <f aca="false">IF(C1789="","",IFERROR(VLOOKUP(C1789,EQUIPOS!$B$3:$C$18,2,0),"NO EXISTE"))</f>
        <v/>
      </c>
      <c r="E1789" s="9" t="str">
        <f aca="false">IF(C1789="","",IFERROR(VLOOKUP(C1789,EQUIPOS!$B$3:$F$18,5,0),""))</f>
        <v/>
      </c>
      <c r="F1789" s="5" t="str">
        <f aca="false">IF(C1789="","",IFERROR(VLOOKUP(C1789,EQUIPOS!$B$3:$G$18,6,0),""))</f>
        <v/>
      </c>
      <c r="G1789" s="8"/>
      <c r="H1789" s="5"/>
      <c r="I1789" s="5"/>
      <c r="J1789" s="9"/>
      <c r="K1789" s="17" t="str">
        <f aca="false">IF(H1789="","",IFERROR(SUMIFS(BD_PLAN!$I$3:$I$312,BD_PLAN!$B$3:$B$312,E1789,BD_PLAN!$C$3:$C$312,INDEX(BD_CICLO!$F$3:$F$54,MATCH(E1789&amp;"|"&amp;H1789,BD_CICLO!$G$3:$G$54,0))),""))</f>
        <v/>
      </c>
      <c r="L1789" s="9"/>
      <c r="M1789" s="9"/>
      <c r="N1789" s="1" t="str">
        <f aca="false">IF(C1789="","",C1789&amp;"|"&amp;COUNTIF(C$3:C1789,C1789))</f>
        <v/>
      </c>
      <c r="O1789" s="1" t="str">
        <f aca="false">IF(OR(C1789="",M1789=""),"",C1789&amp;"|"&amp;COUNTIFS(C$3:C1789,C1789,M$3:M1789,"&lt;&gt;"))</f>
        <v/>
      </c>
    </row>
    <row r="1790" customFormat="false" ht="15" hidden="false" customHeight="false" outlineLevel="0" collapsed="false">
      <c r="B1790" s="7"/>
      <c r="C1790" s="5"/>
      <c r="D1790" s="9" t="str">
        <f aca="false">IF(C1790="","",IFERROR(VLOOKUP(C1790,EQUIPOS!$B$3:$C$18,2,0),"NO EXISTE"))</f>
        <v/>
      </c>
      <c r="E1790" s="9" t="str">
        <f aca="false">IF(C1790="","",IFERROR(VLOOKUP(C1790,EQUIPOS!$B$3:$F$18,5,0),""))</f>
        <v/>
      </c>
      <c r="F1790" s="5" t="str">
        <f aca="false">IF(C1790="","",IFERROR(VLOOKUP(C1790,EQUIPOS!$B$3:$G$18,6,0),""))</f>
        <v/>
      </c>
      <c r="G1790" s="8"/>
      <c r="H1790" s="5"/>
      <c r="I1790" s="5"/>
      <c r="J1790" s="9"/>
      <c r="K1790" s="17" t="str">
        <f aca="false">IF(H1790="","",IFERROR(SUMIFS(BD_PLAN!$I$3:$I$312,BD_PLAN!$B$3:$B$312,E1790,BD_PLAN!$C$3:$C$312,INDEX(BD_CICLO!$F$3:$F$54,MATCH(E1790&amp;"|"&amp;H1790,BD_CICLO!$G$3:$G$54,0))),""))</f>
        <v/>
      </c>
      <c r="L1790" s="9"/>
      <c r="M1790" s="9"/>
      <c r="N1790" s="1" t="str">
        <f aca="false">IF(C1790="","",C1790&amp;"|"&amp;COUNTIF(C$3:C1790,C1790))</f>
        <v/>
      </c>
      <c r="O1790" s="1" t="str">
        <f aca="false">IF(OR(C1790="",M1790=""),"",C1790&amp;"|"&amp;COUNTIFS(C$3:C1790,C1790,M$3:M1790,"&lt;&gt;"))</f>
        <v/>
      </c>
    </row>
    <row r="1791" customFormat="false" ht="15" hidden="false" customHeight="false" outlineLevel="0" collapsed="false">
      <c r="B1791" s="7"/>
      <c r="C1791" s="5"/>
      <c r="D1791" s="9" t="str">
        <f aca="false">IF(C1791="","",IFERROR(VLOOKUP(C1791,EQUIPOS!$B$3:$C$18,2,0),"NO EXISTE"))</f>
        <v/>
      </c>
      <c r="E1791" s="9" t="str">
        <f aca="false">IF(C1791="","",IFERROR(VLOOKUP(C1791,EQUIPOS!$B$3:$F$18,5,0),""))</f>
        <v/>
      </c>
      <c r="F1791" s="5" t="str">
        <f aca="false">IF(C1791="","",IFERROR(VLOOKUP(C1791,EQUIPOS!$B$3:$G$18,6,0),""))</f>
        <v/>
      </c>
      <c r="G1791" s="8"/>
      <c r="H1791" s="5"/>
      <c r="I1791" s="5"/>
      <c r="J1791" s="9"/>
      <c r="K1791" s="17" t="str">
        <f aca="false">IF(H1791="","",IFERROR(SUMIFS(BD_PLAN!$I$3:$I$312,BD_PLAN!$B$3:$B$312,E1791,BD_PLAN!$C$3:$C$312,INDEX(BD_CICLO!$F$3:$F$54,MATCH(E1791&amp;"|"&amp;H1791,BD_CICLO!$G$3:$G$54,0))),""))</f>
        <v/>
      </c>
      <c r="L1791" s="9"/>
      <c r="M1791" s="9"/>
      <c r="N1791" s="1" t="str">
        <f aca="false">IF(C1791="","",C1791&amp;"|"&amp;COUNTIF(C$3:C1791,C1791))</f>
        <v/>
      </c>
      <c r="O1791" s="1" t="str">
        <f aca="false">IF(OR(C1791="",M1791=""),"",C1791&amp;"|"&amp;COUNTIFS(C$3:C1791,C1791,M$3:M1791,"&lt;&gt;"))</f>
        <v/>
      </c>
    </row>
    <row r="1792" customFormat="false" ht="15" hidden="false" customHeight="false" outlineLevel="0" collapsed="false">
      <c r="B1792" s="7"/>
      <c r="C1792" s="5"/>
      <c r="D1792" s="9" t="str">
        <f aca="false">IF(C1792="","",IFERROR(VLOOKUP(C1792,EQUIPOS!$B$3:$C$18,2,0),"NO EXISTE"))</f>
        <v/>
      </c>
      <c r="E1792" s="9" t="str">
        <f aca="false">IF(C1792="","",IFERROR(VLOOKUP(C1792,EQUIPOS!$B$3:$F$18,5,0),""))</f>
        <v/>
      </c>
      <c r="F1792" s="5" t="str">
        <f aca="false">IF(C1792="","",IFERROR(VLOOKUP(C1792,EQUIPOS!$B$3:$G$18,6,0),""))</f>
        <v/>
      </c>
      <c r="G1792" s="8"/>
      <c r="H1792" s="5"/>
      <c r="I1792" s="5"/>
      <c r="J1792" s="9"/>
      <c r="K1792" s="17" t="str">
        <f aca="false">IF(H1792="","",IFERROR(SUMIFS(BD_PLAN!$I$3:$I$312,BD_PLAN!$B$3:$B$312,E1792,BD_PLAN!$C$3:$C$312,INDEX(BD_CICLO!$F$3:$F$54,MATCH(E1792&amp;"|"&amp;H1792,BD_CICLO!$G$3:$G$54,0))),""))</f>
        <v/>
      </c>
      <c r="L1792" s="9"/>
      <c r="M1792" s="9"/>
      <c r="N1792" s="1" t="str">
        <f aca="false">IF(C1792="","",C1792&amp;"|"&amp;COUNTIF(C$3:C1792,C1792))</f>
        <v/>
      </c>
      <c r="O1792" s="1" t="str">
        <f aca="false">IF(OR(C1792="",M1792=""),"",C1792&amp;"|"&amp;COUNTIFS(C$3:C1792,C1792,M$3:M1792,"&lt;&gt;"))</f>
        <v/>
      </c>
    </row>
    <row r="1793" customFormat="false" ht="15" hidden="false" customHeight="false" outlineLevel="0" collapsed="false">
      <c r="B1793" s="7"/>
      <c r="C1793" s="5"/>
      <c r="D1793" s="9" t="str">
        <f aca="false">IF(C1793="","",IFERROR(VLOOKUP(C1793,EQUIPOS!$B$3:$C$18,2,0),"NO EXISTE"))</f>
        <v/>
      </c>
      <c r="E1793" s="9" t="str">
        <f aca="false">IF(C1793="","",IFERROR(VLOOKUP(C1793,EQUIPOS!$B$3:$F$18,5,0),""))</f>
        <v/>
      </c>
      <c r="F1793" s="5" t="str">
        <f aca="false">IF(C1793="","",IFERROR(VLOOKUP(C1793,EQUIPOS!$B$3:$G$18,6,0),""))</f>
        <v/>
      </c>
      <c r="G1793" s="8"/>
      <c r="H1793" s="5"/>
      <c r="I1793" s="5"/>
      <c r="J1793" s="9"/>
      <c r="K1793" s="17" t="str">
        <f aca="false">IF(H1793="","",IFERROR(SUMIFS(BD_PLAN!$I$3:$I$312,BD_PLAN!$B$3:$B$312,E1793,BD_PLAN!$C$3:$C$312,INDEX(BD_CICLO!$F$3:$F$54,MATCH(E1793&amp;"|"&amp;H1793,BD_CICLO!$G$3:$G$54,0))),""))</f>
        <v/>
      </c>
      <c r="L1793" s="9"/>
      <c r="M1793" s="9"/>
      <c r="N1793" s="1" t="str">
        <f aca="false">IF(C1793="","",C1793&amp;"|"&amp;COUNTIF(C$3:C1793,C1793))</f>
        <v/>
      </c>
      <c r="O1793" s="1" t="str">
        <f aca="false">IF(OR(C1793="",M1793=""),"",C1793&amp;"|"&amp;COUNTIFS(C$3:C1793,C1793,M$3:M1793,"&lt;&gt;"))</f>
        <v/>
      </c>
    </row>
    <row r="1794" customFormat="false" ht="15" hidden="false" customHeight="false" outlineLevel="0" collapsed="false">
      <c r="B1794" s="7"/>
      <c r="C1794" s="5"/>
      <c r="D1794" s="9" t="str">
        <f aca="false">IF(C1794="","",IFERROR(VLOOKUP(C1794,EQUIPOS!$B$3:$C$18,2,0),"NO EXISTE"))</f>
        <v/>
      </c>
      <c r="E1794" s="9" t="str">
        <f aca="false">IF(C1794="","",IFERROR(VLOOKUP(C1794,EQUIPOS!$B$3:$F$18,5,0),""))</f>
        <v/>
      </c>
      <c r="F1794" s="5" t="str">
        <f aca="false">IF(C1794="","",IFERROR(VLOOKUP(C1794,EQUIPOS!$B$3:$G$18,6,0),""))</f>
        <v/>
      </c>
      <c r="G1794" s="8"/>
      <c r="H1794" s="5"/>
      <c r="I1794" s="5"/>
      <c r="J1794" s="9"/>
      <c r="K1794" s="17" t="str">
        <f aca="false">IF(H1794="","",IFERROR(SUMIFS(BD_PLAN!$I$3:$I$312,BD_PLAN!$B$3:$B$312,E1794,BD_PLAN!$C$3:$C$312,INDEX(BD_CICLO!$F$3:$F$54,MATCH(E1794&amp;"|"&amp;H1794,BD_CICLO!$G$3:$G$54,0))),""))</f>
        <v/>
      </c>
      <c r="L1794" s="9"/>
      <c r="M1794" s="9"/>
      <c r="N1794" s="1" t="str">
        <f aca="false">IF(C1794="","",C1794&amp;"|"&amp;COUNTIF(C$3:C1794,C1794))</f>
        <v/>
      </c>
      <c r="O1794" s="1" t="str">
        <f aca="false">IF(OR(C1794="",M1794=""),"",C1794&amp;"|"&amp;COUNTIFS(C$3:C1794,C1794,M$3:M1794,"&lt;&gt;"))</f>
        <v/>
      </c>
    </row>
    <row r="1795" customFormat="false" ht="15" hidden="false" customHeight="false" outlineLevel="0" collapsed="false">
      <c r="B1795" s="7"/>
      <c r="C1795" s="5"/>
      <c r="D1795" s="9" t="str">
        <f aca="false">IF(C1795="","",IFERROR(VLOOKUP(C1795,EQUIPOS!$B$3:$C$18,2,0),"NO EXISTE"))</f>
        <v/>
      </c>
      <c r="E1795" s="9" t="str">
        <f aca="false">IF(C1795="","",IFERROR(VLOOKUP(C1795,EQUIPOS!$B$3:$F$18,5,0),""))</f>
        <v/>
      </c>
      <c r="F1795" s="5" t="str">
        <f aca="false">IF(C1795="","",IFERROR(VLOOKUP(C1795,EQUIPOS!$B$3:$G$18,6,0),""))</f>
        <v/>
      </c>
      <c r="G1795" s="8"/>
      <c r="H1795" s="5"/>
      <c r="I1795" s="5"/>
      <c r="J1795" s="9"/>
      <c r="K1795" s="17" t="str">
        <f aca="false">IF(H1795="","",IFERROR(SUMIFS(BD_PLAN!$I$3:$I$312,BD_PLAN!$B$3:$B$312,E1795,BD_PLAN!$C$3:$C$312,INDEX(BD_CICLO!$F$3:$F$54,MATCH(E1795&amp;"|"&amp;H1795,BD_CICLO!$G$3:$G$54,0))),""))</f>
        <v/>
      </c>
      <c r="L1795" s="9"/>
      <c r="M1795" s="9"/>
      <c r="N1795" s="1" t="str">
        <f aca="false">IF(C1795="","",C1795&amp;"|"&amp;COUNTIF(C$3:C1795,C1795))</f>
        <v/>
      </c>
      <c r="O1795" s="1" t="str">
        <f aca="false">IF(OR(C1795="",M1795=""),"",C1795&amp;"|"&amp;COUNTIFS(C$3:C1795,C1795,M$3:M1795,"&lt;&gt;"))</f>
        <v/>
      </c>
    </row>
    <row r="1796" customFormat="false" ht="15" hidden="false" customHeight="false" outlineLevel="0" collapsed="false">
      <c r="B1796" s="7"/>
      <c r="C1796" s="5"/>
      <c r="D1796" s="9" t="str">
        <f aca="false">IF(C1796="","",IFERROR(VLOOKUP(C1796,EQUIPOS!$B$3:$C$18,2,0),"NO EXISTE"))</f>
        <v/>
      </c>
      <c r="E1796" s="9" t="str">
        <f aca="false">IF(C1796="","",IFERROR(VLOOKUP(C1796,EQUIPOS!$B$3:$F$18,5,0),""))</f>
        <v/>
      </c>
      <c r="F1796" s="5" t="str">
        <f aca="false">IF(C1796="","",IFERROR(VLOOKUP(C1796,EQUIPOS!$B$3:$G$18,6,0),""))</f>
        <v/>
      </c>
      <c r="G1796" s="8"/>
      <c r="H1796" s="5"/>
      <c r="I1796" s="5"/>
      <c r="J1796" s="9"/>
      <c r="K1796" s="17" t="str">
        <f aca="false">IF(H1796="","",IFERROR(SUMIFS(BD_PLAN!$I$3:$I$312,BD_PLAN!$B$3:$B$312,E1796,BD_PLAN!$C$3:$C$312,INDEX(BD_CICLO!$F$3:$F$54,MATCH(E1796&amp;"|"&amp;H1796,BD_CICLO!$G$3:$G$54,0))),""))</f>
        <v/>
      </c>
      <c r="L1796" s="9"/>
      <c r="M1796" s="9"/>
      <c r="N1796" s="1" t="str">
        <f aca="false">IF(C1796="","",C1796&amp;"|"&amp;COUNTIF(C$3:C1796,C1796))</f>
        <v/>
      </c>
      <c r="O1796" s="1" t="str">
        <f aca="false">IF(OR(C1796="",M1796=""),"",C1796&amp;"|"&amp;COUNTIFS(C$3:C1796,C1796,M$3:M1796,"&lt;&gt;"))</f>
        <v/>
      </c>
    </row>
    <row r="1797" customFormat="false" ht="15" hidden="false" customHeight="false" outlineLevel="0" collapsed="false">
      <c r="B1797" s="7"/>
      <c r="C1797" s="5"/>
      <c r="D1797" s="9" t="str">
        <f aca="false">IF(C1797="","",IFERROR(VLOOKUP(C1797,EQUIPOS!$B$3:$C$18,2,0),"NO EXISTE"))</f>
        <v/>
      </c>
      <c r="E1797" s="9" t="str">
        <f aca="false">IF(C1797="","",IFERROR(VLOOKUP(C1797,EQUIPOS!$B$3:$F$18,5,0),""))</f>
        <v/>
      </c>
      <c r="F1797" s="5" t="str">
        <f aca="false">IF(C1797="","",IFERROR(VLOOKUP(C1797,EQUIPOS!$B$3:$G$18,6,0),""))</f>
        <v/>
      </c>
      <c r="G1797" s="8"/>
      <c r="H1797" s="5"/>
      <c r="I1797" s="5"/>
      <c r="J1797" s="9"/>
      <c r="K1797" s="17" t="str">
        <f aca="false">IF(H1797="","",IFERROR(SUMIFS(BD_PLAN!$I$3:$I$312,BD_PLAN!$B$3:$B$312,E1797,BD_PLAN!$C$3:$C$312,INDEX(BD_CICLO!$F$3:$F$54,MATCH(E1797&amp;"|"&amp;H1797,BD_CICLO!$G$3:$G$54,0))),""))</f>
        <v/>
      </c>
      <c r="L1797" s="9"/>
      <c r="M1797" s="9"/>
      <c r="N1797" s="1" t="str">
        <f aca="false">IF(C1797="","",C1797&amp;"|"&amp;COUNTIF(C$3:C1797,C1797))</f>
        <v/>
      </c>
      <c r="O1797" s="1" t="str">
        <f aca="false">IF(OR(C1797="",M1797=""),"",C1797&amp;"|"&amp;COUNTIFS(C$3:C1797,C1797,M$3:M1797,"&lt;&gt;"))</f>
        <v/>
      </c>
    </row>
    <row r="1798" customFormat="false" ht="15" hidden="false" customHeight="false" outlineLevel="0" collapsed="false">
      <c r="B1798" s="7"/>
      <c r="C1798" s="5"/>
      <c r="D1798" s="9" t="str">
        <f aca="false">IF(C1798="","",IFERROR(VLOOKUP(C1798,EQUIPOS!$B$3:$C$18,2,0),"NO EXISTE"))</f>
        <v/>
      </c>
      <c r="E1798" s="9" t="str">
        <f aca="false">IF(C1798="","",IFERROR(VLOOKUP(C1798,EQUIPOS!$B$3:$F$18,5,0),""))</f>
        <v/>
      </c>
      <c r="F1798" s="5" t="str">
        <f aca="false">IF(C1798="","",IFERROR(VLOOKUP(C1798,EQUIPOS!$B$3:$G$18,6,0),""))</f>
        <v/>
      </c>
      <c r="G1798" s="8"/>
      <c r="H1798" s="5"/>
      <c r="I1798" s="5"/>
      <c r="J1798" s="9"/>
      <c r="K1798" s="17" t="str">
        <f aca="false">IF(H1798="","",IFERROR(SUMIFS(BD_PLAN!$I$3:$I$312,BD_PLAN!$B$3:$B$312,E1798,BD_PLAN!$C$3:$C$312,INDEX(BD_CICLO!$F$3:$F$54,MATCH(E1798&amp;"|"&amp;H1798,BD_CICLO!$G$3:$G$54,0))),""))</f>
        <v/>
      </c>
      <c r="L1798" s="9"/>
      <c r="M1798" s="9"/>
      <c r="N1798" s="1" t="str">
        <f aca="false">IF(C1798="","",C1798&amp;"|"&amp;COUNTIF(C$3:C1798,C1798))</f>
        <v/>
      </c>
      <c r="O1798" s="1" t="str">
        <f aca="false">IF(OR(C1798="",M1798=""),"",C1798&amp;"|"&amp;COUNTIFS(C$3:C1798,C1798,M$3:M1798,"&lt;&gt;"))</f>
        <v/>
      </c>
    </row>
    <row r="1799" customFormat="false" ht="15" hidden="false" customHeight="false" outlineLevel="0" collapsed="false">
      <c r="B1799" s="7"/>
      <c r="C1799" s="5"/>
      <c r="D1799" s="9" t="str">
        <f aca="false">IF(C1799="","",IFERROR(VLOOKUP(C1799,EQUIPOS!$B$3:$C$18,2,0),"NO EXISTE"))</f>
        <v/>
      </c>
      <c r="E1799" s="9" t="str">
        <f aca="false">IF(C1799="","",IFERROR(VLOOKUP(C1799,EQUIPOS!$B$3:$F$18,5,0),""))</f>
        <v/>
      </c>
      <c r="F1799" s="5" t="str">
        <f aca="false">IF(C1799="","",IFERROR(VLOOKUP(C1799,EQUIPOS!$B$3:$G$18,6,0),""))</f>
        <v/>
      </c>
      <c r="G1799" s="8"/>
      <c r="H1799" s="5"/>
      <c r="I1799" s="5"/>
      <c r="J1799" s="9"/>
      <c r="K1799" s="17" t="str">
        <f aca="false">IF(H1799="","",IFERROR(SUMIFS(BD_PLAN!$I$3:$I$312,BD_PLAN!$B$3:$B$312,E1799,BD_PLAN!$C$3:$C$312,INDEX(BD_CICLO!$F$3:$F$54,MATCH(E1799&amp;"|"&amp;H1799,BD_CICLO!$G$3:$G$54,0))),""))</f>
        <v/>
      </c>
      <c r="L1799" s="9"/>
      <c r="M1799" s="9"/>
      <c r="N1799" s="1" t="str">
        <f aca="false">IF(C1799="","",C1799&amp;"|"&amp;COUNTIF(C$3:C1799,C1799))</f>
        <v/>
      </c>
      <c r="O1799" s="1" t="str">
        <f aca="false">IF(OR(C1799="",M1799=""),"",C1799&amp;"|"&amp;COUNTIFS(C$3:C1799,C1799,M$3:M1799,"&lt;&gt;"))</f>
        <v/>
      </c>
    </row>
    <row r="1800" customFormat="false" ht="15" hidden="false" customHeight="false" outlineLevel="0" collapsed="false">
      <c r="B1800" s="7"/>
      <c r="C1800" s="5"/>
      <c r="D1800" s="9" t="str">
        <f aca="false">IF(C1800="","",IFERROR(VLOOKUP(C1800,EQUIPOS!$B$3:$C$18,2,0),"NO EXISTE"))</f>
        <v/>
      </c>
      <c r="E1800" s="9" t="str">
        <f aca="false">IF(C1800="","",IFERROR(VLOOKUP(C1800,EQUIPOS!$B$3:$F$18,5,0),""))</f>
        <v/>
      </c>
      <c r="F1800" s="5" t="str">
        <f aca="false">IF(C1800="","",IFERROR(VLOOKUP(C1800,EQUIPOS!$B$3:$G$18,6,0),""))</f>
        <v/>
      </c>
      <c r="G1800" s="8"/>
      <c r="H1800" s="5"/>
      <c r="I1800" s="5"/>
      <c r="J1800" s="9"/>
      <c r="K1800" s="17" t="str">
        <f aca="false">IF(H1800="","",IFERROR(SUMIFS(BD_PLAN!$I$3:$I$312,BD_PLAN!$B$3:$B$312,E1800,BD_PLAN!$C$3:$C$312,INDEX(BD_CICLO!$F$3:$F$54,MATCH(E1800&amp;"|"&amp;H1800,BD_CICLO!$G$3:$G$54,0))),""))</f>
        <v/>
      </c>
      <c r="L1800" s="9"/>
      <c r="M1800" s="9"/>
      <c r="N1800" s="1" t="str">
        <f aca="false">IF(C1800="","",C1800&amp;"|"&amp;COUNTIF(C$3:C1800,C1800))</f>
        <v/>
      </c>
      <c r="O1800" s="1" t="str">
        <f aca="false">IF(OR(C1800="",M1800=""),"",C1800&amp;"|"&amp;COUNTIFS(C$3:C1800,C1800,M$3:M1800,"&lt;&gt;"))</f>
        <v/>
      </c>
    </row>
    <row r="1801" customFormat="false" ht="15" hidden="false" customHeight="false" outlineLevel="0" collapsed="false">
      <c r="B1801" s="7"/>
      <c r="C1801" s="5"/>
      <c r="D1801" s="9" t="str">
        <f aca="false">IF(C1801="","",IFERROR(VLOOKUP(C1801,EQUIPOS!$B$3:$C$18,2,0),"NO EXISTE"))</f>
        <v/>
      </c>
      <c r="E1801" s="9" t="str">
        <f aca="false">IF(C1801="","",IFERROR(VLOOKUP(C1801,EQUIPOS!$B$3:$F$18,5,0),""))</f>
        <v/>
      </c>
      <c r="F1801" s="5" t="str">
        <f aca="false">IF(C1801="","",IFERROR(VLOOKUP(C1801,EQUIPOS!$B$3:$G$18,6,0),""))</f>
        <v/>
      </c>
      <c r="G1801" s="8"/>
      <c r="H1801" s="5"/>
      <c r="I1801" s="5"/>
      <c r="J1801" s="9"/>
      <c r="K1801" s="17" t="str">
        <f aca="false">IF(H1801="","",IFERROR(SUMIFS(BD_PLAN!$I$3:$I$312,BD_PLAN!$B$3:$B$312,E1801,BD_PLAN!$C$3:$C$312,INDEX(BD_CICLO!$F$3:$F$54,MATCH(E1801&amp;"|"&amp;H1801,BD_CICLO!$G$3:$G$54,0))),""))</f>
        <v/>
      </c>
      <c r="L1801" s="9"/>
      <c r="M1801" s="9"/>
      <c r="N1801" s="1" t="str">
        <f aca="false">IF(C1801="","",C1801&amp;"|"&amp;COUNTIF(C$3:C1801,C1801))</f>
        <v/>
      </c>
      <c r="O1801" s="1" t="str">
        <f aca="false">IF(OR(C1801="",M1801=""),"",C1801&amp;"|"&amp;COUNTIFS(C$3:C1801,C1801,M$3:M1801,"&lt;&gt;"))</f>
        <v/>
      </c>
    </row>
    <row r="1802" customFormat="false" ht="15" hidden="false" customHeight="false" outlineLevel="0" collapsed="false">
      <c r="B1802" s="7"/>
      <c r="C1802" s="5"/>
      <c r="D1802" s="9" t="str">
        <f aca="false">IF(C1802="","",IFERROR(VLOOKUP(C1802,EQUIPOS!$B$3:$C$18,2,0),"NO EXISTE"))</f>
        <v/>
      </c>
      <c r="E1802" s="9" t="str">
        <f aca="false">IF(C1802="","",IFERROR(VLOOKUP(C1802,EQUIPOS!$B$3:$F$18,5,0),""))</f>
        <v/>
      </c>
      <c r="F1802" s="5" t="str">
        <f aca="false">IF(C1802="","",IFERROR(VLOOKUP(C1802,EQUIPOS!$B$3:$G$18,6,0),""))</f>
        <v/>
      </c>
      <c r="G1802" s="8"/>
      <c r="H1802" s="5"/>
      <c r="I1802" s="5"/>
      <c r="J1802" s="9"/>
      <c r="K1802" s="17" t="str">
        <f aca="false">IF(H1802="","",IFERROR(SUMIFS(BD_PLAN!$I$3:$I$312,BD_PLAN!$B$3:$B$312,E1802,BD_PLAN!$C$3:$C$312,INDEX(BD_CICLO!$F$3:$F$54,MATCH(E1802&amp;"|"&amp;H1802,BD_CICLO!$G$3:$G$54,0))),""))</f>
        <v/>
      </c>
      <c r="L1802" s="9"/>
      <c r="M1802" s="9"/>
      <c r="N1802" s="1" t="str">
        <f aca="false">IF(C1802="","",C1802&amp;"|"&amp;COUNTIF(C$3:C1802,C1802))</f>
        <v/>
      </c>
      <c r="O1802" s="1" t="str">
        <f aca="false">IF(OR(C1802="",M1802=""),"",C1802&amp;"|"&amp;COUNTIFS(C$3:C1802,C1802,M$3:M1802,"&lt;&gt;"))</f>
        <v/>
      </c>
    </row>
    <row r="1803" customFormat="false" ht="15" hidden="false" customHeight="false" outlineLevel="0" collapsed="false">
      <c r="B1803" s="7"/>
      <c r="C1803" s="5"/>
      <c r="D1803" s="9" t="str">
        <f aca="false">IF(C1803="","",IFERROR(VLOOKUP(C1803,EQUIPOS!$B$3:$C$18,2,0),"NO EXISTE"))</f>
        <v/>
      </c>
      <c r="E1803" s="9" t="str">
        <f aca="false">IF(C1803="","",IFERROR(VLOOKUP(C1803,EQUIPOS!$B$3:$F$18,5,0),""))</f>
        <v/>
      </c>
      <c r="F1803" s="5" t="str">
        <f aca="false">IF(C1803="","",IFERROR(VLOOKUP(C1803,EQUIPOS!$B$3:$G$18,6,0),""))</f>
        <v/>
      </c>
      <c r="G1803" s="8"/>
      <c r="H1803" s="5"/>
      <c r="I1803" s="5"/>
      <c r="J1803" s="9"/>
      <c r="K1803" s="17" t="str">
        <f aca="false">IF(H1803="","",IFERROR(SUMIFS(BD_PLAN!$I$3:$I$312,BD_PLAN!$B$3:$B$312,E1803,BD_PLAN!$C$3:$C$312,INDEX(BD_CICLO!$F$3:$F$54,MATCH(E1803&amp;"|"&amp;H1803,BD_CICLO!$G$3:$G$54,0))),""))</f>
        <v/>
      </c>
      <c r="L1803" s="9"/>
      <c r="M1803" s="9"/>
      <c r="N1803" s="1" t="str">
        <f aca="false">IF(C1803="","",C1803&amp;"|"&amp;COUNTIF(C$3:C1803,C1803))</f>
        <v/>
      </c>
      <c r="O1803" s="1" t="str">
        <f aca="false">IF(OR(C1803="",M1803=""),"",C1803&amp;"|"&amp;COUNTIFS(C$3:C1803,C1803,M$3:M1803,"&lt;&gt;"))</f>
        <v/>
      </c>
    </row>
    <row r="1804" customFormat="false" ht="15" hidden="false" customHeight="false" outlineLevel="0" collapsed="false">
      <c r="B1804" s="7"/>
      <c r="C1804" s="5"/>
      <c r="D1804" s="9" t="str">
        <f aca="false">IF(C1804="","",IFERROR(VLOOKUP(C1804,EQUIPOS!$B$3:$C$18,2,0),"NO EXISTE"))</f>
        <v/>
      </c>
      <c r="E1804" s="9" t="str">
        <f aca="false">IF(C1804="","",IFERROR(VLOOKUP(C1804,EQUIPOS!$B$3:$F$18,5,0),""))</f>
        <v/>
      </c>
      <c r="F1804" s="5" t="str">
        <f aca="false">IF(C1804="","",IFERROR(VLOOKUP(C1804,EQUIPOS!$B$3:$G$18,6,0),""))</f>
        <v/>
      </c>
      <c r="G1804" s="8"/>
      <c r="H1804" s="5"/>
      <c r="I1804" s="5"/>
      <c r="J1804" s="9"/>
      <c r="K1804" s="17" t="str">
        <f aca="false">IF(H1804="","",IFERROR(SUMIFS(BD_PLAN!$I$3:$I$312,BD_PLAN!$B$3:$B$312,E1804,BD_PLAN!$C$3:$C$312,INDEX(BD_CICLO!$F$3:$F$54,MATCH(E1804&amp;"|"&amp;H1804,BD_CICLO!$G$3:$G$54,0))),""))</f>
        <v/>
      </c>
      <c r="L1804" s="9"/>
      <c r="M1804" s="9"/>
      <c r="N1804" s="1" t="str">
        <f aca="false">IF(C1804="","",C1804&amp;"|"&amp;COUNTIF(C$3:C1804,C1804))</f>
        <v/>
      </c>
      <c r="O1804" s="1" t="str">
        <f aca="false">IF(OR(C1804="",M1804=""),"",C1804&amp;"|"&amp;COUNTIFS(C$3:C1804,C1804,M$3:M1804,"&lt;&gt;"))</f>
        <v/>
      </c>
    </row>
    <row r="1805" customFormat="false" ht="15" hidden="false" customHeight="false" outlineLevel="0" collapsed="false">
      <c r="B1805" s="7"/>
      <c r="C1805" s="5"/>
      <c r="D1805" s="9" t="str">
        <f aca="false">IF(C1805="","",IFERROR(VLOOKUP(C1805,EQUIPOS!$B$3:$C$18,2,0),"NO EXISTE"))</f>
        <v/>
      </c>
      <c r="E1805" s="9" t="str">
        <f aca="false">IF(C1805="","",IFERROR(VLOOKUP(C1805,EQUIPOS!$B$3:$F$18,5,0),""))</f>
        <v/>
      </c>
      <c r="F1805" s="5" t="str">
        <f aca="false">IF(C1805="","",IFERROR(VLOOKUP(C1805,EQUIPOS!$B$3:$G$18,6,0),""))</f>
        <v/>
      </c>
      <c r="G1805" s="8"/>
      <c r="H1805" s="5"/>
      <c r="I1805" s="5"/>
      <c r="J1805" s="9"/>
      <c r="K1805" s="17" t="str">
        <f aca="false">IF(H1805="","",IFERROR(SUMIFS(BD_PLAN!$I$3:$I$312,BD_PLAN!$B$3:$B$312,E1805,BD_PLAN!$C$3:$C$312,INDEX(BD_CICLO!$F$3:$F$54,MATCH(E1805&amp;"|"&amp;H1805,BD_CICLO!$G$3:$G$54,0))),""))</f>
        <v/>
      </c>
      <c r="L1805" s="9"/>
      <c r="M1805" s="9"/>
      <c r="N1805" s="1" t="str">
        <f aca="false">IF(C1805="","",C1805&amp;"|"&amp;COUNTIF(C$3:C1805,C1805))</f>
        <v/>
      </c>
      <c r="O1805" s="1" t="str">
        <f aca="false">IF(OR(C1805="",M1805=""),"",C1805&amp;"|"&amp;COUNTIFS(C$3:C1805,C1805,M$3:M1805,"&lt;&gt;"))</f>
        <v/>
      </c>
    </row>
    <row r="1806" customFormat="false" ht="15" hidden="false" customHeight="false" outlineLevel="0" collapsed="false">
      <c r="B1806" s="7"/>
      <c r="C1806" s="5"/>
      <c r="D1806" s="9" t="str">
        <f aca="false">IF(C1806="","",IFERROR(VLOOKUP(C1806,EQUIPOS!$B$3:$C$18,2,0),"NO EXISTE"))</f>
        <v/>
      </c>
      <c r="E1806" s="9" t="str">
        <f aca="false">IF(C1806="","",IFERROR(VLOOKUP(C1806,EQUIPOS!$B$3:$F$18,5,0),""))</f>
        <v/>
      </c>
      <c r="F1806" s="5" t="str">
        <f aca="false">IF(C1806="","",IFERROR(VLOOKUP(C1806,EQUIPOS!$B$3:$G$18,6,0),""))</f>
        <v/>
      </c>
      <c r="G1806" s="8"/>
      <c r="H1806" s="5"/>
      <c r="I1806" s="5"/>
      <c r="J1806" s="9"/>
      <c r="K1806" s="17" t="str">
        <f aca="false">IF(H1806="","",IFERROR(SUMIFS(BD_PLAN!$I$3:$I$312,BD_PLAN!$B$3:$B$312,E1806,BD_PLAN!$C$3:$C$312,INDEX(BD_CICLO!$F$3:$F$54,MATCH(E1806&amp;"|"&amp;H1806,BD_CICLO!$G$3:$G$54,0))),""))</f>
        <v/>
      </c>
      <c r="L1806" s="9"/>
      <c r="M1806" s="9"/>
      <c r="N1806" s="1" t="str">
        <f aca="false">IF(C1806="","",C1806&amp;"|"&amp;COUNTIF(C$3:C1806,C1806))</f>
        <v/>
      </c>
      <c r="O1806" s="1" t="str">
        <f aca="false">IF(OR(C1806="",M1806=""),"",C1806&amp;"|"&amp;COUNTIFS(C$3:C1806,C1806,M$3:M1806,"&lt;&gt;"))</f>
        <v/>
      </c>
    </row>
    <row r="1807" customFormat="false" ht="15" hidden="false" customHeight="false" outlineLevel="0" collapsed="false">
      <c r="B1807" s="7"/>
      <c r="C1807" s="5"/>
      <c r="D1807" s="9" t="str">
        <f aca="false">IF(C1807="","",IFERROR(VLOOKUP(C1807,EQUIPOS!$B$3:$C$18,2,0),"NO EXISTE"))</f>
        <v/>
      </c>
      <c r="E1807" s="9" t="str">
        <f aca="false">IF(C1807="","",IFERROR(VLOOKUP(C1807,EQUIPOS!$B$3:$F$18,5,0),""))</f>
        <v/>
      </c>
      <c r="F1807" s="5" t="str">
        <f aca="false">IF(C1807="","",IFERROR(VLOOKUP(C1807,EQUIPOS!$B$3:$G$18,6,0),""))</f>
        <v/>
      </c>
      <c r="G1807" s="8"/>
      <c r="H1807" s="5"/>
      <c r="I1807" s="5"/>
      <c r="J1807" s="9"/>
      <c r="K1807" s="17" t="str">
        <f aca="false">IF(H1807="","",IFERROR(SUMIFS(BD_PLAN!$I$3:$I$312,BD_PLAN!$B$3:$B$312,E1807,BD_PLAN!$C$3:$C$312,INDEX(BD_CICLO!$F$3:$F$54,MATCH(E1807&amp;"|"&amp;H1807,BD_CICLO!$G$3:$G$54,0))),""))</f>
        <v/>
      </c>
      <c r="L1807" s="9"/>
      <c r="M1807" s="9"/>
      <c r="N1807" s="1" t="str">
        <f aca="false">IF(C1807="","",C1807&amp;"|"&amp;COUNTIF(C$3:C1807,C1807))</f>
        <v/>
      </c>
      <c r="O1807" s="1" t="str">
        <f aca="false">IF(OR(C1807="",M1807=""),"",C1807&amp;"|"&amp;COUNTIFS(C$3:C1807,C1807,M$3:M1807,"&lt;&gt;"))</f>
        <v/>
      </c>
    </row>
    <row r="1808" customFormat="false" ht="15" hidden="false" customHeight="false" outlineLevel="0" collapsed="false">
      <c r="B1808" s="7"/>
      <c r="C1808" s="5"/>
      <c r="D1808" s="9" t="str">
        <f aca="false">IF(C1808="","",IFERROR(VLOOKUP(C1808,EQUIPOS!$B$3:$C$18,2,0),"NO EXISTE"))</f>
        <v/>
      </c>
      <c r="E1808" s="9" t="str">
        <f aca="false">IF(C1808="","",IFERROR(VLOOKUP(C1808,EQUIPOS!$B$3:$F$18,5,0),""))</f>
        <v/>
      </c>
      <c r="F1808" s="5" t="str">
        <f aca="false">IF(C1808="","",IFERROR(VLOOKUP(C1808,EQUIPOS!$B$3:$G$18,6,0),""))</f>
        <v/>
      </c>
      <c r="G1808" s="8"/>
      <c r="H1808" s="5"/>
      <c r="I1808" s="5"/>
      <c r="J1808" s="9"/>
      <c r="K1808" s="17" t="str">
        <f aca="false">IF(H1808="","",IFERROR(SUMIFS(BD_PLAN!$I$3:$I$312,BD_PLAN!$B$3:$B$312,E1808,BD_PLAN!$C$3:$C$312,INDEX(BD_CICLO!$F$3:$F$54,MATCH(E1808&amp;"|"&amp;H1808,BD_CICLO!$G$3:$G$54,0))),""))</f>
        <v/>
      </c>
      <c r="L1808" s="9"/>
      <c r="M1808" s="9"/>
      <c r="N1808" s="1" t="str">
        <f aca="false">IF(C1808="","",C1808&amp;"|"&amp;COUNTIF(C$3:C1808,C1808))</f>
        <v/>
      </c>
      <c r="O1808" s="1" t="str">
        <f aca="false">IF(OR(C1808="",M1808=""),"",C1808&amp;"|"&amp;COUNTIFS(C$3:C1808,C1808,M$3:M1808,"&lt;&gt;"))</f>
        <v/>
      </c>
    </row>
    <row r="1809" customFormat="false" ht="15" hidden="false" customHeight="false" outlineLevel="0" collapsed="false">
      <c r="B1809" s="7"/>
      <c r="C1809" s="5"/>
      <c r="D1809" s="9" t="str">
        <f aca="false">IF(C1809="","",IFERROR(VLOOKUP(C1809,EQUIPOS!$B$3:$C$18,2,0),"NO EXISTE"))</f>
        <v/>
      </c>
      <c r="E1809" s="9" t="str">
        <f aca="false">IF(C1809="","",IFERROR(VLOOKUP(C1809,EQUIPOS!$B$3:$F$18,5,0),""))</f>
        <v/>
      </c>
      <c r="F1809" s="5" t="str">
        <f aca="false">IF(C1809="","",IFERROR(VLOOKUP(C1809,EQUIPOS!$B$3:$G$18,6,0),""))</f>
        <v/>
      </c>
      <c r="G1809" s="8"/>
      <c r="H1809" s="5"/>
      <c r="I1809" s="5"/>
      <c r="J1809" s="9"/>
      <c r="K1809" s="17" t="str">
        <f aca="false">IF(H1809="","",IFERROR(SUMIFS(BD_PLAN!$I$3:$I$312,BD_PLAN!$B$3:$B$312,E1809,BD_PLAN!$C$3:$C$312,INDEX(BD_CICLO!$F$3:$F$54,MATCH(E1809&amp;"|"&amp;H1809,BD_CICLO!$G$3:$G$54,0))),""))</f>
        <v/>
      </c>
      <c r="L1809" s="9"/>
      <c r="M1809" s="9"/>
      <c r="N1809" s="1" t="str">
        <f aca="false">IF(C1809="","",C1809&amp;"|"&amp;COUNTIF(C$3:C1809,C1809))</f>
        <v/>
      </c>
      <c r="O1809" s="1" t="str">
        <f aca="false">IF(OR(C1809="",M1809=""),"",C1809&amp;"|"&amp;COUNTIFS(C$3:C1809,C1809,M$3:M1809,"&lt;&gt;"))</f>
        <v/>
      </c>
    </row>
    <row r="1810" customFormat="false" ht="15" hidden="false" customHeight="false" outlineLevel="0" collapsed="false">
      <c r="B1810" s="7"/>
      <c r="C1810" s="5"/>
      <c r="D1810" s="9" t="str">
        <f aca="false">IF(C1810="","",IFERROR(VLOOKUP(C1810,EQUIPOS!$B$3:$C$18,2,0),"NO EXISTE"))</f>
        <v/>
      </c>
      <c r="E1810" s="9" t="str">
        <f aca="false">IF(C1810="","",IFERROR(VLOOKUP(C1810,EQUIPOS!$B$3:$F$18,5,0),""))</f>
        <v/>
      </c>
      <c r="F1810" s="5" t="str">
        <f aca="false">IF(C1810="","",IFERROR(VLOOKUP(C1810,EQUIPOS!$B$3:$G$18,6,0),""))</f>
        <v/>
      </c>
      <c r="G1810" s="8"/>
      <c r="H1810" s="5"/>
      <c r="I1810" s="5"/>
      <c r="J1810" s="9"/>
      <c r="K1810" s="17" t="str">
        <f aca="false">IF(H1810="","",IFERROR(SUMIFS(BD_PLAN!$I$3:$I$312,BD_PLAN!$B$3:$B$312,E1810,BD_PLAN!$C$3:$C$312,INDEX(BD_CICLO!$F$3:$F$54,MATCH(E1810&amp;"|"&amp;H1810,BD_CICLO!$G$3:$G$54,0))),""))</f>
        <v/>
      </c>
      <c r="L1810" s="9"/>
      <c r="M1810" s="9"/>
      <c r="N1810" s="1" t="str">
        <f aca="false">IF(C1810="","",C1810&amp;"|"&amp;COUNTIF(C$3:C1810,C1810))</f>
        <v/>
      </c>
      <c r="O1810" s="1" t="str">
        <f aca="false">IF(OR(C1810="",M1810=""),"",C1810&amp;"|"&amp;COUNTIFS(C$3:C1810,C1810,M$3:M1810,"&lt;&gt;"))</f>
        <v/>
      </c>
    </row>
    <row r="1811" customFormat="false" ht="15" hidden="false" customHeight="false" outlineLevel="0" collapsed="false">
      <c r="B1811" s="7"/>
      <c r="C1811" s="5"/>
      <c r="D1811" s="9" t="str">
        <f aca="false">IF(C1811="","",IFERROR(VLOOKUP(C1811,EQUIPOS!$B$3:$C$18,2,0),"NO EXISTE"))</f>
        <v/>
      </c>
      <c r="E1811" s="9" t="str">
        <f aca="false">IF(C1811="","",IFERROR(VLOOKUP(C1811,EQUIPOS!$B$3:$F$18,5,0),""))</f>
        <v/>
      </c>
      <c r="F1811" s="5" t="str">
        <f aca="false">IF(C1811="","",IFERROR(VLOOKUP(C1811,EQUIPOS!$B$3:$G$18,6,0),""))</f>
        <v/>
      </c>
      <c r="G1811" s="8"/>
      <c r="H1811" s="5"/>
      <c r="I1811" s="5"/>
      <c r="J1811" s="9"/>
      <c r="K1811" s="17" t="str">
        <f aca="false">IF(H1811="","",IFERROR(SUMIFS(BD_PLAN!$I$3:$I$312,BD_PLAN!$B$3:$B$312,E1811,BD_PLAN!$C$3:$C$312,INDEX(BD_CICLO!$F$3:$F$54,MATCH(E1811&amp;"|"&amp;H1811,BD_CICLO!$G$3:$G$54,0))),""))</f>
        <v/>
      </c>
      <c r="L1811" s="9"/>
      <c r="M1811" s="9"/>
      <c r="N1811" s="1" t="str">
        <f aca="false">IF(C1811="","",C1811&amp;"|"&amp;COUNTIF(C$3:C1811,C1811))</f>
        <v/>
      </c>
      <c r="O1811" s="1" t="str">
        <f aca="false">IF(OR(C1811="",M1811=""),"",C1811&amp;"|"&amp;COUNTIFS(C$3:C1811,C1811,M$3:M1811,"&lt;&gt;"))</f>
        <v/>
      </c>
    </row>
    <row r="1812" customFormat="false" ht="15" hidden="false" customHeight="false" outlineLevel="0" collapsed="false">
      <c r="B1812" s="7"/>
      <c r="C1812" s="5"/>
      <c r="D1812" s="9" t="str">
        <f aca="false">IF(C1812="","",IFERROR(VLOOKUP(C1812,EQUIPOS!$B$3:$C$18,2,0),"NO EXISTE"))</f>
        <v/>
      </c>
      <c r="E1812" s="9" t="str">
        <f aca="false">IF(C1812="","",IFERROR(VLOOKUP(C1812,EQUIPOS!$B$3:$F$18,5,0),""))</f>
        <v/>
      </c>
      <c r="F1812" s="5" t="str">
        <f aca="false">IF(C1812="","",IFERROR(VLOOKUP(C1812,EQUIPOS!$B$3:$G$18,6,0),""))</f>
        <v/>
      </c>
      <c r="G1812" s="8"/>
      <c r="H1812" s="5"/>
      <c r="I1812" s="5"/>
      <c r="J1812" s="9"/>
      <c r="K1812" s="17" t="str">
        <f aca="false">IF(H1812="","",IFERROR(SUMIFS(BD_PLAN!$I$3:$I$312,BD_PLAN!$B$3:$B$312,E1812,BD_PLAN!$C$3:$C$312,INDEX(BD_CICLO!$F$3:$F$54,MATCH(E1812&amp;"|"&amp;H1812,BD_CICLO!$G$3:$G$54,0))),""))</f>
        <v/>
      </c>
      <c r="L1812" s="9"/>
      <c r="M1812" s="9"/>
      <c r="N1812" s="1" t="str">
        <f aca="false">IF(C1812="","",C1812&amp;"|"&amp;COUNTIF(C$3:C1812,C1812))</f>
        <v/>
      </c>
      <c r="O1812" s="1" t="str">
        <f aca="false">IF(OR(C1812="",M1812=""),"",C1812&amp;"|"&amp;COUNTIFS(C$3:C1812,C1812,M$3:M1812,"&lt;&gt;"))</f>
        <v/>
      </c>
    </row>
    <row r="1813" customFormat="false" ht="15" hidden="false" customHeight="false" outlineLevel="0" collapsed="false">
      <c r="B1813" s="7"/>
      <c r="C1813" s="5"/>
      <c r="D1813" s="9" t="str">
        <f aca="false">IF(C1813="","",IFERROR(VLOOKUP(C1813,EQUIPOS!$B$3:$C$18,2,0),"NO EXISTE"))</f>
        <v/>
      </c>
      <c r="E1813" s="9" t="str">
        <f aca="false">IF(C1813="","",IFERROR(VLOOKUP(C1813,EQUIPOS!$B$3:$F$18,5,0),""))</f>
        <v/>
      </c>
      <c r="F1813" s="5" t="str">
        <f aca="false">IF(C1813="","",IFERROR(VLOOKUP(C1813,EQUIPOS!$B$3:$G$18,6,0),""))</f>
        <v/>
      </c>
      <c r="G1813" s="8"/>
      <c r="H1813" s="5"/>
      <c r="I1813" s="5"/>
      <c r="J1813" s="9"/>
      <c r="K1813" s="17" t="str">
        <f aca="false">IF(H1813="","",IFERROR(SUMIFS(BD_PLAN!$I$3:$I$312,BD_PLAN!$B$3:$B$312,E1813,BD_PLAN!$C$3:$C$312,INDEX(BD_CICLO!$F$3:$F$54,MATCH(E1813&amp;"|"&amp;H1813,BD_CICLO!$G$3:$G$54,0))),""))</f>
        <v/>
      </c>
      <c r="L1813" s="9"/>
      <c r="M1813" s="9"/>
      <c r="N1813" s="1" t="str">
        <f aca="false">IF(C1813="","",C1813&amp;"|"&amp;COUNTIF(C$3:C1813,C1813))</f>
        <v/>
      </c>
      <c r="O1813" s="1" t="str">
        <f aca="false">IF(OR(C1813="",M1813=""),"",C1813&amp;"|"&amp;COUNTIFS(C$3:C1813,C1813,M$3:M1813,"&lt;&gt;"))</f>
        <v/>
      </c>
    </row>
    <row r="1814" customFormat="false" ht="15" hidden="false" customHeight="false" outlineLevel="0" collapsed="false">
      <c r="B1814" s="7"/>
      <c r="C1814" s="5"/>
      <c r="D1814" s="9" t="str">
        <f aca="false">IF(C1814="","",IFERROR(VLOOKUP(C1814,EQUIPOS!$B$3:$C$18,2,0),"NO EXISTE"))</f>
        <v/>
      </c>
      <c r="E1814" s="9" t="str">
        <f aca="false">IF(C1814="","",IFERROR(VLOOKUP(C1814,EQUIPOS!$B$3:$F$18,5,0),""))</f>
        <v/>
      </c>
      <c r="F1814" s="5" t="str">
        <f aca="false">IF(C1814="","",IFERROR(VLOOKUP(C1814,EQUIPOS!$B$3:$G$18,6,0),""))</f>
        <v/>
      </c>
      <c r="G1814" s="8"/>
      <c r="H1814" s="5"/>
      <c r="I1814" s="5"/>
      <c r="J1814" s="9"/>
      <c r="K1814" s="17" t="str">
        <f aca="false">IF(H1814="","",IFERROR(SUMIFS(BD_PLAN!$I$3:$I$312,BD_PLAN!$B$3:$B$312,E1814,BD_PLAN!$C$3:$C$312,INDEX(BD_CICLO!$F$3:$F$54,MATCH(E1814&amp;"|"&amp;H1814,BD_CICLO!$G$3:$G$54,0))),""))</f>
        <v/>
      </c>
      <c r="L1814" s="9"/>
      <c r="M1814" s="9"/>
      <c r="N1814" s="1" t="str">
        <f aca="false">IF(C1814="","",C1814&amp;"|"&amp;COUNTIF(C$3:C1814,C1814))</f>
        <v/>
      </c>
      <c r="O1814" s="1" t="str">
        <f aca="false">IF(OR(C1814="",M1814=""),"",C1814&amp;"|"&amp;COUNTIFS(C$3:C1814,C1814,M$3:M1814,"&lt;&gt;"))</f>
        <v/>
      </c>
    </row>
    <row r="1815" customFormat="false" ht="15" hidden="false" customHeight="false" outlineLevel="0" collapsed="false">
      <c r="B1815" s="7"/>
      <c r="C1815" s="5"/>
      <c r="D1815" s="9" t="str">
        <f aca="false">IF(C1815="","",IFERROR(VLOOKUP(C1815,EQUIPOS!$B$3:$C$18,2,0),"NO EXISTE"))</f>
        <v/>
      </c>
      <c r="E1815" s="9" t="str">
        <f aca="false">IF(C1815="","",IFERROR(VLOOKUP(C1815,EQUIPOS!$B$3:$F$18,5,0),""))</f>
        <v/>
      </c>
      <c r="F1815" s="5" t="str">
        <f aca="false">IF(C1815="","",IFERROR(VLOOKUP(C1815,EQUIPOS!$B$3:$G$18,6,0),""))</f>
        <v/>
      </c>
      <c r="G1815" s="8"/>
      <c r="H1815" s="5"/>
      <c r="I1815" s="5"/>
      <c r="J1815" s="9"/>
      <c r="K1815" s="17" t="str">
        <f aca="false">IF(H1815="","",IFERROR(SUMIFS(BD_PLAN!$I$3:$I$312,BD_PLAN!$B$3:$B$312,E1815,BD_PLAN!$C$3:$C$312,INDEX(BD_CICLO!$F$3:$F$54,MATCH(E1815&amp;"|"&amp;H1815,BD_CICLO!$G$3:$G$54,0))),""))</f>
        <v/>
      </c>
      <c r="L1815" s="9"/>
      <c r="M1815" s="9"/>
      <c r="N1815" s="1" t="str">
        <f aca="false">IF(C1815="","",C1815&amp;"|"&amp;COUNTIF(C$3:C1815,C1815))</f>
        <v/>
      </c>
      <c r="O1815" s="1" t="str">
        <f aca="false">IF(OR(C1815="",M1815=""),"",C1815&amp;"|"&amp;COUNTIFS(C$3:C1815,C1815,M$3:M1815,"&lt;&gt;"))</f>
        <v/>
      </c>
    </row>
    <row r="1816" customFormat="false" ht="15" hidden="false" customHeight="false" outlineLevel="0" collapsed="false">
      <c r="B1816" s="7"/>
      <c r="C1816" s="5"/>
      <c r="D1816" s="9" t="str">
        <f aca="false">IF(C1816="","",IFERROR(VLOOKUP(C1816,EQUIPOS!$B$3:$C$18,2,0),"NO EXISTE"))</f>
        <v/>
      </c>
      <c r="E1816" s="9" t="str">
        <f aca="false">IF(C1816="","",IFERROR(VLOOKUP(C1816,EQUIPOS!$B$3:$F$18,5,0),""))</f>
        <v/>
      </c>
      <c r="F1816" s="5" t="str">
        <f aca="false">IF(C1816="","",IFERROR(VLOOKUP(C1816,EQUIPOS!$B$3:$G$18,6,0),""))</f>
        <v/>
      </c>
      <c r="G1816" s="8"/>
      <c r="H1816" s="5"/>
      <c r="I1816" s="5"/>
      <c r="J1816" s="9"/>
      <c r="K1816" s="17" t="str">
        <f aca="false">IF(H1816="","",IFERROR(SUMIFS(BD_PLAN!$I$3:$I$312,BD_PLAN!$B$3:$B$312,E1816,BD_PLAN!$C$3:$C$312,INDEX(BD_CICLO!$F$3:$F$54,MATCH(E1816&amp;"|"&amp;H1816,BD_CICLO!$G$3:$G$54,0))),""))</f>
        <v/>
      </c>
      <c r="L1816" s="9"/>
      <c r="M1816" s="9"/>
      <c r="N1816" s="1" t="str">
        <f aca="false">IF(C1816="","",C1816&amp;"|"&amp;COUNTIF(C$3:C1816,C1816))</f>
        <v/>
      </c>
      <c r="O1816" s="1" t="str">
        <f aca="false">IF(OR(C1816="",M1816=""),"",C1816&amp;"|"&amp;COUNTIFS(C$3:C1816,C1816,M$3:M1816,"&lt;&gt;"))</f>
        <v/>
      </c>
    </row>
    <row r="1817" customFormat="false" ht="15" hidden="false" customHeight="false" outlineLevel="0" collapsed="false">
      <c r="B1817" s="7"/>
      <c r="C1817" s="5"/>
      <c r="D1817" s="9" t="str">
        <f aca="false">IF(C1817="","",IFERROR(VLOOKUP(C1817,EQUIPOS!$B$3:$C$18,2,0),"NO EXISTE"))</f>
        <v/>
      </c>
      <c r="E1817" s="9" t="str">
        <f aca="false">IF(C1817="","",IFERROR(VLOOKUP(C1817,EQUIPOS!$B$3:$F$18,5,0),""))</f>
        <v/>
      </c>
      <c r="F1817" s="5" t="str">
        <f aca="false">IF(C1817="","",IFERROR(VLOOKUP(C1817,EQUIPOS!$B$3:$G$18,6,0),""))</f>
        <v/>
      </c>
      <c r="G1817" s="8"/>
      <c r="H1817" s="5"/>
      <c r="I1817" s="5"/>
      <c r="J1817" s="9"/>
      <c r="K1817" s="17" t="str">
        <f aca="false">IF(H1817="","",IFERROR(SUMIFS(BD_PLAN!$I$3:$I$312,BD_PLAN!$B$3:$B$312,E1817,BD_PLAN!$C$3:$C$312,INDEX(BD_CICLO!$F$3:$F$54,MATCH(E1817&amp;"|"&amp;H1817,BD_CICLO!$G$3:$G$54,0))),""))</f>
        <v/>
      </c>
      <c r="L1817" s="9"/>
      <c r="M1817" s="9"/>
      <c r="N1817" s="1" t="str">
        <f aca="false">IF(C1817="","",C1817&amp;"|"&amp;COUNTIF(C$3:C1817,C1817))</f>
        <v/>
      </c>
      <c r="O1817" s="1" t="str">
        <f aca="false">IF(OR(C1817="",M1817=""),"",C1817&amp;"|"&amp;COUNTIFS(C$3:C1817,C1817,M$3:M1817,"&lt;&gt;"))</f>
        <v/>
      </c>
    </row>
    <row r="1818" customFormat="false" ht="15" hidden="false" customHeight="false" outlineLevel="0" collapsed="false">
      <c r="B1818" s="7"/>
      <c r="C1818" s="5"/>
      <c r="D1818" s="9" t="str">
        <f aca="false">IF(C1818="","",IFERROR(VLOOKUP(C1818,EQUIPOS!$B$3:$C$18,2,0),"NO EXISTE"))</f>
        <v/>
      </c>
      <c r="E1818" s="9" t="str">
        <f aca="false">IF(C1818="","",IFERROR(VLOOKUP(C1818,EQUIPOS!$B$3:$F$18,5,0),""))</f>
        <v/>
      </c>
      <c r="F1818" s="5" t="str">
        <f aca="false">IF(C1818="","",IFERROR(VLOOKUP(C1818,EQUIPOS!$B$3:$G$18,6,0),""))</f>
        <v/>
      </c>
      <c r="G1818" s="8"/>
      <c r="H1818" s="5"/>
      <c r="I1818" s="5"/>
      <c r="J1818" s="9"/>
      <c r="K1818" s="17" t="str">
        <f aca="false">IF(H1818="","",IFERROR(SUMIFS(BD_PLAN!$I$3:$I$312,BD_PLAN!$B$3:$B$312,E1818,BD_PLAN!$C$3:$C$312,INDEX(BD_CICLO!$F$3:$F$54,MATCH(E1818&amp;"|"&amp;H1818,BD_CICLO!$G$3:$G$54,0))),""))</f>
        <v/>
      </c>
      <c r="L1818" s="9"/>
      <c r="M1818" s="9"/>
      <c r="N1818" s="1" t="str">
        <f aca="false">IF(C1818="","",C1818&amp;"|"&amp;COUNTIF(C$3:C1818,C1818))</f>
        <v/>
      </c>
      <c r="O1818" s="1" t="str">
        <f aca="false">IF(OR(C1818="",M1818=""),"",C1818&amp;"|"&amp;COUNTIFS(C$3:C1818,C1818,M$3:M1818,"&lt;&gt;"))</f>
        <v/>
      </c>
    </row>
    <row r="1819" customFormat="false" ht="15" hidden="false" customHeight="false" outlineLevel="0" collapsed="false">
      <c r="B1819" s="7"/>
      <c r="C1819" s="5"/>
      <c r="D1819" s="9" t="str">
        <f aca="false">IF(C1819="","",IFERROR(VLOOKUP(C1819,EQUIPOS!$B$3:$C$18,2,0),"NO EXISTE"))</f>
        <v/>
      </c>
      <c r="E1819" s="9" t="str">
        <f aca="false">IF(C1819="","",IFERROR(VLOOKUP(C1819,EQUIPOS!$B$3:$F$18,5,0),""))</f>
        <v/>
      </c>
      <c r="F1819" s="5" t="str">
        <f aca="false">IF(C1819="","",IFERROR(VLOOKUP(C1819,EQUIPOS!$B$3:$G$18,6,0),""))</f>
        <v/>
      </c>
      <c r="G1819" s="8"/>
      <c r="H1819" s="5"/>
      <c r="I1819" s="5"/>
      <c r="J1819" s="9"/>
      <c r="K1819" s="17" t="str">
        <f aca="false">IF(H1819="","",IFERROR(SUMIFS(BD_PLAN!$I$3:$I$312,BD_PLAN!$B$3:$B$312,E1819,BD_PLAN!$C$3:$C$312,INDEX(BD_CICLO!$F$3:$F$54,MATCH(E1819&amp;"|"&amp;H1819,BD_CICLO!$G$3:$G$54,0))),""))</f>
        <v/>
      </c>
      <c r="L1819" s="9"/>
      <c r="M1819" s="9"/>
      <c r="N1819" s="1" t="str">
        <f aca="false">IF(C1819="","",C1819&amp;"|"&amp;COUNTIF(C$3:C1819,C1819))</f>
        <v/>
      </c>
      <c r="O1819" s="1" t="str">
        <f aca="false">IF(OR(C1819="",M1819=""),"",C1819&amp;"|"&amp;COUNTIFS(C$3:C1819,C1819,M$3:M1819,"&lt;&gt;"))</f>
        <v/>
      </c>
    </row>
    <row r="1820" customFormat="false" ht="15" hidden="false" customHeight="false" outlineLevel="0" collapsed="false">
      <c r="B1820" s="7"/>
      <c r="C1820" s="5"/>
      <c r="D1820" s="9" t="str">
        <f aca="false">IF(C1820="","",IFERROR(VLOOKUP(C1820,EQUIPOS!$B$3:$C$18,2,0),"NO EXISTE"))</f>
        <v/>
      </c>
      <c r="E1820" s="9" t="str">
        <f aca="false">IF(C1820="","",IFERROR(VLOOKUP(C1820,EQUIPOS!$B$3:$F$18,5,0),""))</f>
        <v/>
      </c>
      <c r="F1820" s="5" t="str">
        <f aca="false">IF(C1820="","",IFERROR(VLOOKUP(C1820,EQUIPOS!$B$3:$G$18,6,0),""))</f>
        <v/>
      </c>
      <c r="G1820" s="8"/>
      <c r="H1820" s="5"/>
      <c r="I1820" s="5"/>
      <c r="J1820" s="9"/>
      <c r="K1820" s="17" t="str">
        <f aca="false">IF(H1820="","",IFERROR(SUMIFS(BD_PLAN!$I$3:$I$312,BD_PLAN!$B$3:$B$312,E1820,BD_PLAN!$C$3:$C$312,INDEX(BD_CICLO!$F$3:$F$54,MATCH(E1820&amp;"|"&amp;H1820,BD_CICLO!$G$3:$G$54,0))),""))</f>
        <v/>
      </c>
      <c r="L1820" s="9"/>
      <c r="M1820" s="9"/>
      <c r="N1820" s="1" t="str">
        <f aca="false">IF(C1820="","",C1820&amp;"|"&amp;COUNTIF(C$3:C1820,C1820))</f>
        <v/>
      </c>
      <c r="O1820" s="1" t="str">
        <f aca="false">IF(OR(C1820="",M1820=""),"",C1820&amp;"|"&amp;COUNTIFS(C$3:C1820,C1820,M$3:M1820,"&lt;&gt;"))</f>
        <v/>
      </c>
    </row>
    <row r="1821" customFormat="false" ht="15" hidden="false" customHeight="false" outlineLevel="0" collapsed="false">
      <c r="B1821" s="7"/>
      <c r="C1821" s="5"/>
      <c r="D1821" s="9" t="str">
        <f aca="false">IF(C1821="","",IFERROR(VLOOKUP(C1821,EQUIPOS!$B$3:$C$18,2,0),"NO EXISTE"))</f>
        <v/>
      </c>
      <c r="E1821" s="9" t="str">
        <f aca="false">IF(C1821="","",IFERROR(VLOOKUP(C1821,EQUIPOS!$B$3:$F$18,5,0),""))</f>
        <v/>
      </c>
      <c r="F1821" s="5" t="str">
        <f aca="false">IF(C1821="","",IFERROR(VLOOKUP(C1821,EQUIPOS!$B$3:$G$18,6,0),""))</f>
        <v/>
      </c>
      <c r="G1821" s="8"/>
      <c r="H1821" s="5"/>
      <c r="I1821" s="5"/>
      <c r="J1821" s="9"/>
      <c r="K1821" s="17" t="str">
        <f aca="false">IF(H1821="","",IFERROR(SUMIFS(BD_PLAN!$I$3:$I$312,BD_PLAN!$B$3:$B$312,E1821,BD_PLAN!$C$3:$C$312,INDEX(BD_CICLO!$F$3:$F$54,MATCH(E1821&amp;"|"&amp;H1821,BD_CICLO!$G$3:$G$54,0))),""))</f>
        <v/>
      </c>
      <c r="L1821" s="9"/>
      <c r="M1821" s="9"/>
      <c r="N1821" s="1" t="str">
        <f aca="false">IF(C1821="","",C1821&amp;"|"&amp;COUNTIF(C$3:C1821,C1821))</f>
        <v/>
      </c>
      <c r="O1821" s="1" t="str">
        <f aca="false">IF(OR(C1821="",M1821=""),"",C1821&amp;"|"&amp;COUNTIFS(C$3:C1821,C1821,M$3:M1821,"&lt;&gt;"))</f>
        <v/>
      </c>
    </row>
    <row r="1822" customFormat="false" ht="15" hidden="false" customHeight="false" outlineLevel="0" collapsed="false">
      <c r="B1822" s="7"/>
      <c r="C1822" s="5"/>
      <c r="D1822" s="9" t="str">
        <f aca="false">IF(C1822="","",IFERROR(VLOOKUP(C1822,EQUIPOS!$B$3:$C$18,2,0),"NO EXISTE"))</f>
        <v/>
      </c>
      <c r="E1822" s="9" t="str">
        <f aca="false">IF(C1822="","",IFERROR(VLOOKUP(C1822,EQUIPOS!$B$3:$F$18,5,0),""))</f>
        <v/>
      </c>
      <c r="F1822" s="5" t="str">
        <f aca="false">IF(C1822="","",IFERROR(VLOOKUP(C1822,EQUIPOS!$B$3:$G$18,6,0),""))</f>
        <v/>
      </c>
      <c r="G1822" s="8"/>
      <c r="H1822" s="5"/>
      <c r="I1822" s="5"/>
      <c r="J1822" s="9"/>
      <c r="K1822" s="17" t="str">
        <f aca="false">IF(H1822="","",IFERROR(SUMIFS(BD_PLAN!$I$3:$I$312,BD_PLAN!$B$3:$B$312,E1822,BD_PLAN!$C$3:$C$312,INDEX(BD_CICLO!$F$3:$F$54,MATCH(E1822&amp;"|"&amp;H1822,BD_CICLO!$G$3:$G$54,0))),""))</f>
        <v/>
      </c>
      <c r="L1822" s="9"/>
      <c r="M1822" s="9"/>
      <c r="N1822" s="1" t="str">
        <f aca="false">IF(C1822="","",C1822&amp;"|"&amp;COUNTIF(C$3:C1822,C1822))</f>
        <v/>
      </c>
      <c r="O1822" s="1" t="str">
        <f aca="false">IF(OR(C1822="",M1822=""),"",C1822&amp;"|"&amp;COUNTIFS(C$3:C1822,C1822,M$3:M1822,"&lt;&gt;"))</f>
        <v/>
      </c>
    </row>
    <row r="1823" customFormat="false" ht="15" hidden="false" customHeight="false" outlineLevel="0" collapsed="false">
      <c r="B1823" s="7"/>
      <c r="C1823" s="5"/>
      <c r="D1823" s="9" t="str">
        <f aca="false">IF(C1823="","",IFERROR(VLOOKUP(C1823,EQUIPOS!$B$3:$C$18,2,0),"NO EXISTE"))</f>
        <v/>
      </c>
      <c r="E1823" s="9" t="str">
        <f aca="false">IF(C1823="","",IFERROR(VLOOKUP(C1823,EQUIPOS!$B$3:$F$18,5,0),""))</f>
        <v/>
      </c>
      <c r="F1823" s="5" t="str">
        <f aca="false">IF(C1823="","",IFERROR(VLOOKUP(C1823,EQUIPOS!$B$3:$G$18,6,0),""))</f>
        <v/>
      </c>
      <c r="G1823" s="8"/>
      <c r="H1823" s="5"/>
      <c r="I1823" s="5"/>
      <c r="J1823" s="9"/>
      <c r="K1823" s="17" t="str">
        <f aca="false">IF(H1823="","",IFERROR(SUMIFS(BD_PLAN!$I$3:$I$312,BD_PLAN!$B$3:$B$312,E1823,BD_PLAN!$C$3:$C$312,INDEX(BD_CICLO!$F$3:$F$54,MATCH(E1823&amp;"|"&amp;H1823,BD_CICLO!$G$3:$G$54,0))),""))</f>
        <v/>
      </c>
      <c r="L1823" s="9"/>
      <c r="M1823" s="9"/>
      <c r="N1823" s="1" t="str">
        <f aca="false">IF(C1823="","",C1823&amp;"|"&amp;COUNTIF(C$3:C1823,C1823))</f>
        <v/>
      </c>
      <c r="O1823" s="1" t="str">
        <f aca="false">IF(OR(C1823="",M1823=""),"",C1823&amp;"|"&amp;COUNTIFS(C$3:C1823,C1823,M$3:M1823,"&lt;&gt;"))</f>
        <v/>
      </c>
    </row>
    <row r="1824" customFormat="false" ht="15" hidden="false" customHeight="false" outlineLevel="0" collapsed="false">
      <c r="B1824" s="7"/>
      <c r="C1824" s="5"/>
      <c r="D1824" s="9" t="str">
        <f aca="false">IF(C1824="","",IFERROR(VLOOKUP(C1824,EQUIPOS!$B$3:$C$18,2,0),"NO EXISTE"))</f>
        <v/>
      </c>
      <c r="E1824" s="9" t="str">
        <f aca="false">IF(C1824="","",IFERROR(VLOOKUP(C1824,EQUIPOS!$B$3:$F$18,5,0),""))</f>
        <v/>
      </c>
      <c r="F1824" s="5" t="str">
        <f aca="false">IF(C1824="","",IFERROR(VLOOKUP(C1824,EQUIPOS!$B$3:$G$18,6,0),""))</f>
        <v/>
      </c>
      <c r="G1824" s="8"/>
      <c r="H1824" s="5"/>
      <c r="I1824" s="5"/>
      <c r="J1824" s="9"/>
      <c r="K1824" s="17" t="str">
        <f aca="false">IF(H1824="","",IFERROR(SUMIFS(BD_PLAN!$I$3:$I$312,BD_PLAN!$B$3:$B$312,E1824,BD_PLAN!$C$3:$C$312,INDEX(BD_CICLO!$F$3:$F$54,MATCH(E1824&amp;"|"&amp;H1824,BD_CICLO!$G$3:$G$54,0))),""))</f>
        <v/>
      </c>
      <c r="L1824" s="9"/>
      <c r="M1824" s="9"/>
      <c r="N1824" s="1" t="str">
        <f aca="false">IF(C1824="","",C1824&amp;"|"&amp;COUNTIF(C$3:C1824,C1824))</f>
        <v/>
      </c>
      <c r="O1824" s="1" t="str">
        <f aca="false">IF(OR(C1824="",M1824=""),"",C1824&amp;"|"&amp;COUNTIFS(C$3:C1824,C1824,M$3:M1824,"&lt;&gt;"))</f>
        <v/>
      </c>
    </row>
    <row r="1825" customFormat="false" ht="15" hidden="false" customHeight="false" outlineLevel="0" collapsed="false">
      <c r="B1825" s="7"/>
      <c r="C1825" s="5"/>
      <c r="D1825" s="9" t="str">
        <f aca="false">IF(C1825="","",IFERROR(VLOOKUP(C1825,EQUIPOS!$B$3:$C$18,2,0),"NO EXISTE"))</f>
        <v/>
      </c>
      <c r="E1825" s="9" t="str">
        <f aca="false">IF(C1825="","",IFERROR(VLOOKUP(C1825,EQUIPOS!$B$3:$F$18,5,0),""))</f>
        <v/>
      </c>
      <c r="F1825" s="5" t="str">
        <f aca="false">IF(C1825="","",IFERROR(VLOOKUP(C1825,EQUIPOS!$B$3:$G$18,6,0),""))</f>
        <v/>
      </c>
      <c r="G1825" s="8"/>
      <c r="H1825" s="5"/>
      <c r="I1825" s="5"/>
      <c r="J1825" s="9"/>
      <c r="K1825" s="17" t="str">
        <f aca="false">IF(H1825="","",IFERROR(SUMIFS(BD_PLAN!$I$3:$I$312,BD_PLAN!$B$3:$B$312,E1825,BD_PLAN!$C$3:$C$312,INDEX(BD_CICLO!$F$3:$F$54,MATCH(E1825&amp;"|"&amp;H1825,BD_CICLO!$G$3:$G$54,0))),""))</f>
        <v/>
      </c>
      <c r="L1825" s="9"/>
      <c r="M1825" s="9"/>
      <c r="N1825" s="1" t="str">
        <f aca="false">IF(C1825="","",C1825&amp;"|"&amp;COUNTIF(C$3:C1825,C1825))</f>
        <v/>
      </c>
      <c r="O1825" s="1" t="str">
        <f aca="false">IF(OR(C1825="",M1825=""),"",C1825&amp;"|"&amp;COUNTIFS(C$3:C1825,C1825,M$3:M1825,"&lt;&gt;"))</f>
        <v/>
      </c>
    </row>
    <row r="1826" customFormat="false" ht="15" hidden="false" customHeight="false" outlineLevel="0" collapsed="false">
      <c r="B1826" s="7"/>
      <c r="C1826" s="5"/>
      <c r="D1826" s="9" t="str">
        <f aca="false">IF(C1826="","",IFERROR(VLOOKUP(C1826,EQUIPOS!$B$3:$C$18,2,0),"NO EXISTE"))</f>
        <v/>
      </c>
      <c r="E1826" s="9" t="str">
        <f aca="false">IF(C1826="","",IFERROR(VLOOKUP(C1826,EQUIPOS!$B$3:$F$18,5,0),""))</f>
        <v/>
      </c>
      <c r="F1826" s="5" t="str">
        <f aca="false">IF(C1826="","",IFERROR(VLOOKUP(C1826,EQUIPOS!$B$3:$G$18,6,0),""))</f>
        <v/>
      </c>
      <c r="G1826" s="8"/>
      <c r="H1826" s="5"/>
      <c r="I1826" s="5"/>
      <c r="J1826" s="9"/>
      <c r="K1826" s="17" t="str">
        <f aca="false">IF(H1826="","",IFERROR(SUMIFS(BD_PLAN!$I$3:$I$312,BD_PLAN!$B$3:$B$312,E1826,BD_PLAN!$C$3:$C$312,INDEX(BD_CICLO!$F$3:$F$54,MATCH(E1826&amp;"|"&amp;H1826,BD_CICLO!$G$3:$G$54,0))),""))</f>
        <v/>
      </c>
      <c r="L1826" s="9"/>
      <c r="M1826" s="9"/>
      <c r="N1826" s="1" t="str">
        <f aca="false">IF(C1826="","",C1826&amp;"|"&amp;COUNTIF(C$3:C1826,C1826))</f>
        <v/>
      </c>
      <c r="O1826" s="1" t="str">
        <f aca="false">IF(OR(C1826="",M1826=""),"",C1826&amp;"|"&amp;COUNTIFS(C$3:C1826,C1826,M$3:M1826,"&lt;&gt;"))</f>
        <v/>
      </c>
    </row>
    <row r="1827" customFormat="false" ht="15" hidden="false" customHeight="false" outlineLevel="0" collapsed="false">
      <c r="B1827" s="7"/>
      <c r="C1827" s="5"/>
      <c r="D1827" s="9" t="str">
        <f aca="false">IF(C1827="","",IFERROR(VLOOKUP(C1827,EQUIPOS!$B$3:$C$18,2,0),"NO EXISTE"))</f>
        <v/>
      </c>
      <c r="E1827" s="9" t="str">
        <f aca="false">IF(C1827="","",IFERROR(VLOOKUP(C1827,EQUIPOS!$B$3:$F$18,5,0),""))</f>
        <v/>
      </c>
      <c r="F1827" s="5" t="str">
        <f aca="false">IF(C1827="","",IFERROR(VLOOKUP(C1827,EQUIPOS!$B$3:$G$18,6,0),""))</f>
        <v/>
      </c>
      <c r="G1827" s="8"/>
      <c r="H1827" s="5"/>
      <c r="I1827" s="5"/>
      <c r="J1827" s="9"/>
      <c r="K1827" s="17" t="str">
        <f aca="false">IF(H1827="","",IFERROR(SUMIFS(BD_PLAN!$I$3:$I$312,BD_PLAN!$B$3:$B$312,E1827,BD_PLAN!$C$3:$C$312,INDEX(BD_CICLO!$F$3:$F$54,MATCH(E1827&amp;"|"&amp;H1827,BD_CICLO!$G$3:$G$54,0))),""))</f>
        <v/>
      </c>
      <c r="L1827" s="9"/>
      <c r="M1827" s="9"/>
      <c r="N1827" s="1" t="str">
        <f aca="false">IF(C1827="","",C1827&amp;"|"&amp;COUNTIF(C$3:C1827,C1827))</f>
        <v/>
      </c>
      <c r="O1827" s="1" t="str">
        <f aca="false">IF(OR(C1827="",M1827=""),"",C1827&amp;"|"&amp;COUNTIFS(C$3:C1827,C1827,M$3:M1827,"&lt;&gt;"))</f>
        <v/>
      </c>
    </row>
    <row r="1828" customFormat="false" ht="15" hidden="false" customHeight="false" outlineLevel="0" collapsed="false">
      <c r="B1828" s="7"/>
      <c r="C1828" s="5"/>
      <c r="D1828" s="9" t="str">
        <f aca="false">IF(C1828="","",IFERROR(VLOOKUP(C1828,EQUIPOS!$B$3:$C$18,2,0),"NO EXISTE"))</f>
        <v/>
      </c>
      <c r="E1828" s="9" t="str">
        <f aca="false">IF(C1828="","",IFERROR(VLOOKUP(C1828,EQUIPOS!$B$3:$F$18,5,0),""))</f>
        <v/>
      </c>
      <c r="F1828" s="5" t="str">
        <f aca="false">IF(C1828="","",IFERROR(VLOOKUP(C1828,EQUIPOS!$B$3:$G$18,6,0),""))</f>
        <v/>
      </c>
      <c r="G1828" s="8"/>
      <c r="H1828" s="5"/>
      <c r="I1828" s="5"/>
      <c r="J1828" s="9"/>
      <c r="K1828" s="17" t="str">
        <f aca="false">IF(H1828="","",IFERROR(SUMIFS(BD_PLAN!$I$3:$I$312,BD_PLAN!$B$3:$B$312,E1828,BD_PLAN!$C$3:$C$312,INDEX(BD_CICLO!$F$3:$F$54,MATCH(E1828&amp;"|"&amp;H1828,BD_CICLO!$G$3:$G$54,0))),""))</f>
        <v/>
      </c>
      <c r="L1828" s="9"/>
      <c r="M1828" s="9"/>
      <c r="N1828" s="1" t="str">
        <f aca="false">IF(C1828="","",C1828&amp;"|"&amp;COUNTIF(C$3:C1828,C1828))</f>
        <v/>
      </c>
      <c r="O1828" s="1" t="str">
        <f aca="false">IF(OR(C1828="",M1828=""),"",C1828&amp;"|"&amp;COUNTIFS(C$3:C1828,C1828,M$3:M1828,"&lt;&gt;"))</f>
        <v/>
      </c>
    </row>
    <row r="1829" customFormat="false" ht="15" hidden="false" customHeight="false" outlineLevel="0" collapsed="false">
      <c r="B1829" s="7"/>
      <c r="C1829" s="5"/>
      <c r="D1829" s="9" t="str">
        <f aca="false">IF(C1829="","",IFERROR(VLOOKUP(C1829,EQUIPOS!$B$3:$C$18,2,0),"NO EXISTE"))</f>
        <v/>
      </c>
      <c r="E1829" s="9" t="str">
        <f aca="false">IF(C1829="","",IFERROR(VLOOKUP(C1829,EQUIPOS!$B$3:$F$18,5,0),""))</f>
        <v/>
      </c>
      <c r="F1829" s="5" t="str">
        <f aca="false">IF(C1829="","",IFERROR(VLOOKUP(C1829,EQUIPOS!$B$3:$G$18,6,0),""))</f>
        <v/>
      </c>
      <c r="G1829" s="8"/>
      <c r="H1829" s="5"/>
      <c r="I1829" s="5"/>
      <c r="J1829" s="9"/>
      <c r="K1829" s="17" t="str">
        <f aca="false">IF(H1829="","",IFERROR(SUMIFS(BD_PLAN!$I$3:$I$312,BD_PLAN!$B$3:$B$312,E1829,BD_PLAN!$C$3:$C$312,INDEX(BD_CICLO!$F$3:$F$54,MATCH(E1829&amp;"|"&amp;H1829,BD_CICLO!$G$3:$G$54,0))),""))</f>
        <v/>
      </c>
      <c r="L1829" s="9"/>
      <c r="M1829" s="9"/>
      <c r="N1829" s="1" t="str">
        <f aca="false">IF(C1829="","",C1829&amp;"|"&amp;COUNTIF(C$3:C1829,C1829))</f>
        <v/>
      </c>
      <c r="O1829" s="1" t="str">
        <f aca="false">IF(OR(C1829="",M1829=""),"",C1829&amp;"|"&amp;COUNTIFS(C$3:C1829,C1829,M$3:M1829,"&lt;&gt;"))</f>
        <v/>
      </c>
    </row>
    <row r="1830" customFormat="false" ht="15" hidden="false" customHeight="false" outlineLevel="0" collapsed="false">
      <c r="B1830" s="7"/>
      <c r="C1830" s="5"/>
      <c r="D1830" s="9" t="str">
        <f aca="false">IF(C1830="","",IFERROR(VLOOKUP(C1830,EQUIPOS!$B$3:$C$18,2,0),"NO EXISTE"))</f>
        <v/>
      </c>
      <c r="E1830" s="9" t="str">
        <f aca="false">IF(C1830="","",IFERROR(VLOOKUP(C1830,EQUIPOS!$B$3:$F$18,5,0),""))</f>
        <v/>
      </c>
      <c r="F1830" s="5" t="str">
        <f aca="false">IF(C1830="","",IFERROR(VLOOKUP(C1830,EQUIPOS!$B$3:$G$18,6,0),""))</f>
        <v/>
      </c>
      <c r="G1830" s="8"/>
      <c r="H1830" s="5"/>
      <c r="I1830" s="5"/>
      <c r="J1830" s="9"/>
      <c r="K1830" s="17" t="str">
        <f aca="false">IF(H1830="","",IFERROR(SUMIFS(BD_PLAN!$I$3:$I$312,BD_PLAN!$B$3:$B$312,E1830,BD_PLAN!$C$3:$C$312,INDEX(BD_CICLO!$F$3:$F$54,MATCH(E1830&amp;"|"&amp;H1830,BD_CICLO!$G$3:$G$54,0))),""))</f>
        <v/>
      </c>
      <c r="L1830" s="9"/>
      <c r="M1830" s="9"/>
      <c r="N1830" s="1" t="str">
        <f aca="false">IF(C1830="","",C1830&amp;"|"&amp;COUNTIF(C$3:C1830,C1830))</f>
        <v/>
      </c>
      <c r="O1830" s="1" t="str">
        <f aca="false">IF(OR(C1830="",M1830=""),"",C1830&amp;"|"&amp;COUNTIFS(C$3:C1830,C1830,M$3:M1830,"&lt;&gt;"))</f>
        <v/>
      </c>
    </row>
    <row r="1831" customFormat="false" ht="15" hidden="false" customHeight="false" outlineLevel="0" collapsed="false">
      <c r="B1831" s="7"/>
      <c r="C1831" s="5"/>
      <c r="D1831" s="9" t="str">
        <f aca="false">IF(C1831="","",IFERROR(VLOOKUP(C1831,EQUIPOS!$B$3:$C$18,2,0),"NO EXISTE"))</f>
        <v/>
      </c>
      <c r="E1831" s="9" t="str">
        <f aca="false">IF(C1831="","",IFERROR(VLOOKUP(C1831,EQUIPOS!$B$3:$F$18,5,0),""))</f>
        <v/>
      </c>
      <c r="F1831" s="5" t="str">
        <f aca="false">IF(C1831="","",IFERROR(VLOOKUP(C1831,EQUIPOS!$B$3:$G$18,6,0),""))</f>
        <v/>
      </c>
      <c r="G1831" s="8"/>
      <c r="H1831" s="5"/>
      <c r="I1831" s="5"/>
      <c r="J1831" s="9"/>
      <c r="K1831" s="17" t="str">
        <f aca="false">IF(H1831="","",IFERROR(SUMIFS(BD_PLAN!$I$3:$I$312,BD_PLAN!$B$3:$B$312,E1831,BD_PLAN!$C$3:$C$312,INDEX(BD_CICLO!$F$3:$F$54,MATCH(E1831&amp;"|"&amp;H1831,BD_CICLO!$G$3:$G$54,0))),""))</f>
        <v/>
      </c>
      <c r="L1831" s="9"/>
      <c r="M1831" s="9"/>
      <c r="N1831" s="1" t="str">
        <f aca="false">IF(C1831="","",C1831&amp;"|"&amp;COUNTIF(C$3:C1831,C1831))</f>
        <v/>
      </c>
      <c r="O1831" s="1" t="str">
        <f aca="false">IF(OR(C1831="",M1831=""),"",C1831&amp;"|"&amp;COUNTIFS(C$3:C1831,C1831,M$3:M1831,"&lt;&gt;"))</f>
        <v/>
      </c>
    </row>
    <row r="1832" customFormat="false" ht="15" hidden="false" customHeight="false" outlineLevel="0" collapsed="false">
      <c r="B1832" s="7"/>
      <c r="C1832" s="5"/>
      <c r="D1832" s="9" t="str">
        <f aca="false">IF(C1832="","",IFERROR(VLOOKUP(C1832,EQUIPOS!$B$3:$C$18,2,0),"NO EXISTE"))</f>
        <v/>
      </c>
      <c r="E1832" s="9" t="str">
        <f aca="false">IF(C1832="","",IFERROR(VLOOKUP(C1832,EQUIPOS!$B$3:$F$18,5,0),""))</f>
        <v/>
      </c>
      <c r="F1832" s="5" t="str">
        <f aca="false">IF(C1832="","",IFERROR(VLOOKUP(C1832,EQUIPOS!$B$3:$G$18,6,0),""))</f>
        <v/>
      </c>
      <c r="G1832" s="8"/>
      <c r="H1832" s="5"/>
      <c r="I1832" s="5"/>
      <c r="J1832" s="9"/>
      <c r="K1832" s="17" t="str">
        <f aca="false">IF(H1832="","",IFERROR(SUMIFS(BD_PLAN!$I$3:$I$312,BD_PLAN!$B$3:$B$312,E1832,BD_PLAN!$C$3:$C$312,INDEX(BD_CICLO!$F$3:$F$54,MATCH(E1832&amp;"|"&amp;H1832,BD_CICLO!$G$3:$G$54,0))),""))</f>
        <v/>
      </c>
      <c r="L1832" s="9"/>
      <c r="M1832" s="9"/>
      <c r="N1832" s="1" t="str">
        <f aca="false">IF(C1832="","",C1832&amp;"|"&amp;COUNTIF(C$3:C1832,C1832))</f>
        <v/>
      </c>
      <c r="O1832" s="1" t="str">
        <f aca="false">IF(OR(C1832="",M1832=""),"",C1832&amp;"|"&amp;COUNTIFS(C$3:C1832,C1832,M$3:M1832,"&lt;&gt;"))</f>
        <v/>
      </c>
    </row>
    <row r="1833" customFormat="false" ht="15" hidden="false" customHeight="false" outlineLevel="0" collapsed="false">
      <c r="B1833" s="7"/>
      <c r="C1833" s="5"/>
      <c r="D1833" s="9" t="str">
        <f aca="false">IF(C1833="","",IFERROR(VLOOKUP(C1833,EQUIPOS!$B$3:$C$18,2,0),"NO EXISTE"))</f>
        <v/>
      </c>
      <c r="E1833" s="9" t="str">
        <f aca="false">IF(C1833="","",IFERROR(VLOOKUP(C1833,EQUIPOS!$B$3:$F$18,5,0),""))</f>
        <v/>
      </c>
      <c r="F1833" s="5" t="str">
        <f aca="false">IF(C1833="","",IFERROR(VLOOKUP(C1833,EQUIPOS!$B$3:$G$18,6,0),""))</f>
        <v/>
      </c>
      <c r="G1833" s="8"/>
      <c r="H1833" s="5"/>
      <c r="I1833" s="5"/>
      <c r="J1833" s="9"/>
      <c r="K1833" s="17" t="str">
        <f aca="false">IF(H1833="","",IFERROR(SUMIFS(BD_PLAN!$I$3:$I$312,BD_PLAN!$B$3:$B$312,E1833,BD_PLAN!$C$3:$C$312,INDEX(BD_CICLO!$F$3:$F$54,MATCH(E1833&amp;"|"&amp;H1833,BD_CICLO!$G$3:$G$54,0))),""))</f>
        <v/>
      </c>
      <c r="L1833" s="9"/>
      <c r="M1833" s="9"/>
      <c r="N1833" s="1" t="str">
        <f aca="false">IF(C1833="","",C1833&amp;"|"&amp;COUNTIF(C$3:C1833,C1833))</f>
        <v/>
      </c>
      <c r="O1833" s="1" t="str">
        <f aca="false">IF(OR(C1833="",M1833=""),"",C1833&amp;"|"&amp;COUNTIFS(C$3:C1833,C1833,M$3:M1833,"&lt;&gt;"))</f>
        <v/>
      </c>
    </row>
    <row r="1834" customFormat="false" ht="15" hidden="false" customHeight="false" outlineLevel="0" collapsed="false">
      <c r="B1834" s="7"/>
      <c r="C1834" s="5"/>
      <c r="D1834" s="9" t="str">
        <f aca="false">IF(C1834="","",IFERROR(VLOOKUP(C1834,EQUIPOS!$B$3:$C$18,2,0),"NO EXISTE"))</f>
        <v/>
      </c>
      <c r="E1834" s="9" t="str">
        <f aca="false">IF(C1834="","",IFERROR(VLOOKUP(C1834,EQUIPOS!$B$3:$F$18,5,0),""))</f>
        <v/>
      </c>
      <c r="F1834" s="5" t="str">
        <f aca="false">IF(C1834="","",IFERROR(VLOOKUP(C1834,EQUIPOS!$B$3:$G$18,6,0),""))</f>
        <v/>
      </c>
      <c r="G1834" s="8"/>
      <c r="H1834" s="5"/>
      <c r="I1834" s="5"/>
      <c r="J1834" s="9"/>
      <c r="K1834" s="17" t="str">
        <f aca="false">IF(H1834="","",IFERROR(SUMIFS(BD_PLAN!$I$3:$I$312,BD_PLAN!$B$3:$B$312,E1834,BD_PLAN!$C$3:$C$312,INDEX(BD_CICLO!$F$3:$F$54,MATCH(E1834&amp;"|"&amp;H1834,BD_CICLO!$G$3:$G$54,0))),""))</f>
        <v/>
      </c>
      <c r="L1834" s="9"/>
      <c r="M1834" s="9"/>
      <c r="N1834" s="1" t="str">
        <f aca="false">IF(C1834="","",C1834&amp;"|"&amp;COUNTIF(C$3:C1834,C1834))</f>
        <v/>
      </c>
      <c r="O1834" s="1" t="str">
        <f aca="false">IF(OR(C1834="",M1834=""),"",C1834&amp;"|"&amp;COUNTIFS(C$3:C1834,C1834,M$3:M1834,"&lt;&gt;"))</f>
        <v/>
      </c>
    </row>
    <row r="1835" customFormat="false" ht="15" hidden="false" customHeight="false" outlineLevel="0" collapsed="false">
      <c r="B1835" s="7"/>
      <c r="C1835" s="5"/>
      <c r="D1835" s="9" t="str">
        <f aca="false">IF(C1835="","",IFERROR(VLOOKUP(C1835,EQUIPOS!$B$3:$C$18,2,0),"NO EXISTE"))</f>
        <v/>
      </c>
      <c r="E1835" s="9" t="str">
        <f aca="false">IF(C1835="","",IFERROR(VLOOKUP(C1835,EQUIPOS!$B$3:$F$18,5,0),""))</f>
        <v/>
      </c>
      <c r="F1835" s="5" t="str">
        <f aca="false">IF(C1835="","",IFERROR(VLOOKUP(C1835,EQUIPOS!$B$3:$G$18,6,0),""))</f>
        <v/>
      </c>
      <c r="G1835" s="8"/>
      <c r="H1835" s="5"/>
      <c r="I1835" s="5"/>
      <c r="J1835" s="9"/>
      <c r="K1835" s="17" t="str">
        <f aca="false">IF(H1835="","",IFERROR(SUMIFS(BD_PLAN!$I$3:$I$312,BD_PLAN!$B$3:$B$312,E1835,BD_PLAN!$C$3:$C$312,INDEX(BD_CICLO!$F$3:$F$54,MATCH(E1835&amp;"|"&amp;H1835,BD_CICLO!$G$3:$G$54,0))),""))</f>
        <v/>
      </c>
      <c r="L1835" s="9"/>
      <c r="M1835" s="9"/>
      <c r="N1835" s="1" t="str">
        <f aca="false">IF(C1835="","",C1835&amp;"|"&amp;COUNTIF(C$3:C1835,C1835))</f>
        <v/>
      </c>
      <c r="O1835" s="1" t="str">
        <f aca="false">IF(OR(C1835="",M1835=""),"",C1835&amp;"|"&amp;COUNTIFS(C$3:C1835,C1835,M$3:M1835,"&lt;&gt;"))</f>
        <v/>
      </c>
    </row>
    <row r="1836" customFormat="false" ht="15" hidden="false" customHeight="false" outlineLevel="0" collapsed="false">
      <c r="B1836" s="7"/>
      <c r="C1836" s="5"/>
      <c r="D1836" s="9" t="str">
        <f aca="false">IF(C1836="","",IFERROR(VLOOKUP(C1836,EQUIPOS!$B$3:$C$18,2,0),"NO EXISTE"))</f>
        <v/>
      </c>
      <c r="E1836" s="9" t="str">
        <f aca="false">IF(C1836="","",IFERROR(VLOOKUP(C1836,EQUIPOS!$B$3:$F$18,5,0),""))</f>
        <v/>
      </c>
      <c r="F1836" s="5" t="str">
        <f aca="false">IF(C1836="","",IFERROR(VLOOKUP(C1836,EQUIPOS!$B$3:$G$18,6,0),""))</f>
        <v/>
      </c>
      <c r="G1836" s="8"/>
      <c r="H1836" s="5"/>
      <c r="I1836" s="5"/>
      <c r="J1836" s="9"/>
      <c r="K1836" s="17" t="str">
        <f aca="false">IF(H1836="","",IFERROR(SUMIFS(BD_PLAN!$I$3:$I$312,BD_PLAN!$B$3:$B$312,E1836,BD_PLAN!$C$3:$C$312,INDEX(BD_CICLO!$F$3:$F$54,MATCH(E1836&amp;"|"&amp;H1836,BD_CICLO!$G$3:$G$54,0))),""))</f>
        <v/>
      </c>
      <c r="L1836" s="9"/>
      <c r="M1836" s="9"/>
      <c r="N1836" s="1" t="str">
        <f aca="false">IF(C1836="","",C1836&amp;"|"&amp;COUNTIF(C$3:C1836,C1836))</f>
        <v/>
      </c>
      <c r="O1836" s="1" t="str">
        <f aca="false">IF(OR(C1836="",M1836=""),"",C1836&amp;"|"&amp;COUNTIFS(C$3:C1836,C1836,M$3:M1836,"&lt;&gt;"))</f>
        <v/>
      </c>
    </row>
    <row r="1837" customFormat="false" ht="15" hidden="false" customHeight="false" outlineLevel="0" collapsed="false">
      <c r="B1837" s="7"/>
      <c r="C1837" s="5"/>
      <c r="D1837" s="9" t="str">
        <f aca="false">IF(C1837="","",IFERROR(VLOOKUP(C1837,EQUIPOS!$B$3:$C$18,2,0),"NO EXISTE"))</f>
        <v/>
      </c>
      <c r="E1837" s="9" t="str">
        <f aca="false">IF(C1837="","",IFERROR(VLOOKUP(C1837,EQUIPOS!$B$3:$F$18,5,0),""))</f>
        <v/>
      </c>
      <c r="F1837" s="5" t="str">
        <f aca="false">IF(C1837="","",IFERROR(VLOOKUP(C1837,EQUIPOS!$B$3:$G$18,6,0),""))</f>
        <v/>
      </c>
      <c r="G1837" s="8"/>
      <c r="H1837" s="5"/>
      <c r="I1837" s="5"/>
      <c r="J1837" s="9"/>
      <c r="K1837" s="17" t="str">
        <f aca="false">IF(H1837="","",IFERROR(SUMIFS(BD_PLAN!$I$3:$I$312,BD_PLAN!$B$3:$B$312,E1837,BD_PLAN!$C$3:$C$312,INDEX(BD_CICLO!$F$3:$F$54,MATCH(E1837&amp;"|"&amp;H1837,BD_CICLO!$G$3:$G$54,0))),""))</f>
        <v/>
      </c>
      <c r="L1837" s="9"/>
      <c r="M1837" s="9"/>
      <c r="N1837" s="1" t="str">
        <f aca="false">IF(C1837="","",C1837&amp;"|"&amp;COUNTIF(C$3:C1837,C1837))</f>
        <v/>
      </c>
      <c r="O1837" s="1" t="str">
        <f aca="false">IF(OR(C1837="",M1837=""),"",C1837&amp;"|"&amp;COUNTIFS(C$3:C1837,C1837,M$3:M1837,"&lt;&gt;"))</f>
        <v/>
      </c>
    </row>
    <row r="1838" customFormat="false" ht="15" hidden="false" customHeight="false" outlineLevel="0" collapsed="false">
      <c r="B1838" s="7"/>
      <c r="C1838" s="5"/>
      <c r="D1838" s="9" t="str">
        <f aca="false">IF(C1838="","",IFERROR(VLOOKUP(C1838,EQUIPOS!$B$3:$C$18,2,0),"NO EXISTE"))</f>
        <v/>
      </c>
      <c r="E1838" s="9" t="str">
        <f aca="false">IF(C1838="","",IFERROR(VLOOKUP(C1838,EQUIPOS!$B$3:$F$18,5,0),""))</f>
        <v/>
      </c>
      <c r="F1838" s="5" t="str">
        <f aca="false">IF(C1838="","",IFERROR(VLOOKUP(C1838,EQUIPOS!$B$3:$G$18,6,0),""))</f>
        <v/>
      </c>
      <c r="G1838" s="8"/>
      <c r="H1838" s="5"/>
      <c r="I1838" s="5"/>
      <c r="J1838" s="9"/>
      <c r="K1838" s="17" t="str">
        <f aca="false">IF(H1838="","",IFERROR(SUMIFS(BD_PLAN!$I$3:$I$312,BD_PLAN!$B$3:$B$312,E1838,BD_PLAN!$C$3:$C$312,INDEX(BD_CICLO!$F$3:$F$54,MATCH(E1838&amp;"|"&amp;H1838,BD_CICLO!$G$3:$G$54,0))),""))</f>
        <v/>
      </c>
      <c r="L1838" s="9"/>
      <c r="M1838" s="9"/>
      <c r="N1838" s="1" t="str">
        <f aca="false">IF(C1838="","",C1838&amp;"|"&amp;COUNTIF(C$3:C1838,C1838))</f>
        <v/>
      </c>
      <c r="O1838" s="1" t="str">
        <f aca="false">IF(OR(C1838="",M1838=""),"",C1838&amp;"|"&amp;COUNTIFS(C$3:C1838,C1838,M$3:M1838,"&lt;&gt;"))</f>
        <v/>
      </c>
    </row>
    <row r="1839" customFormat="false" ht="15" hidden="false" customHeight="false" outlineLevel="0" collapsed="false">
      <c r="B1839" s="7"/>
      <c r="C1839" s="5"/>
      <c r="D1839" s="9" t="str">
        <f aca="false">IF(C1839="","",IFERROR(VLOOKUP(C1839,EQUIPOS!$B$3:$C$18,2,0),"NO EXISTE"))</f>
        <v/>
      </c>
      <c r="E1839" s="9" t="str">
        <f aca="false">IF(C1839="","",IFERROR(VLOOKUP(C1839,EQUIPOS!$B$3:$F$18,5,0),""))</f>
        <v/>
      </c>
      <c r="F1839" s="5" t="str">
        <f aca="false">IF(C1839="","",IFERROR(VLOOKUP(C1839,EQUIPOS!$B$3:$G$18,6,0),""))</f>
        <v/>
      </c>
      <c r="G1839" s="8"/>
      <c r="H1839" s="5"/>
      <c r="I1839" s="5"/>
      <c r="J1839" s="9"/>
      <c r="K1839" s="17" t="str">
        <f aca="false">IF(H1839="","",IFERROR(SUMIFS(BD_PLAN!$I$3:$I$312,BD_PLAN!$B$3:$B$312,E1839,BD_PLAN!$C$3:$C$312,INDEX(BD_CICLO!$F$3:$F$54,MATCH(E1839&amp;"|"&amp;H1839,BD_CICLO!$G$3:$G$54,0))),""))</f>
        <v/>
      </c>
      <c r="L1839" s="9"/>
      <c r="M1839" s="9"/>
      <c r="N1839" s="1" t="str">
        <f aca="false">IF(C1839="","",C1839&amp;"|"&amp;COUNTIF(C$3:C1839,C1839))</f>
        <v/>
      </c>
      <c r="O1839" s="1" t="str">
        <f aca="false">IF(OR(C1839="",M1839=""),"",C1839&amp;"|"&amp;COUNTIFS(C$3:C1839,C1839,M$3:M1839,"&lt;&gt;"))</f>
        <v/>
      </c>
    </row>
    <row r="1840" customFormat="false" ht="15" hidden="false" customHeight="false" outlineLevel="0" collapsed="false">
      <c r="B1840" s="7"/>
      <c r="C1840" s="5"/>
      <c r="D1840" s="9" t="str">
        <f aca="false">IF(C1840="","",IFERROR(VLOOKUP(C1840,EQUIPOS!$B$3:$C$18,2,0),"NO EXISTE"))</f>
        <v/>
      </c>
      <c r="E1840" s="9" t="str">
        <f aca="false">IF(C1840="","",IFERROR(VLOOKUP(C1840,EQUIPOS!$B$3:$F$18,5,0),""))</f>
        <v/>
      </c>
      <c r="F1840" s="5" t="str">
        <f aca="false">IF(C1840="","",IFERROR(VLOOKUP(C1840,EQUIPOS!$B$3:$G$18,6,0),""))</f>
        <v/>
      </c>
      <c r="G1840" s="8"/>
      <c r="H1840" s="5"/>
      <c r="I1840" s="5"/>
      <c r="J1840" s="9"/>
      <c r="K1840" s="17" t="str">
        <f aca="false">IF(H1840="","",IFERROR(SUMIFS(BD_PLAN!$I$3:$I$312,BD_PLAN!$B$3:$B$312,E1840,BD_PLAN!$C$3:$C$312,INDEX(BD_CICLO!$F$3:$F$54,MATCH(E1840&amp;"|"&amp;H1840,BD_CICLO!$G$3:$G$54,0))),""))</f>
        <v/>
      </c>
      <c r="L1840" s="9"/>
      <c r="M1840" s="9"/>
      <c r="N1840" s="1" t="str">
        <f aca="false">IF(C1840="","",C1840&amp;"|"&amp;COUNTIF(C$3:C1840,C1840))</f>
        <v/>
      </c>
      <c r="O1840" s="1" t="str">
        <f aca="false">IF(OR(C1840="",M1840=""),"",C1840&amp;"|"&amp;COUNTIFS(C$3:C1840,C1840,M$3:M1840,"&lt;&gt;"))</f>
        <v/>
      </c>
    </row>
    <row r="1841" customFormat="false" ht="15" hidden="false" customHeight="false" outlineLevel="0" collapsed="false">
      <c r="B1841" s="7"/>
      <c r="C1841" s="5"/>
      <c r="D1841" s="9" t="str">
        <f aca="false">IF(C1841="","",IFERROR(VLOOKUP(C1841,EQUIPOS!$B$3:$C$18,2,0),"NO EXISTE"))</f>
        <v/>
      </c>
      <c r="E1841" s="9" t="str">
        <f aca="false">IF(C1841="","",IFERROR(VLOOKUP(C1841,EQUIPOS!$B$3:$F$18,5,0),""))</f>
        <v/>
      </c>
      <c r="F1841" s="5" t="str">
        <f aca="false">IF(C1841="","",IFERROR(VLOOKUP(C1841,EQUIPOS!$B$3:$G$18,6,0),""))</f>
        <v/>
      </c>
      <c r="G1841" s="8"/>
      <c r="H1841" s="5"/>
      <c r="I1841" s="5"/>
      <c r="J1841" s="9"/>
      <c r="K1841" s="17" t="str">
        <f aca="false">IF(H1841="","",IFERROR(SUMIFS(BD_PLAN!$I$3:$I$312,BD_PLAN!$B$3:$B$312,E1841,BD_PLAN!$C$3:$C$312,INDEX(BD_CICLO!$F$3:$F$54,MATCH(E1841&amp;"|"&amp;H1841,BD_CICLO!$G$3:$G$54,0))),""))</f>
        <v/>
      </c>
      <c r="L1841" s="9"/>
      <c r="M1841" s="9"/>
      <c r="N1841" s="1" t="str">
        <f aca="false">IF(C1841="","",C1841&amp;"|"&amp;COUNTIF(C$3:C1841,C1841))</f>
        <v/>
      </c>
      <c r="O1841" s="1" t="str">
        <f aca="false">IF(OR(C1841="",M1841=""),"",C1841&amp;"|"&amp;COUNTIFS(C$3:C1841,C1841,M$3:M1841,"&lt;&gt;"))</f>
        <v/>
      </c>
    </row>
    <row r="1842" customFormat="false" ht="15" hidden="false" customHeight="false" outlineLevel="0" collapsed="false">
      <c r="B1842" s="7"/>
      <c r="C1842" s="5"/>
      <c r="D1842" s="9" t="str">
        <f aca="false">IF(C1842="","",IFERROR(VLOOKUP(C1842,EQUIPOS!$B$3:$C$18,2,0),"NO EXISTE"))</f>
        <v/>
      </c>
      <c r="E1842" s="9" t="str">
        <f aca="false">IF(C1842="","",IFERROR(VLOOKUP(C1842,EQUIPOS!$B$3:$F$18,5,0),""))</f>
        <v/>
      </c>
      <c r="F1842" s="5" t="str">
        <f aca="false">IF(C1842="","",IFERROR(VLOOKUP(C1842,EQUIPOS!$B$3:$G$18,6,0),""))</f>
        <v/>
      </c>
      <c r="G1842" s="8"/>
      <c r="H1842" s="5"/>
      <c r="I1842" s="5"/>
      <c r="J1842" s="9"/>
      <c r="K1842" s="17" t="str">
        <f aca="false">IF(H1842="","",IFERROR(SUMIFS(BD_PLAN!$I$3:$I$312,BD_PLAN!$B$3:$B$312,E1842,BD_PLAN!$C$3:$C$312,INDEX(BD_CICLO!$F$3:$F$54,MATCH(E1842&amp;"|"&amp;H1842,BD_CICLO!$G$3:$G$54,0))),""))</f>
        <v/>
      </c>
      <c r="L1842" s="9"/>
      <c r="M1842" s="9"/>
      <c r="N1842" s="1" t="str">
        <f aca="false">IF(C1842="","",C1842&amp;"|"&amp;COUNTIF(C$3:C1842,C1842))</f>
        <v/>
      </c>
      <c r="O1842" s="1" t="str">
        <f aca="false">IF(OR(C1842="",M1842=""),"",C1842&amp;"|"&amp;COUNTIFS(C$3:C1842,C1842,M$3:M1842,"&lt;&gt;"))</f>
        <v/>
      </c>
    </row>
    <row r="1843" customFormat="false" ht="15" hidden="false" customHeight="false" outlineLevel="0" collapsed="false">
      <c r="B1843" s="7"/>
      <c r="C1843" s="5"/>
      <c r="D1843" s="9" t="str">
        <f aca="false">IF(C1843="","",IFERROR(VLOOKUP(C1843,EQUIPOS!$B$3:$C$18,2,0),"NO EXISTE"))</f>
        <v/>
      </c>
      <c r="E1843" s="9" t="str">
        <f aca="false">IF(C1843="","",IFERROR(VLOOKUP(C1843,EQUIPOS!$B$3:$F$18,5,0),""))</f>
        <v/>
      </c>
      <c r="F1843" s="5" t="str">
        <f aca="false">IF(C1843="","",IFERROR(VLOOKUP(C1843,EQUIPOS!$B$3:$G$18,6,0),""))</f>
        <v/>
      </c>
      <c r="G1843" s="8"/>
      <c r="H1843" s="5"/>
      <c r="I1843" s="5"/>
      <c r="J1843" s="9"/>
      <c r="K1843" s="17" t="str">
        <f aca="false">IF(H1843="","",IFERROR(SUMIFS(BD_PLAN!$I$3:$I$312,BD_PLAN!$B$3:$B$312,E1843,BD_PLAN!$C$3:$C$312,INDEX(BD_CICLO!$F$3:$F$54,MATCH(E1843&amp;"|"&amp;H1843,BD_CICLO!$G$3:$G$54,0))),""))</f>
        <v/>
      </c>
      <c r="L1843" s="9"/>
      <c r="M1843" s="9"/>
      <c r="N1843" s="1" t="str">
        <f aca="false">IF(C1843="","",C1843&amp;"|"&amp;COUNTIF(C$3:C1843,C1843))</f>
        <v/>
      </c>
      <c r="O1843" s="1" t="str">
        <f aca="false">IF(OR(C1843="",M1843=""),"",C1843&amp;"|"&amp;COUNTIFS(C$3:C1843,C1843,M$3:M1843,"&lt;&gt;"))</f>
        <v/>
      </c>
    </row>
    <row r="1844" customFormat="false" ht="15" hidden="false" customHeight="false" outlineLevel="0" collapsed="false">
      <c r="B1844" s="7"/>
      <c r="C1844" s="5"/>
      <c r="D1844" s="9" t="str">
        <f aca="false">IF(C1844="","",IFERROR(VLOOKUP(C1844,EQUIPOS!$B$3:$C$18,2,0),"NO EXISTE"))</f>
        <v/>
      </c>
      <c r="E1844" s="9" t="str">
        <f aca="false">IF(C1844="","",IFERROR(VLOOKUP(C1844,EQUIPOS!$B$3:$F$18,5,0),""))</f>
        <v/>
      </c>
      <c r="F1844" s="5" t="str">
        <f aca="false">IF(C1844="","",IFERROR(VLOOKUP(C1844,EQUIPOS!$B$3:$G$18,6,0),""))</f>
        <v/>
      </c>
      <c r="G1844" s="8"/>
      <c r="H1844" s="5"/>
      <c r="I1844" s="5"/>
      <c r="J1844" s="9"/>
      <c r="K1844" s="17" t="str">
        <f aca="false">IF(H1844="","",IFERROR(SUMIFS(BD_PLAN!$I$3:$I$312,BD_PLAN!$B$3:$B$312,E1844,BD_PLAN!$C$3:$C$312,INDEX(BD_CICLO!$F$3:$F$54,MATCH(E1844&amp;"|"&amp;H1844,BD_CICLO!$G$3:$G$54,0))),""))</f>
        <v/>
      </c>
      <c r="L1844" s="9"/>
      <c r="M1844" s="9"/>
      <c r="N1844" s="1" t="str">
        <f aca="false">IF(C1844="","",C1844&amp;"|"&amp;COUNTIF(C$3:C1844,C1844))</f>
        <v/>
      </c>
      <c r="O1844" s="1" t="str">
        <f aca="false">IF(OR(C1844="",M1844=""),"",C1844&amp;"|"&amp;COUNTIFS(C$3:C1844,C1844,M$3:M1844,"&lt;&gt;"))</f>
        <v/>
      </c>
    </row>
    <row r="1845" customFormat="false" ht="15" hidden="false" customHeight="false" outlineLevel="0" collapsed="false">
      <c r="B1845" s="7"/>
      <c r="C1845" s="5"/>
      <c r="D1845" s="9" t="str">
        <f aca="false">IF(C1845="","",IFERROR(VLOOKUP(C1845,EQUIPOS!$B$3:$C$18,2,0),"NO EXISTE"))</f>
        <v/>
      </c>
      <c r="E1845" s="9" t="str">
        <f aca="false">IF(C1845="","",IFERROR(VLOOKUP(C1845,EQUIPOS!$B$3:$F$18,5,0),""))</f>
        <v/>
      </c>
      <c r="F1845" s="5" t="str">
        <f aca="false">IF(C1845="","",IFERROR(VLOOKUP(C1845,EQUIPOS!$B$3:$G$18,6,0),""))</f>
        <v/>
      </c>
      <c r="G1845" s="8"/>
      <c r="H1845" s="5"/>
      <c r="I1845" s="5"/>
      <c r="J1845" s="9"/>
      <c r="K1845" s="17" t="str">
        <f aca="false">IF(H1845="","",IFERROR(SUMIFS(BD_PLAN!$I$3:$I$312,BD_PLAN!$B$3:$B$312,E1845,BD_PLAN!$C$3:$C$312,INDEX(BD_CICLO!$F$3:$F$54,MATCH(E1845&amp;"|"&amp;H1845,BD_CICLO!$G$3:$G$54,0))),""))</f>
        <v/>
      </c>
      <c r="L1845" s="9"/>
      <c r="M1845" s="9"/>
      <c r="N1845" s="1" t="str">
        <f aca="false">IF(C1845="","",C1845&amp;"|"&amp;COUNTIF(C$3:C1845,C1845))</f>
        <v/>
      </c>
      <c r="O1845" s="1" t="str">
        <f aca="false">IF(OR(C1845="",M1845=""),"",C1845&amp;"|"&amp;COUNTIFS(C$3:C1845,C1845,M$3:M1845,"&lt;&gt;"))</f>
        <v/>
      </c>
    </row>
    <row r="1846" customFormat="false" ht="15" hidden="false" customHeight="false" outlineLevel="0" collapsed="false">
      <c r="B1846" s="7"/>
      <c r="C1846" s="5"/>
      <c r="D1846" s="9" t="str">
        <f aca="false">IF(C1846="","",IFERROR(VLOOKUP(C1846,EQUIPOS!$B$3:$C$18,2,0),"NO EXISTE"))</f>
        <v/>
      </c>
      <c r="E1846" s="9" t="str">
        <f aca="false">IF(C1846="","",IFERROR(VLOOKUP(C1846,EQUIPOS!$B$3:$F$18,5,0),""))</f>
        <v/>
      </c>
      <c r="F1846" s="5" t="str">
        <f aca="false">IF(C1846="","",IFERROR(VLOOKUP(C1846,EQUIPOS!$B$3:$G$18,6,0),""))</f>
        <v/>
      </c>
      <c r="G1846" s="8"/>
      <c r="H1846" s="5"/>
      <c r="I1846" s="5"/>
      <c r="J1846" s="9"/>
      <c r="K1846" s="17" t="str">
        <f aca="false">IF(H1846="","",IFERROR(SUMIFS(BD_PLAN!$I$3:$I$312,BD_PLAN!$B$3:$B$312,E1846,BD_PLAN!$C$3:$C$312,INDEX(BD_CICLO!$F$3:$F$54,MATCH(E1846&amp;"|"&amp;H1846,BD_CICLO!$G$3:$G$54,0))),""))</f>
        <v/>
      </c>
      <c r="L1846" s="9"/>
      <c r="M1846" s="9"/>
      <c r="N1846" s="1" t="str">
        <f aca="false">IF(C1846="","",C1846&amp;"|"&amp;COUNTIF(C$3:C1846,C1846))</f>
        <v/>
      </c>
      <c r="O1846" s="1" t="str">
        <f aca="false">IF(OR(C1846="",M1846=""),"",C1846&amp;"|"&amp;COUNTIFS(C$3:C1846,C1846,M$3:M1846,"&lt;&gt;"))</f>
        <v/>
      </c>
    </row>
    <row r="1847" customFormat="false" ht="15" hidden="false" customHeight="false" outlineLevel="0" collapsed="false">
      <c r="B1847" s="7"/>
      <c r="C1847" s="5"/>
      <c r="D1847" s="9" t="str">
        <f aca="false">IF(C1847="","",IFERROR(VLOOKUP(C1847,EQUIPOS!$B$3:$C$18,2,0),"NO EXISTE"))</f>
        <v/>
      </c>
      <c r="E1847" s="9" t="str">
        <f aca="false">IF(C1847="","",IFERROR(VLOOKUP(C1847,EQUIPOS!$B$3:$F$18,5,0),""))</f>
        <v/>
      </c>
      <c r="F1847" s="5" t="str">
        <f aca="false">IF(C1847="","",IFERROR(VLOOKUP(C1847,EQUIPOS!$B$3:$G$18,6,0),""))</f>
        <v/>
      </c>
      <c r="G1847" s="8"/>
      <c r="H1847" s="5"/>
      <c r="I1847" s="5"/>
      <c r="J1847" s="9"/>
      <c r="K1847" s="17" t="str">
        <f aca="false">IF(H1847="","",IFERROR(SUMIFS(BD_PLAN!$I$3:$I$312,BD_PLAN!$B$3:$B$312,E1847,BD_PLAN!$C$3:$C$312,INDEX(BD_CICLO!$F$3:$F$54,MATCH(E1847&amp;"|"&amp;H1847,BD_CICLO!$G$3:$G$54,0))),""))</f>
        <v/>
      </c>
      <c r="L1847" s="9"/>
      <c r="M1847" s="9"/>
      <c r="N1847" s="1" t="str">
        <f aca="false">IF(C1847="","",C1847&amp;"|"&amp;COUNTIF(C$3:C1847,C1847))</f>
        <v/>
      </c>
      <c r="O1847" s="1" t="str">
        <f aca="false">IF(OR(C1847="",M1847=""),"",C1847&amp;"|"&amp;COUNTIFS(C$3:C1847,C1847,M$3:M1847,"&lt;&gt;"))</f>
        <v/>
      </c>
    </row>
    <row r="1848" customFormat="false" ht="15" hidden="false" customHeight="false" outlineLevel="0" collapsed="false">
      <c r="B1848" s="7"/>
      <c r="C1848" s="5"/>
      <c r="D1848" s="9" t="str">
        <f aca="false">IF(C1848="","",IFERROR(VLOOKUP(C1848,EQUIPOS!$B$3:$C$18,2,0),"NO EXISTE"))</f>
        <v/>
      </c>
      <c r="E1848" s="9" t="str">
        <f aca="false">IF(C1848="","",IFERROR(VLOOKUP(C1848,EQUIPOS!$B$3:$F$18,5,0),""))</f>
        <v/>
      </c>
      <c r="F1848" s="5" t="str">
        <f aca="false">IF(C1848="","",IFERROR(VLOOKUP(C1848,EQUIPOS!$B$3:$G$18,6,0),""))</f>
        <v/>
      </c>
      <c r="G1848" s="8"/>
      <c r="H1848" s="5"/>
      <c r="I1848" s="5"/>
      <c r="J1848" s="9"/>
      <c r="K1848" s="17" t="str">
        <f aca="false">IF(H1848="","",IFERROR(SUMIFS(BD_PLAN!$I$3:$I$312,BD_PLAN!$B$3:$B$312,E1848,BD_PLAN!$C$3:$C$312,INDEX(BD_CICLO!$F$3:$F$54,MATCH(E1848&amp;"|"&amp;H1848,BD_CICLO!$G$3:$G$54,0))),""))</f>
        <v/>
      </c>
      <c r="L1848" s="9"/>
      <c r="M1848" s="9"/>
      <c r="N1848" s="1" t="str">
        <f aca="false">IF(C1848="","",C1848&amp;"|"&amp;COUNTIF(C$3:C1848,C1848))</f>
        <v/>
      </c>
      <c r="O1848" s="1" t="str">
        <f aca="false">IF(OR(C1848="",M1848=""),"",C1848&amp;"|"&amp;COUNTIFS(C$3:C1848,C1848,M$3:M1848,"&lt;&gt;"))</f>
        <v/>
      </c>
    </row>
    <row r="1849" customFormat="false" ht="15" hidden="false" customHeight="false" outlineLevel="0" collapsed="false">
      <c r="B1849" s="7"/>
      <c r="C1849" s="5"/>
      <c r="D1849" s="9" t="str">
        <f aca="false">IF(C1849="","",IFERROR(VLOOKUP(C1849,EQUIPOS!$B$3:$C$18,2,0),"NO EXISTE"))</f>
        <v/>
      </c>
      <c r="E1849" s="9" t="str">
        <f aca="false">IF(C1849="","",IFERROR(VLOOKUP(C1849,EQUIPOS!$B$3:$F$18,5,0),""))</f>
        <v/>
      </c>
      <c r="F1849" s="5" t="str">
        <f aca="false">IF(C1849="","",IFERROR(VLOOKUP(C1849,EQUIPOS!$B$3:$G$18,6,0),""))</f>
        <v/>
      </c>
      <c r="G1849" s="8"/>
      <c r="H1849" s="5"/>
      <c r="I1849" s="5"/>
      <c r="J1849" s="9"/>
      <c r="K1849" s="17" t="str">
        <f aca="false">IF(H1849="","",IFERROR(SUMIFS(BD_PLAN!$I$3:$I$312,BD_PLAN!$B$3:$B$312,E1849,BD_PLAN!$C$3:$C$312,INDEX(BD_CICLO!$F$3:$F$54,MATCH(E1849&amp;"|"&amp;H1849,BD_CICLO!$G$3:$G$54,0))),""))</f>
        <v/>
      </c>
      <c r="L1849" s="9"/>
      <c r="M1849" s="9"/>
      <c r="N1849" s="1" t="str">
        <f aca="false">IF(C1849="","",C1849&amp;"|"&amp;COUNTIF(C$3:C1849,C1849))</f>
        <v/>
      </c>
      <c r="O1849" s="1" t="str">
        <f aca="false">IF(OR(C1849="",M1849=""),"",C1849&amp;"|"&amp;COUNTIFS(C$3:C1849,C1849,M$3:M1849,"&lt;&gt;"))</f>
        <v/>
      </c>
    </row>
    <row r="1850" customFormat="false" ht="15" hidden="false" customHeight="false" outlineLevel="0" collapsed="false">
      <c r="B1850" s="7"/>
      <c r="C1850" s="5"/>
      <c r="D1850" s="9" t="str">
        <f aca="false">IF(C1850="","",IFERROR(VLOOKUP(C1850,EQUIPOS!$B$3:$C$18,2,0),"NO EXISTE"))</f>
        <v/>
      </c>
      <c r="E1850" s="9" t="str">
        <f aca="false">IF(C1850="","",IFERROR(VLOOKUP(C1850,EQUIPOS!$B$3:$F$18,5,0),""))</f>
        <v/>
      </c>
      <c r="F1850" s="5" t="str">
        <f aca="false">IF(C1850="","",IFERROR(VLOOKUP(C1850,EQUIPOS!$B$3:$G$18,6,0),""))</f>
        <v/>
      </c>
      <c r="G1850" s="8"/>
      <c r="H1850" s="5"/>
      <c r="I1850" s="5"/>
      <c r="J1850" s="9"/>
      <c r="K1850" s="17" t="str">
        <f aca="false">IF(H1850="","",IFERROR(SUMIFS(BD_PLAN!$I$3:$I$312,BD_PLAN!$B$3:$B$312,E1850,BD_PLAN!$C$3:$C$312,INDEX(BD_CICLO!$F$3:$F$54,MATCH(E1850&amp;"|"&amp;H1850,BD_CICLO!$G$3:$G$54,0))),""))</f>
        <v/>
      </c>
      <c r="L1850" s="9"/>
      <c r="M1850" s="9"/>
      <c r="N1850" s="1" t="str">
        <f aca="false">IF(C1850="","",C1850&amp;"|"&amp;COUNTIF(C$3:C1850,C1850))</f>
        <v/>
      </c>
      <c r="O1850" s="1" t="str">
        <f aca="false">IF(OR(C1850="",M1850=""),"",C1850&amp;"|"&amp;COUNTIFS(C$3:C1850,C1850,M$3:M1850,"&lt;&gt;"))</f>
        <v/>
      </c>
    </row>
    <row r="1851" customFormat="false" ht="15" hidden="false" customHeight="false" outlineLevel="0" collapsed="false">
      <c r="B1851" s="7"/>
      <c r="C1851" s="5"/>
      <c r="D1851" s="9" t="str">
        <f aca="false">IF(C1851="","",IFERROR(VLOOKUP(C1851,EQUIPOS!$B$3:$C$18,2,0),"NO EXISTE"))</f>
        <v/>
      </c>
      <c r="E1851" s="9" t="str">
        <f aca="false">IF(C1851="","",IFERROR(VLOOKUP(C1851,EQUIPOS!$B$3:$F$18,5,0),""))</f>
        <v/>
      </c>
      <c r="F1851" s="5" t="str">
        <f aca="false">IF(C1851="","",IFERROR(VLOOKUP(C1851,EQUIPOS!$B$3:$G$18,6,0),""))</f>
        <v/>
      </c>
      <c r="G1851" s="8"/>
      <c r="H1851" s="5"/>
      <c r="I1851" s="5"/>
      <c r="J1851" s="9"/>
      <c r="K1851" s="17" t="str">
        <f aca="false">IF(H1851="","",IFERROR(SUMIFS(BD_PLAN!$I$3:$I$312,BD_PLAN!$B$3:$B$312,E1851,BD_PLAN!$C$3:$C$312,INDEX(BD_CICLO!$F$3:$F$54,MATCH(E1851&amp;"|"&amp;H1851,BD_CICLO!$G$3:$G$54,0))),""))</f>
        <v/>
      </c>
      <c r="L1851" s="9"/>
      <c r="M1851" s="9"/>
      <c r="N1851" s="1" t="str">
        <f aca="false">IF(C1851="","",C1851&amp;"|"&amp;COUNTIF(C$3:C1851,C1851))</f>
        <v/>
      </c>
      <c r="O1851" s="1" t="str">
        <f aca="false">IF(OR(C1851="",M1851=""),"",C1851&amp;"|"&amp;COUNTIFS(C$3:C1851,C1851,M$3:M1851,"&lt;&gt;"))</f>
        <v/>
      </c>
    </row>
    <row r="1852" customFormat="false" ht="15" hidden="false" customHeight="false" outlineLevel="0" collapsed="false">
      <c r="B1852" s="7"/>
      <c r="C1852" s="5"/>
      <c r="D1852" s="9" t="str">
        <f aca="false">IF(C1852="","",IFERROR(VLOOKUP(C1852,EQUIPOS!$B$3:$C$18,2,0),"NO EXISTE"))</f>
        <v/>
      </c>
      <c r="E1852" s="9" t="str">
        <f aca="false">IF(C1852="","",IFERROR(VLOOKUP(C1852,EQUIPOS!$B$3:$F$18,5,0),""))</f>
        <v/>
      </c>
      <c r="F1852" s="5" t="str">
        <f aca="false">IF(C1852="","",IFERROR(VLOOKUP(C1852,EQUIPOS!$B$3:$G$18,6,0),""))</f>
        <v/>
      </c>
      <c r="G1852" s="8"/>
      <c r="H1852" s="5"/>
      <c r="I1852" s="5"/>
      <c r="J1852" s="9"/>
      <c r="K1852" s="17" t="str">
        <f aca="false">IF(H1852="","",IFERROR(SUMIFS(BD_PLAN!$I$3:$I$312,BD_PLAN!$B$3:$B$312,E1852,BD_PLAN!$C$3:$C$312,INDEX(BD_CICLO!$F$3:$F$54,MATCH(E1852&amp;"|"&amp;H1852,BD_CICLO!$G$3:$G$54,0))),""))</f>
        <v/>
      </c>
      <c r="L1852" s="9"/>
      <c r="M1852" s="9"/>
      <c r="N1852" s="1" t="str">
        <f aca="false">IF(C1852="","",C1852&amp;"|"&amp;COUNTIF(C$3:C1852,C1852))</f>
        <v/>
      </c>
      <c r="O1852" s="1" t="str">
        <f aca="false">IF(OR(C1852="",M1852=""),"",C1852&amp;"|"&amp;COUNTIFS(C$3:C1852,C1852,M$3:M1852,"&lt;&gt;"))</f>
        <v/>
      </c>
    </row>
    <row r="1853" customFormat="false" ht="15" hidden="false" customHeight="false" outlineLevel="0" collapsed="false">
      <c r="B1853" s="7"/>
      <c r="C1853" s="5"/>
      <c r="D1853" s="9" t="str">
        <f aca="false">IF(C1853="","",IFERROR(VLOOKUP(C1853,EQUIPOS!$B$3:$C$18,2,0),"NO EXISTE"))</f>
        <v/>
      </c>
      <c r="E1853" s="9" t="str">
        <f aca="false">IF(C1853="","",IFERROR(VLOOKUP(C1853,EQUIPOS!$B$3:$F$18,5,0),""))</f>
        <v/>
      </c>
      <c r="F1853" s="5" t="str">
        <f aca="false">IF(C1853="","",IFERROR(VLOOKUP(C1853,EQUIPOS!$B$3:$G$18,6,0),""))</f>
        <v/>
      </c>
      <c r="G1853" s="8"/>
      <c r="H1853" s="5"/>
      <c r="I1853" s="5"/>
      <c r="J1853" s="9"/>
      <c r="K1853" s="17" t="str">
        <f aca="false">IF(H1853="","",IFERROR(SUMIFS(BD_PLAN!$I$3:$I$312,BD_PLAN!$B$3:$B$312,E1853,BD_PLAN!$C$3:$C$312,INDEX(BD_CICLO!$F$3:$F$54,MATCH(E1853&amp;"|"&amp;H1853,BD_CICLO!$G$3:$G$54,0))),""))</f>
        <v/>
      </c>
      <c r="L1853" s="9"/>
      <c r="M1853" s="9"/>
      <c r="N1853" s="1" t="str">
        <f aca="false">IF(C1853="","",C1853&amp;"|"&amp;COUNTIF(C$3:C1853,C1853))</f>
        <v/>
      </c>
      <c r="O1853" s="1" t="str">
        <f aca="false">IF(OR(C1853="",M1853=""),"",C1853&amp;"|"&amp;COUNTIFS(C$3:C1853,C1853,M$3:M1853,"&lt;&gt;"))</f>
        <v/>
      </c>
    </row>
    <row r="1854" customFormat="false" ht="15" hidden="false" customHeight="false" outlineLevel="0" collapsed="false">
      <c r="B1854" s="7"/>
      <c r="C1854" s="5"/>
      <c r="D1854" s="9" t="str">
        <f aca="false">IF(C1854="","",IFERROR(VLOOKUP(C1854,EQUIPOS!$B$3:$C$18,2,0),"NO EXISTE"))</f>
        <v/>
      </c>
      <c r="E1854" s="9" t="str">
        <f aca="false">IF(C1854="","",IFERROR(VLOOKUP(C1854,EQUIPOS!$B$3:$F$18,5,0),""))</f>
        <v/>
      </c>
      <c r="F1854" s="5" t="str">
        <f aca="false">IF(C1854="","",IFERROR(VLOOKUP(C1854,EQUIPOS!$B$3:$G$18,6,0),""))</f>
        <v/>
      </c>
      <c r="G1854" s="8"/>
      <c r="H1854" s="5"/>
      <c r="I1854" s="5"/>
      <c r="J1854" s="9"/>
      <c r="K1854" s="17" t="str">
        <f aca="false">IF(H1854="","",IFERROR(SUMIFS(BD_PLAN!$I$3:$I$312,BD_PLAN!$B$3:$B$312,E1854,BD_PLAN!$C$3:$C$312,INDEX(BD_CICLO!$F$3:$F$54,MATCH(E1854&amp;"|"&amp;H1854,BD_CICLO!$G$3:$G$54,0))),""))</f>
        <v/>
      </c>
      <c r="L1854" s="9"/>
      <c r="M1854" s="9"/>
      <c r="N1854" s="1" t="str">
        <f aca="false">IF(C1854="","",C1854&amp;"|"&amp;COUNTIF(C$3:C1854,C1854))</f>
        <v/>
      </c>
      <c r="O1854" s="1" t="str">
        <f aca="false">IF(OR(C1854="",M1854=""),"",C1854&amp;"|"&amp;COUNTIFS(C$3:C1854,C1854,M$3:M1854,"&lt;&gt;"))</f>
        <v/>
      </c>
    </row>
    <row r="1855" customFormat="false" ht="15" hidden="false" customHeight="false" outlineLevel="0" collapsed="false">
      <c r="B1855" s="7"/>
      <c r="C1855" s="5"/>
      <c r="D1855" s="9" t="str">
        <f aca="false">IF(C1855="","",IFERROR(VLOOKUP(C1855,EQUIPOS!$B$3:$C$18,2,0),"NO EXISTE"))</f>
        <v/>
      </c>
      <c r="E1855" s="9" t="str">
        <f aca="false">IF(C1855="","",IFERROR(VLOOKUP(C1855,EQUIPOS!$B$3:$F$18,5,0),""))</f>
        <v/>
      </c>
      <c r="F1855" s="5" t="str">
        <f aca="false">IF(C1855="","",IFERROR(VLOOKUP(C1855,EQUIPOS!$B$3:$G$18,6,0),""))</f>
        <v/>
      </c>
      <c r="G1855" s="8"/>
      <c r="H1855" s="5"/>
      <c r="I1855" s="5"/>
      <c r="J1855" s="9"/>
      <c r="K1855" s="17" t="str">
        <f aca="false">IF(H1855="","",IFERROR(SUMIFS(BD_PLAN!$I$3:$I$312,BD_PLAN!$B$3:$B$312,E1855,BD_PLAN!$C$3:$C$312,INDEX(BD_CICLO!$F$3:$F$54,MATCH(E1855&amp;"|"&amp;H1855,BD_CICLO!$G$3:$G$54,0))),""))</f>
        <v/>
      </c>
      <c r="L1855" s="9"/>
      <c r="M1855" s="9"/>
      <c r="N1855" s="1" t="str">
        <f aca="false">IF(C1855="","",C1855&amp;"|"&amp;COUNTIF(C$3:C1855,C1855))</f>
        <v/>
      </c>
      <c r="O1855" s="1" t="str">
        <f aca="false">IF(OR(C1855="",M1855=""),"",C1855&amp;"|"&amp;COUNTIFS(C$3:C1855,C1855,M$3:M1855,"&lt;&gt;"))</f>
        <v/>
      </c>
    </row>
    <row r="1856" customFormat="false" ht="15" hidden="false" customHeight="false" outlineLevel="0" collapsed="false">
      <c r="B1856" s="7"/>
      <c r="C1856" s="5"/>
      <c r="D1856" s="9" t="str">
        <f aca="false">IF(C1856="","",IFERROR(VLOOKUP(C1856,EQUIPOS!$B$3:$C$18,2,0),"NO EXISTE"))</f>
        <v/>
      </c>
      <c r="E1856" s="9" t="str">
        <f aca="false">IF(C1856="","",IFERROR(VLOOKUP(C1856,EQUIPOS!$B$3:$F$18,5,0),""))</f>
        <v/>
      </c>
      <c r="F1856" s="5" t="str">
        <f aca="false">IF(C1856="","",IFERROR(VLOOKUP(C1856,EQUIPOS!$B$3:$G$18,6,0),""))</f>
        <v/>
      </c>
      <c r="G1856" s="8"/>
      <c r="H1856" s="5"/>
      <c r="I1856" s="5"/>
      <c r="J1856" s="9"/>
      <c r="K1856" s="17" t="str">
        <f aca="false">IF(H1856="","",IFERROR(SUMIFS(BD_PLAN!$I$3:$I$312,BD_PLAN!$B$3:$B$312,E1856,BD_PLAN!$C$3:$C$312,INDEX(BD_CICLO!$F$3:$F$54,MATCH(E1856&amp;"|"&amp;H1856,BD_CICLO!$G$3:$G$54,0))),""))</f>
        <v/>
      </c>
      <c r="L1856" s="9"/>
      <c r="M1856" s="9"/>
      <c r="N1856" s="1" t="str">
        <f aca="false">IF(C1856="","",C1856&amp;"|"&amp;COUNTIF(C$3:C1856,C1856))</f>
        <v/>
      </c>
      <c r="O1856" s="1" t="str">
        <f aca="false">IF(OR(C1856="",M1856=""),"",C1856&amp;"|"&amp;COUNTIFS(C$3:C1856,C1856,M$3:M1856,"&lt;&gt;"))</f>
        <v/>
      </c>
    </row>
    <row r="1857" customFormat="false" ht="15" hidden="false" customHeight="false" outlineLevel="0" collapsed="false">
      <c r="B1857" s="7"/>
      <c r="C1857" s="5"/>
      <c r="D1857" s="9" t="str">
        <f aca="false">IF(C1857="","",IFERROR(VLOOKUP(C1857,EQUIPOS!$B$3:$C$18,2,0),"NO EXISTE"))</f>
        <v/>
      </c>
      <c r="E1857" s="9" t="str">
        <f aca="false">IF(C1857="","",IFERROR(VLOOKUP(C1857,EQUIPOS!$B$3:$F$18,5,0),""))</f>
        <v/>
      </c>
      <c r="F1857" s="5" t="str">
        <f aca="false">IF(C1857="","",IFERROR(VLOOKUP(C1857,EQUIPOS!$B$3:$G$18,6,0),""))</f>
        <v/>
      </c>
      <c r="G1857" s="8"/>
      <c r="H1857" s="5"/>
      <c r="I1857" s="5"/>
      <c r="J1857" s="9"/>
      <c r="K1857" s="17" t="str">
        <f aca="false">IF(H1857="","",IFERROR(SUMIFS(BD_PLAN!$I$3:$I$312,BD_PLAN!$B$3:$B$312,E1857,BD_PLAN!$C$3:$C$312,INDEX(BD_CICLO!$F$3:$F$54,MATCH(E1857&amp;"|"&amp;H1857,BD_CICLO!$G$3:$G$54,0))),""))</f>
        <v/>
      </c>
      <c r="L1857" s="9"/>
      <c r="M1857" s="9"/>
      <c r="N1857" s="1" t="str">
        <f aca="false">IF(C1857="","",C1857&amp;"|"&amp;COUNTIF(C$3:C1857,C1857))</f>
        <v/>
      </c>
      <c r="O1857" s="1" t="str">
        <f aca="false">IF(OR(C1857="",M1857=""),"",C1857&amp;"|"&amp;COUNTIFS(C$3:C1857,C1857,M$3:M1857,"&lt;&gt;"))</f>
        <v/>
      </c>
    </row>
    <row r="1858" customFormat="false" ht="15" hidden="false" customHeight="false" outlineLevel="0" collapsed="false">
      <c r="B1858" s="7"/>
      <c r="C1858" s="5"/>
      <c r="D1858" s="9" t="str">
        <f aca="false">IF(C1858="","",IFERROR(VLOOKUP(C1858,EQUIPOS!$B$3:$C$18,2,0),"NO EXISTE"))</f>
        <v/>
      </c>
      <c r="E1858" s="9" t="str">
        <f aca="false">IF(C1858="","",IFERROR(VLOOKUP(C1858,EQUIPOS!$B$3:$F$18,5,0),""))</f>
        <v/>
      </c>
      <c r="F1858" s="5" t="str">
        <f aca="false">IF(C1858="","",IFERROR(VLOOKUP(C1858,EQUIPOS!$B$3:$G$18,6,0),""))</f>
        <v/>
      </c>
      <c r="G1858" s="8"/>
      <c r="H1858" s="5"/>
      <c r="I1858" s="5"/>
      <c r="J1858" s="9"/>
      <c r="K1858" s="17" t="str">
        <f aca="false">IF(H1858="","",IFERROR(SUMIFS(BD_PLAN!$I$3:$I$312,BD_PLAN!$B$3:$B$312,E1858,BD_PLAN!$C$3:$C$312,INDEX(BD_CICLO!$F$3:$F$54,MATCH(E1858&amp;"|"&amp;H1858,BD_CICLO!$G$3:$G$54,0))),""))</f>
        <v/>
      </c>
      <c r="L1858" s="9"/>
      <c r="M1858" s="9"/>
      <c r="N1858" s="1" t="str">
        <f aca="false">IF(C1858="","",C1858&amp;"|"&amp;COUNTIF(C$3:C1858,C1858))</f>
        <v/>
      </c>
      <c r="O1858" s="1" t="str">
        <f aca="false">IF(OR(C1858="",M1858=""),"",C1858&amp;"|"&amp;COUNTIFS(C$3:C1858,C1858,M$3:M1858,"&lt;&gt;"))</f>
        <v/>
      </c>
    </row>
    <row r="1859" customFormat="false" ht="15" hidden="false" customHeight="false" outlineLevel="0" collapsed="false">
      <c r="B1859" s="7"/>
      <c r="C1859" s="5"/>
      <c r="D1859" s="9" t="str">
        <f aca="false">IF(C1859="","",IFERROR(VLOOKUP(C1859,EQUIPOS!$B$3:$C$18,2,0),"NO EXISTE"))</f>
        <v/>
      </c>
      <c r="E1859" s="9" t="str">
        <f aca="false">IF(C1859="","",IFERROR(VLOOKUP(C1859,EQUIPOS!$B$3:$F$18,5,0),""))</f>
        <v/>
      </c>
      <c r="F1859" s="5" t="str">
        <f aca="false">IF(C1859="","",IFERROR(VLOOKUP(C1859,EQUIPOS!$B$3:$G$18,6,0),""))</f>
        <v/>
      </c>
      <c r="G1859" s="8"/>
      <c r="H1859" s="5"/>
      <c r="I1859" s="5"/>
      <c r="J1859" s="9"/>
      <c r="K1859" s="17" t="str">
        <f aca="false">IF(H1859="","",IFERROR(SUMIFS(BD_PLAN!$I$3:$I$312,BD_PLAN!$B$3:$B$312,E1859,BD_PLAN!$C$3:$C$312,INDEX(BD_CICLO!$F$3:$F$54,MATCH(E1859&amp;"|"&amp;H1859,BD_CICLO!$G$3:$G$54,0))),""))</f>
        <v/>
      </c>
      <c r="L1859" s="9"/>
      <c r="M1859" s="9"/>
      <c r="N1859" s="1" t="str">
        <f aca="false">IF(C1859="","",C1859&amp;"|"&amp;COUNTIF(C$3:C1859,C1859))</f>
        <v/>
      </c>
      <c r="O1859" s="1" t="str">
        <f aca="false">IF(OR(C1859="",M1859=""),"",C1859&amp;"|"&amp;COUNTIFS(C$3:C1859,C1859,M$3:M1859,"&lt;&gt;"))</f>
        <v/>
      </c>
    </row>
    <row r="1860" customFormat="false" ht="15" hidden="false" customHeight="false" outlineLevel="0" collapsed="false">
      <c r="B1860" s="7"/>
      <c r="C1860" s="5"/>
      <c r="D1860" s="9" t="str">
        <f aca="false">IF(C1860="","",IFERROR(VLOOKUP(C1860,EQUIPOS!$B$3:$C$18,2,0),"NO EXISTE"))</f>
        <v/>
      </c>
      <c r="E1860" s="9" t="str">
        <f aca="false">IF(C1860="","",IFERROR(VLOOKUP(C1860,EQUIPOS!$B$3:$F$18,5,0),""))</f>
        <v/>
      </c>
      <c r="F1860" s="5" t="str">
        <f aca="false">IF(C1860="","",IFERROR(VLOOKUP(C1860,EQUIPOS!$B$3:$G$18,6,0),""))</f>
        <v/>
      </c>
      <c r="G1860" s="8"/>
      <c r="H1860" s="5"/>
      <c r="I1860" s="5"/>
      <c r="J1860" s="9"/>
      <c r="K1860" s="17" t="str">
        <f aca="false">IF(H1860="","",IFERROR(SUMIFS(BD_PLAN!$I$3:$I$312,BD_PLAN!$B$3:$B$312,E1860,BD_PLAN!$C$3:$C$312,INDEX(BD_CICLO!$F$3:$F$54,MATCH(E1860&amp;"|"&amp;H1860,BD_CICLO!$G$3:$G$54,0))),""))</f>
        <v/>
      </c>
      <c r="L1860" s="9"/>
      <c r="M1860" s="9"/>
      <c r="N1860" s="1" t="str">
        <f aca="false">IF(C1860="","",C1860&amp;"|"&amp;COUNTIF(C$3:C1860,C1860))</f>
        <v/>
      </c>
      <c r="O1860" s="1" t="str">
        <f aca="false">IF(OR(C1860="",M1860=""),"",C1860&amp;"|"&amp;COUNTIFS(C$3:C1860,C1860,M$3:M1860,"&lt;&gt;"))</f>
        <v/>
      </c>
    </row>
    <row r="1861" customFormat="false" ht="15" hidden="false" customHeight="false" outlineLevel="0" collapsed="false">
      <c r="B1861" s="7"/>
      <c r="C1861" s="5"/>
      <c r="D1861" s="9" t="str">
        <f aca="false">IF(C1861="","",IFERROR(VLOOKUP(C1861,EQUIPOS!$B$3:$C$18,2,0),"NO EXISTE"))</f>
        <v/>
      </c>
      <c r="E1861" s="9" t="str">
        <f aca="false">IF(C1861="","",IFERROR(VLOOKUP(C1861,EQUIPOS!$B$3:$F$18,5,0),""))</f>
        <v/>
      </c>
      <c r="F1861" s="5" t="str">
        <f aca="false">IF(C1861="","",IFERROR(VLOOKUP(C1861,EQUIPOS!$B$3:$G$18,6,0),""))</f>
        <v/>
      </c>
      <c r="G1861" s="8"/>
      <c r="H1861" s="5"/>
      <c r="I1861" s="5"/>
      <c r="J1861" s="9"/>
      <c r="K1861" s="17" t="str">
        <f aca="false">IF(H1861="","",IFERROR(SUMIFS(BD_PLAN!$I$3:$I$312,BD_PLAN!$B$3:$B$312,E1861,BD_PLAN!$C$3:$C$312,INDEX(BD_CICLO!$F$3:$F$54,MATCH(E1861&amp;"|"&amp;H1861,BD_CICLO!$G$3:$G$54,0))),""))</f>
        <v/>
      </c>
      <c r="L1861" s="9"/>
      <c r="M1861" s="9"/>
      <c r="N1861" s="1" t="str">
        <f aca="false">IF(C1861="","",C1861&amp;"|"&amp;COUNTIF(C$3:C1861,C1861))</f>
        <v/>
      </c>
      <c r="O1861" s="1" t="str">
        <f aca="false">IF(OR(C1861="",M1861=""),"",C1861&amp;"|"&amp;COUNTIFS(C$3:C1861,C1861,M$3:M1861,"&lt;&gt;"))</f>
        <v/>
      </c>
    </row>
    <row r="1862" customFormat="false" ht="15" hidden="false" customHeight="false" outlineLevel="0" collapsed="false">
      <c r="B1862" s="7"/>
      <c r="C1862" s="5"/>
      <c r="D1862" s="9" t="str">
        <f aca="false">IF(C1862="","",IFERROR(VLOOKUP(C1862,EQUIPOS!$B$3:$C$18,2,0),"NO EXISTE"))</f>
        <v/>
      </c>
      <c r="E1862" s="9" t="str">
        <f aca="false">IF(C1862="","",IFERROR(VLOOKUP(C1862,EQUIPOS!$B$3:$F$18,5,0),""))</f>
        <v/>
      </c>
      <c r="F1862" s="5" t="str">
        <f aca="false">IF(C1862="","",IFERROR(VLOOKUP(C1862,EQUIPOS!$B$3:$G$18,6,0),""))</f>
        <v/>
      </c>
      <c r="G1862" s="8"/>
      <c r="H1862" s="5"/>
      <c r="I1862" s="5"/>
      <c r="J1862" s="9"/>
      <c r="K1862" s="17" t="str">
        <f aca="false">IF(H1862="","",IFERROR(SUMIFS(BD_PLAN!$I$3:$I$312,BD_PLAN!$B$3:$B$312,E1862,BD_PLAN!$C$3:$C$312,INDEX(BD_CICLO!$F$3:$F$54,MATCH(E1862&amp;"|"&amp;H1862,BD_CICLO!$G$3:$G$54,0))),""))</f>
        <v/>
      </c>
      <c r="L1862" s="9"/>
      <c r="M1862" s="9"/>
      <c r="N1862" s="1" t="str">
        <f aca="false">IF(C1862="","",C1862&amp;"|"&amp;COUNTIF(C$3:C1862,C1862))</f>
        <v/>
      </c>
      <c r="O1862" s="1" t="str">
        <f aca="false">IF(OR(C1862="",M1862=""),"",C1862&amp;"|"&amp;COUNTIFS(C$3:C1862,C1862,M$3:M1862,"&lt;&gt;"))</f>
        <v/>
      </c>
    </row>
    <row r="1863" customFormat="false" ht="15" hidden="false" customHeight="false" outlineLevel="0" collapsed="false">
      <c r="B1863" s="7"/>
      <c r="C1863" s="5"/>
      <c r="D1863" s="9" t="str">
        <f aca="false">IF(C1863="","",IFERROR(VLOOKUP(C1863,EQUIPOS!$B$3:$C$18,2,0),"NO EXISTE"))</f>
        <v/>
      </c>
      <c r="E1863" s="9" t="str">
        <f aca="false">IF(C1863="","",IFERROR(VLOOKUP(C1863,EQUIPOS!$B$3:$F$18,5,0),""))</f>
        <v/>
      </c>
      <c r="F1863" s="5" t="str">
        <f aca="false">IF(C1863="","",IFERROR(VLOOKUP(C1863,EQUIPOS!$B$3:$G$18,6,0),""))</f>
        <v/>
      </c>
      <c r="G1863" s="8"/>
      <c r="H1863" s="5"/>
      <c r="I1863" s="5"/>
      <c r="J1863" s="9"/>
      <c r="K1863" s="17" t="str">
        <f aca="false">IF(H1863="","",IFERROR(SUMIFS(BD_PLAN!$I$3:$I$312,BD_PLAN!$B$3:$B$312,E1863,BD_PLAN!$C$3:$C$312,INDEX(BD_CICLO!$F$3:$F$54,MATCH(E1863&amp;"|"&amp;H1863,BD_CICLO!$G$3:$G$54,0))),""))</f>
        <v/>
      </c>
      <c r="L1863" s="9"/>
      <c r="M1863" s="9"/>
      <c r="N1863" s="1" t="str">
        <f aca="false">IF(C1863="","",C1863&amp;"|"&amp;COUNTIF(C$3:C1863,C1863))</f>
        <v/>
      </c>
      <c r="O1863" s="1" t="str">
        <f aca="false">IF(OR(C1863="",M1863=""),"",C1863&amp;"|"&amp;COUNTIFS(C$3:C1863,C1863,M$3:M1863,"&lt;&gt;"))</f>
        <v/>
      </c>
    </row>
    <row r="1864" customFormat="false" ht="15" hidden="false" customHeight="false" outlineLevel="0" collapsed="false">
      <c r="B1864" s="7"/>
      <c r="C1864" s="5"/>
      <c r="D1864" s="9" t="str">
        <f aca="false">IF(C1864="","",IFERROR(VLOOKUP(C1864,EQUIPOS!$B$3:$C$18,2,0),"NO EXISTE"))</f>
        <v/>
      </c>
      <c r="E1864" s="9" t="str">
        <f aca="false">IF(C1864="","",IFERROR(VLOOKUP(C1864,EQUIPOS!$B$3:$F$18,5,0),""))</f>
        <v/>
      </c>
      <c r="F1864" s="5" t="str">
        <f aca="false">IF(C1864="","",IFERROR(VLOOKUP(C1864,EQUIPOS!$B$3:$G$18,6,0),""))</f>
        <v/>
      </c>
      <c r="G1864" s="8"/>
      <c r="H1864" s="5"/>
      <c r="I1864" s="5"/>
      <c r="J1864" s="9"/>
      <c r="K1864" s="17" t="str">
        <f aca="false">IF(H1864="","",IFERROR(SUMIFS(BD_PLAN!$I$3:$I$312,BD_PLAN!$B$3:$B$312,E1864,BD_PLAN!$C$3:$C$312,INDEX(BD_CICLO!$F$3:$F$54,MATCH(E1864&amp;"|"&amp;H1864,BD_CICLO!$G$3:$G$54,0))),""))</f>
        <v/>
      </c>
      <c r="L1864" s="9"/>
      <c r="M1864" s="9"/>
      <c r="N1864" s="1" t="str">
        <f aca="false">IF(C1864="","",C1864&amp;"|"&amp;COUNTIF(C$3:C1864,C1864))</f>
        <v/>
      </c>
      <c r="O1864" s="1" t="str">
        <f aca="false">IF(OR(C1864="",M1864=""),"",C1864&amp;"|"&amp;COUNTIFS(C$3:C1864,C1864,M$3:M1864,"&lt;&gt;"))</f>
        <v/>
      </c>
    </row>
    <row r="1865" customFormat="false" ht="15" hidden="false" customHeight="false" outlineLevel="0" collapsed="false">
      <c r="B1865" s="7"/>
      <c r="C1865" s="5"/>
      <c r="D1865" s="9" t="str">
        <f aca="false">IF(C1865="","",IFERROR(VLOOKUP(C1865,EQUIPOS!$B$3:$C$18,2,0),"NO EXISTE"))</f>
        <v/>
      </c>
      <c r="E1865" s="9" t="str">
        <f aca="false">IF(C1865="","",IFERROR(VLOOKUP(C1865,EQUIPOS!$B$3:$F$18,5,0),""))</f>
        <v/>
      </c>
      <c r="F1865" s="5" t="str">
        <f aca="false">IF(C1865="","",IFERROR(VLOOKUP(C1865,EQUIPOS!$B$3:$G$18,6,0),""))</f>
        <v/>
      </c>
      <c r="G1865" s="8"/>
      <c r="H1865" s="5"/>
      <c r="I1865" s="5"/>
      <c r="J1865" s="9"/>
      <c r="K1865" s="17" t="str">
        <f aca="false">IF(H1865="","",IFERROR(SUMIFS(BD_PLAN!$I$3:$I$312,BD_PLAN!$B$3:$B$312,E1865,BD_PLAN!$C$3:$C$312,INDEX(BD_CICLO!$F$3:$F$54,MATCH(E1865&amp;"|"&amp;H1865,BD_CICLO!$G$3:$G$54,0))),""))</f>
        <v/>
      </c>
      <c r="L1865" s="9"/>
      <c r="M1865" s="9"/>
      <c r="N1865" s="1" t="str">
        <f aca="false">IF(C1865="","",C1865&amp;"|"&amp;COUNTIF(C$3:C1865,C1865))</f>
        <v/>
      </c>
      <c r="O1865" s="1" t="str">
        <f aca="false">IF(OR(C1865="",M1865=""),"",C1865&amp;"|"&amp;COUNTIFS(C$3:C1865,C1865,M$3:M1865,"&lt;&gt;"))</f>
        <v/>
      </c>
    </row>
    <row r="1866" customFormat="false" ht="15" hidden="false" customHeight="false" outlineLevel="0" collapsed="false">
      <c r="B1866" s="7"/>
      <c r="C1866" s="5"/>
      <c r="D1866" s="9" t="str">
        <f aca="false">IF(C1866="","",IFERROR(VLOOKUP(C1866,EQUIPOS!$B$3:$C$18,2,0),"NO EXISTE"))</f>
        <v/>
      </c>
      <c r="E1866" s="9" t="str">
        <f aca="false">IF(C1866="","",IFERROR(VLOOKUP(C1866,EQUIPOS!$B$3:$F$18,5,0),""))</f>
        <v/>
      </c>
      <c r="F1866" s="5" t="str">
        <f aca="false">IF(C1866="","",IFERROR(VLOOKUP(C1866,EQUIPOS!$B$3:$G$18,6,0),""))</f>
        <v/>
      </c>
      <c r="G1866" s="8"/>
      <c r="H1866" s="5"/>
      <c r="I1866" s="5"/>
      <c r="J1866" s="9"/>
      <c r="K1866" s="17" t="str">
        <f aca="false">IF(H1866="","",IFERROR(SUMIFS(BD_PLAN!$I$3:$I$312,BD_PLAN!$B$3:$B$312,E1866,BD_PLAN!$C$3:$C$312,INDEX(BD_CICLO!$F$3:$F$54,MATCH(E1866&amp;"|"&amp;H1866,BD_CICLO!$G$3:$G$54,0))),""))</f>
        <v/>
      </c>
      <c r="L1866" s="9"/>
      <c r="M1866" s="9"/>
      <c r="N1866" s="1" t="str">
        <f aca="false">IF(C1866="","",C1866&amp;"|"&amp;COUNTIF(C$3:C1866,C1866))</f>
        <v/>
      </c>
      <c r="O1866" s="1" t="str">
        <f aca="false">IF(OR(C1866="",M1866=""),"",C1866&amp;"|"&amp;COUNTIFS(C$3:C1866,C1866,M$3:M1866,"&lt;&gt;"))</f>
        <v/>
      </c>
    </row>
    <row r="1867" customFormat="false" ht="15" hidden="false" customHeight="false" outlineLevel="0" collapsed="false">
      <c r="B1867" s="7"/>
      <c r="C1867" s="5"/>
      <c r="D1867" s="9" t="str">
        <f aca="false">IF(C1867="","",IFERROR(VLOOKUP(C1867,EQUIPOS!$B$3:$C$18,2,0),"NO EXISTE"))</f>
        <v/>
      </c>
      <c r="E1867" s="9" t="str">
        <f aca="false">IF(C1867="","",IFERROR(VLOOKUP(C1867,EQUIPOS!$B$3:$F$18,5,0),""))</f>
        <v/>
      </c>
      <c r="F1867" s="5" t="str">
        <f aca="false">IF(C1867="","",IFERROR(VLOOKUP(C1867,EQUIPOS!$B$3:$G$18,6,0),""))</f>
        <v/>
      </c>
      <c r="G1867" s="8"/>
      <c r="H1867" s="5"/>
      <c r="I1867" s="5"/>
      <c r="J1867" s="9"/>
      <c r="K1867" s="17" t="str">
        <f aca="false">IF(H1867="","",IFERROR(SUMIFS(BD_PLAN!$I$3:$I$312,BD_PLAN!$B$3:$B$312,E1867,BD_PLAN!$C$3:$C$312,INDEX(BD_CICLO!$F$3:$F$54,MATCH(E1867&amp;"|"&amp;H1867,BD_CICLO!$G$3:$G$54,0))),""))</f>
        <v/>
      </c>
      <c r="L1867" s="9"/>
      <c r="M1867" s="9"/>
      <c r="N1867" s="1" t="str">
        <f aca="false">IF(C1867="","",C1867&amp;"|"&amp;COUNTIF(C$3:C1867,C1867))</f>
        <v/>
      </c>
      <c r="O1867" s="1" t="str">
        <f aca="false">IF(OR(C1867="",M1867=""),"",C1867&amp;"|"&amp;COUNTIFS(C$3:C1867,C1867,M$3:M1867,"&lt;&gt;"))</f>
        <v/>
      </c>
    </row>
    <row r="1868" customFormat="false" ht="15" hidden="false" customHeight="false" outlineLevel="0" collapsed="false">
      <c r="B1868" s="7"/>
      <c r="C1868" s="5"/>
      <c r="D1868" s="9" t="str">
        <f aca="false">IF(C1868="","",IFERROR(VLOOKUP(C1868,EQUIPOS!$B$3:$C$18,2,0),"NO EXISTE"))</f>
        <v/>
      </c>
      <c r="E1868" s="9" t="str">
        <f aca="false">IF(C1868="","",IFERROR(VLOOKUP(C1868,EQUIPOS!$B$3:$F$18,5,0),""))</f>
        <v/>
      </c>
      <c r="F1868" s="5" t="str">
        <f aca="false">IF(C1868="","",IFERROR(VLOOKUP(C1868,EQUIPOS!$B$3:$G$18,6,0),""))</f>
        <v/>
      </c>
      <c r="G1868" s="8"/>
      <c r="H1868" s="5"/>
      <c r="I1868" s="5"/>
      <c r="J1868" s="9"/>
      <c r="K1868" s="17" t="str">
        <f aca="false">IF(H1868="","",IFERROR(SUMIFS(BD_PLAN!$I$3:$I$312,BD_PLAN!$B$3:$B$312,E1868,BD_PLAN!$C$3:$C$312,INDEX(BD_CICLO!$F$3:$F$54,MATCH(E1868&amp;"|"&amp;H1868,BD_CICLO!$G$3:$G$54,0))),""))</f>
        <v/>
      </c>
      <c r="L1868" s="9"/>
      <c r="M1868" s="9"/>
      <c r="N1868" s="1" t="str">
        <f aca="false">IF(C1868="","",C1868&amp;"|"&amp;COUNTIF(C$3:C1868,C1868))</f>
        <v/>
      </c>
      <c r="O1868" s="1" t="str">
        <f aca="false">IF(OR(C1868="",M1868=""),"",C1868&amp;"|"&amp;COUNTIFS(C$3:C1868,C1868,M$3:M1868,"&lt;&gt;"))</f>
        <v/>
      </c>
    </row>
    <row r="1869" customFormat="false" ht="15" hidden="false" customHeight="false" outlineLevel="0" collapsed="false">
      <c r="B1869" s="7"/>
      <c r="C1869" s="5"/>
      <c r="D1869" s="9" t="str">
        <f aca="false">IF(C1869="","",IFERROR(VLOOKUP(C1869,EQUIPOS!$B$3:$C$18,2,0),"NO EXISTE"))</f>
        <v/>
      </c>
      <c r="E1869" s="9" t="str">
        <f aca="false">IF(C1869="","",IFERROR(VLOOKUP(C1869,EQUIPOS!$B$3:$F$18,5,0),""))</f>
        <v/>
      </c>
      <c r="F1869" s="5" t="str">
        <f aca="false">IF(C1869="","",IFERROR(VLOOKUP(C1869,EQUIPOS!$B$3:$G$18,6,0),""))</f>
        <v/>
      </c>
      <c r="G1869" s="8"/>
      <c r="H1869" s="5"/>
      <c r="I1869" s="5"/>
      <c r="J1869" s="9"/>
      <c r="K1869" s="17" t="str">
        <f aca="false">IF(H1869="","",IFERROR(SUMIFS(BD_PLAN!$I$3:$I$312,BD_PLAN!$B$3:$B$312,E1869,BD_PLAN!$C$3:$C$312,INDEX(BD_CICLO!$F$3:$F$54,MATCH(E1869&amp;"|"&amp;H1869,BD_CICLO!$G$3:$G$54,0))),""))</f>
        <v/>
      </c>
      <c r="L1869" s="9"/>
      <c r="M1869" s="9"/>
      <c r="N1869" s="1" t="str">
        <f aca="false">IF(C1869="","",C1869&amp;"|"&amp;COUNTIF(C$3:C1869,C1869))</f>
        <v/>
      </c>
      <c r="O1869" s="1" t="str">
        <f aca="false">IF(OR(C1869="",M1869=""),"",C1869&amp;"|"&amp;COUNTIFS(C$3:C1869,C1869,M$3:M1869,"&lt;&gt;"))</f>
        <v/>
      </c>
    </row>
    <row r="1870" customFormat="false" ht="15" hidden="false" customHeight="false" outlineLevel="0" collapsed="false">
      <c r="B1870" s="7"/>
      <c r="C1870" s="5"/>
      <c r="D1870" s="9" t="str">
        <f aca="false">IF(C1870="","",IFERROR(VLOOKUP(C1870,EQUIPOS!$B$3:$C$18,2,0),"NO EXISTE"))</f>
        <v/>
      </c>
      <c r="E1870" s="9" t="str">
        <f aca="false">IF(C1870="","",IFERROR(VLOOKUP(C1870,EQUIPOS!$B$3:$F$18,5,0),""))</f>
        <v/>
      </c>
      <c r="F1870" s="5" t="str">
        <f aca="false">IF(C1870="","",IFERROR(VLOOKUP(C1870,EQUIPOS!$B$3:$G$18,6,0),""))</f>
        <v/>
      </c>
      <c r="G1870" s="8"/>
      <c r="H1870" s="5"/>
      <c r="I1870" s="5"/>
      <c r="J1870" s="9"/>
      <c r="K1870" s="17" t="str">
        <f aca="false">IF(H1870="","",IFERROR(SUMIFS(BD_PLAN!$I$3:$I$312,BD_PLAN!$B$3:$B$312,E1870,BD_PLAN!$C$3:$C$312,INDEX(BD_CICLO!$F$3:$F$54,MATCH(E1870&amp;"|"&amp;H1870,BD_CICLO!$G$3:$G$54,0))),""))</f>
        <v/>
      </c>
      <c r="L1870" s="9"/>
      <c r="M1870" s="9"/>
      <c r="N1870" s="1" t="str">
        <f aca="false">IF(C1870="","",C1870&amp;"|"&amp;COUNTIF(C$3:C1870,C1870))</f>
        <v/>
      </c>
      <c r="O1870" s="1" t="str">
        <f aca="false">IF(OR(C1870="",M1870=""),"",C1870&amp;"|"&amp;COUNTIFS(C$3:C1870,C1870,M$3:M1870,"&lt;&gt;"))</f>
        <v/>
      </c>
    </row>
    <row r="1871" customFormat="false" ht="15" hidden="false" customHeight="false" outlineLevel="0" collapsed="false">
      <c r="B1871" s="7"/>
      <c r="C1871" s="5"/>
      <c r="D1871" s="9" t="str">
        <f aca="false">IF(C1871="","",IFERROR(VLOOKUP(C1871,EQUIPOS!$B$3:$C$18,2,0),"NO EXISTE"))</f>
        <v/>
      </c>
      <c r="E1871" s="9" t="str">
        <f aca="false">IF(C1871="","",IFERROR(VLOOKUP(C1871,EQUIPOS!$B$3:$F$18,5,0),""))</f>
        <v/>
      </c>
      <c r="F1871" s="5" t="str">
        <f aca="false">IF(C1871="","",IFERROR(VLOOKUP(C1871,EQUIPOS!$B$3:$G$18,6,0),""))</f>
        <v/>
      </c>
      <c r="G1871" s="8"/>
      <c r="H1871" s="5"/>
      <c r="I1871" s="5"/>
      <c r="J1871" s="9"/>
      <c r="K1871" s="17" t="str">
        <f aca="false">IF(H1871="","",IFERROR(SUMIFS(BD_PLAN!$I$3:$I$312,BD_PLAN!$B$3:$B$312,E1871,BD_PLAN!$C$3:$C$312,INDEX(BD_CICLO!$F$3:$F$54,MATCH(E1871&amp;"|"&amp;H1871,BD_CICLO!$G$3:$G$54,0))),""))</f>
        <v/>
      </c>
      <c r="L1871" s="9"/>
      <c r="M1871" s="9"/>
      <c r="N1871" s="1" t="str">
        <f aca="false">IF(C1871="","",C1871&amp;"|"&amp;COUNTIF(C$3:C1871,C1871))</f>
        <v/>
      </c>
      <c r="O1871" s="1" t="str">
        <f aca="false">IF(OR(C1871="",M1871=""),"",C1871&amp;"|"&amp;COUNTIFS(C$3:C1871,C1871,M$3:M1871,"&lt;&gt;"))</f>
        <v/>
      </c>
    </row>
    <row r="1872" customFormat="false" ht="15" hidden="false" customHeight="false" outlineLevel="0" collapsed="false">
      <c r="B1872" s="7"/>
      <c r="C1872" s="5"/>
      <c r="D1872" s="9" t="str">
        <f aca="false">IF(C1872="","",IFERROR(VLOOKUP(C1872,EQUIPOS!$B$3:$C$18,2,0),"NO EXISTE"))</f>
        <v/>
      </c>
      <c r="E1872" s="9" t="str">
        <f aca="false">IF(C1872="","",IFERROR(VLOOKUP(C1872,EQUIPOS!$B$3:$F$18,5,0),""))</f>
        <v/>
      </c>
      <c r="F1872" s="5" t="str">
        <f aca="false">IF(C1872="","",IFERROR(VLOOKUP(C1872,EQUIPOS!$B$3:$G$18,6,0),""))</f>
        <v/>
      </c>
      <c r="G1872" s="8"/>
      <c r="H1872" s="5"/>
      <c r="I1872" s="5"/>
      <c r="J1872" s="9"/>
      <c r="K1872" s="17" t="str">
        <f aca="false">IF(H1872="","",IFERROR(SUMIFS(BD_PLAN!$I$3:$I$312,BD_PLAN!$B$3:$B$312,E1872,BD_PLAN!$C$3:$C$312,INDEX(BD_CICLO!$F$3:$F$54,MATCH(E1872&amp;"|"&amp;H1872,BD_CICLO!$G$3:$G$54,0))),""))</f>
        <v/>
      </c>
      <c r="L1872" s="9"/>
      <c r="M1872" s="9"/>
      <c r="N1872" s="1" t="str">
        <f aca="false">IF(C1872="","",C1872&amp;"|"&amp;COUNTIF(C$3:C1872,C1872))</f>
        <v/>
      </c>
      <c r="O1872" s="1" t="str">
        <f aca="false">IF(OR(C1872="",M1872=""),"",C1872&amp;"|"&amp;COUNTIFS(C$3:C1872,C1872,M$3:M1872,"&lt;&gt;"))</f>
        <v/>
      </c>
    </row>
    <row r="1873" customFormat="false" ht="15" hidden="false" customHeight="false" outlineLevel="0" collapsed="false">
      <c r="B1873" s="7"/>
      <c r="C1873" s="5"/>
      <c r="D1873" s="9" t="str">
        <f aca="false">IF(C1873="","",IFERROR(VLOOKUP(C1873,EQUIPOS!$B$3:$C$18,2,0),"NO EXISTE"))</f>
        <v/>
      </c>
      <c r="E1873" s="9" t="str">
        <f aca="false">IF(C1873="","",IFERROR(VLOOKUP(C1873,EQUIPOS!$B$3:$F$18,5,0),""))</f>
        <v/>
      </c>
      <c r="F1873" s="5" t="str">
        <f aca="false">IF(C1873="","",IFERROR(VLOOKUP(C1873,EQUIPOS!$B$3:$G$18,6,0),""))</f>
        <v/>
      </c>
      <c r="G1873" s="8"/>
      <c r="H1873" s="5"/>
      <c r="I1873" s="5"/>
      <c r="J1873" s="9"/>
      <c r="K1873" s="17" t="str">
        <f aca="false">IF(H1873="","",IFERROR(SUMIFS(BD_PLAN!$I$3:$I$312,BD_PLAN!$B$3:$B$312,E1873,BD_PLAN!$C$3:$C$312,INDEX(BD_CICLO!$F$3:$F$54,MATCH(E1873&amp;"|"&amp;H1873,BD_CICLO!$G$3:$G$54,0))),""))</f>
        <v/>
      </c>
      <c r="L1873" s="9"/>
      <c r="M1873" s="9"/>
      <c r="N1873" s="1" t="str">
        <f aca="false">IF(C1873="","",C1873&amp;"|"&amp;COUNTIF(C$3:C1873,C1873))</f>
        <v/>
      </c>
      <c r="O1873" s="1" t="str">
        <f aca="false">IF(OR(C1873="",M1873=""),"",C1873&amp;"|"&amp;COUNTIFS(C$3:C1873,C1873,M$3:M1873,"&lt;&gt;"))</f>
        <v/>
      </c>
    </row>
    <row r="1874" customFormat="false" ht="15" hidden="false" customHeight="false" outlineLevel="0" collapsed="false">
      <c r="B1874" s="7"/>
      <c r="C1874" s="5"/>
      <c r="D1874" s="9" t="str">
        <f aca="false">IF(C1874="","",IFERROR(VLOOKUP(C1874,EQUIPOS!$B$3:$C$18,2,0),"NO EXISTE"))</f>
        <v/>
      </c>
      <c r="E1874" s="9" t="str">
        <f aca="false">IF(C1874="","",IFERROR(VLOOKUP(C1874,EQUIPOS!$B$3:$F$18,5,0),""))</f>
        <v/>
      </c>
      <c r="F1874" s="5" t="str">
        <f aca="false">IF(C1874="","",IFERROR(VLOOKUP(C1874,EQUIPOS!$B$3:$G$18,6,0),""))</f>
        <v/>
      </c>
      <c r="G1874" s="8"/>
      <c r="H1874" s="5"/>
      <c r="I1874" s="5"/>
      <c r="J1874" s="9"/>
      <c r="K1874" s="17" t="str">
        <f aca="false">IF(H1874="","",IFERROR(SUMIFS(BD_PLAN!$I$3:$I$312,BD_PLAN!$B$3:$B$312,E1874,BD_PLAN!$C$3:$C$312,INDEX(BD_CICLO!$F$3:$F$54,MATCH(E1874&amp;"|"&amp;H1874,BD_CICLO!$G$3:$G$54,0))),""))</f>
        <v/>
      </c>
      <c r="L1874" s="9"/>
      <c r="M1874" s="9"/>
      <c r="N1874" s="1" t="str">
        <f aca="false">IF(C1874="","",C1874&amp;"|"&amp;COUNTIF(C$3:C1874,C1874))</f>
        <v/>
      </c>
      <c r="O1874" s="1" t="str">
        <f aca="false">IF(OR(C1874="",M1874=""),"",C1874&amp;"|"&amp;COUNTIFS(C$3:C1874,C1874,M$3:M1874,"&lt;&gt;"))</f>
        <v/>
      </c>
    </row>
    <row r="1875" customFormat="false" ht="15" hidden="false" customHeight="false" outlineLevel="0" collapsed="false">
      <c r="B1875" s="7"/>
      <c r="C1875" s="5"/>
      <c r="D1875" s="9" t="str">
        <f aca="false">IF(C1875="","",IFERROR(VLOOKUP(C1875,EQUIPOS!$B$3:$C$18,2,0),"NO EXISTE"))</f>
        <v/>
      </c>
      <c r="E1875" s="9" t="str">
        <f aca="false">IF(C1875="","",IFERROR(VLOOKUP(C1875,EQUIPOS!$B$3:$F$18,5,0),""))</f>
        <v/>
      </c>
      <c r="F1875" s="5" t="str">
        <f aca="false">IF(C1875="","",IFERROR(VLOOKUP(C1875,EQUIPOS!$B$3:$G$18,6,0),""))</f>
        <v/>
      </c>
      <c r="G1875" s="8"/>
      <c r="H1875" s="5"/>
      <c r="I1875" s="5"/>
      <c r="J1875" s="9"/>
      <c r="K1875" s="17" t="str">
        <f aca="false">IF(H1875="","",IFERROR(SUMIFS(BD_PLAN!$I$3:$I$312,BD_PLAN!$B$3:$B$312,E1875,BD_PLAN!$C$3:$C$312,INDEX(BD_CICLO!$F$3:$F$54,MATCH(E1875&amp;"|"&amp;H1875,BD_CICLO!$G$3:$G$54,0))),""))</f>
        <v/>
      </c>
      <c r="L1875" s="9"/>
      <c r="M1875" s="9"/>
      <c r="N1875" s="1" t="str">
        <f aca="false">IF(C1875="","",C1875&amp;"|"&amp;COUNTIF(C$3:C1875,C1875))</f>
        <v/>
      </c>
      <c r="O1875" s="1" t="str">
        <f aca="false">IF(OR(C1875="",M1875=""),"",C1875&amp;"|"&amp;COUNTIFS(C$3:C1875,C1875,M$3:M1875,"&lt;&gt;"))</f>
        <v/>
      </c>
    </row>
    <row r="1876" customFormat="false" ht="15" hidden="false" customHeight="false" outlineLevel="0" collapsed="false">
      <c r="B1876" s="7"/>
      <c r="C1876" s="5"/>
      <c r="D1876" s="9" t="str">
        <f aca="false">IF(C1876="","",IFERROR(VLOOKUP(C1876,EQUIPOS!$B$3:$C$18,2,0),"NO EXISTE"))</f>
        <v/>
      </c>
      <c r="E1876" s="9" t="str">
        <f aca="false">IF(C1876="","",IFERROR(VLOOKUP(C1876,EQUIPOS!$B$3:$F$18,5,0),""))</f>
        <v/>
      </c>
      <c r="F1876" s="5" t="str">
        <f aca="false">IF(C1876="","",IFERROR(VLOOKUP(C1876,EQUIPOS!$B$3:$G$18,6,0),""))</f>
        <v/>
      </c>
      <c r="G1876" s="8"/>
      <c r="H1876" s="5"/>
      <c r="I1876" s="5"/>
      <c r="J1876" s="9"/>
      <c r="K1876" s="17" t="str">
        <f aca="false">IF(H1876="","",IFERROR(SUMIFS(BD_PLAN!$I$3:$I$312,BD_PLAN!$B$3:$B$312,E1876,BD_PLAN!$C$3:$C$312,INDEX(BD_CICLO!$F$3:$F$54,MATCH(E1876&amp;"|"&amp;H1876,BD_CICLO!$G$3:$G$54,0))),""))</f>
        <v/>
      </c>
      <c r="L1876" s="9"/>
      <c r="M1876" s="9"/>
      <c r="N1876" s="1" t="str">
        <f aca="false">IF(C1876="","",C1876&amp;"|"&amp;COUNTIF(C$3:C1876,C1876))</f>
        <v/>
      </c>
      <c r="O1876" s="1" t="str">
        <f aca="false">IF(OR(C1876="",M1876=""),"",C1876&amp;"|"&amp;COUNTIFS(C$3:C1876,C1876,M$3:M1876,"&lt;&gt;"))</f>
        <v/>
      </c>
    </row>
    <row r="1877" customFormat="false" ht="15" hidden="false" customHeight="false" outlineLevel="0" collapsed="false">
      <c r="B1877" s="7"/>
      <c r="C1877" s="5"/>
      <c r="D1877" s="9" t="str">
        <f aca="false">IF(C1877="","",IFERROR(VLOOKUP(C1877,EQUIPOS!$B$3:$C$18,2,0),"NO EXISTE"))</f>
        <v/>
      </c>
      <c r="E1877" s="9" t="str">
        <f aca="false">IF(C1877="","",IFERROR(VLOOKUP(C1877,EQUIPOS!$B$3:$F$18,5,0),""))</f>
        <v/>
      </c>
      <c r="F1877" s="5" t="str">
        <f aca="false">IF(C1877="","",IFERROR(VLOOKUP(C1877,EQUIPOS!$B$3:$G$18,6,0),""))</f>
        <v/>
      </c>
      <c r="G1877" s="8"/>
      <c r="H1877" s="5"/>
      <c r="I1877" s="5"/>
      <c r="J1877" s="9"/>
      <c r="K1877" s="17" t="str">
        <f aca="false">IF(H1877="","",IFERROR(SUMIFS(BD_PLAN!$I$3:$I$312,BD_PLAN!$B$3:$B$312,E1877,BD_PLAN!$C$3:$C$312,INDEX(BD_CICLO!$F$3:$F$54,MATCH(E1877&amp;"|"&amp;H1877,BD_CICLO!$G$3:$G$54,0))),""))</f>
        <v/>
      </c>
      <c r="L1877" s="9"/>
      <c r="M1877" s="9"/>
      <c r="N1877" s="1" t="str">
        <f aca="false">IF(C1877="","",C1877&amp;"|"&amp;COUNTIF(C$3:C1877,C1877))</f>
        <v/>
      </c>
      <c r="O1877" s="1" t="str">
        <f aca="false">IF(OR(C1877="",M1877=""),"",C1877&amp;"|"&amp;COUNTIFS(C$3:C1877,C1877,M$3:M1877,"&lt;&gt;"))</f>
        <v/>
      </c>
    </row>
    <row r="1878" customFormat="false" ht="15" hidden="false" customHeight="false" outlineLevel="0" collapsed="false">
      <c r="B1878" s="7"/>
      <c r="C1878" s="5"/>
      <c r="D1878" s="9" t="str">
        <f aca="false">IF(C1878="","",IFERROR(VLOOKUP(C1878,EQUIPOS!$B$3:$C$18,2,0),"NO EXISTE"))</f>
        <v/>
      </c>
      <c r="E1878" s="9" t="str">
        <f aca="false">IF(C1878="","",IFERROR(VLOOKUP(C1878,EQUIPOS!$B$3:$F$18,5,0),""))</f>
        <v/>
      </c>
      <c r="F1878" s="5" t="str">
        <f aca="false">IF(C1878="","",IFERROR(VLOOKUP(C1878,EQUIPOS!$B$3:$G$18,6,0),""))</f>
        <v/>
      </c>
      <c r="G1878" s="8"/>
      <c r="H1878" s="5"/>
      <c r="I1878" s="5"/>
      <c r="J1878" s="9"/>
      <c r="K1878" s="17" t="str">
        <f aca="false">IF(H1878="","",IFERROR(SUMIFS(BD_PLAN!$I$3:$I$312,BD_PLAN!$B$3:$B$312,E1878,BD_PLAN!$C$3:$C$312,INDEX(BD_CICLO!$F$3:$F$54,MATCH(E1878&amp;"|"&amp;H1878,BD_CICLO!$G$3:$G$54,0))),""))</f>
        <v/>
      </c>
      <c r="L1878" s="9"/>
      <c r="M1878" s="9"/>
      <c r="N1878" s="1" t="str">
        <f aca="false">IF(C1878="","",C1878&amp;"|"&amp;COUNTIF(C$3:C1878,C1878))</f>
        <v/>
      </c>
      <c r="O1878" s="1" t="str">
        <f aca="false">IF(OR(C1878="",M1878=""),"",C1878&amp;"|"&amp;COUNTIFS(C$3:C1878,C1878,M$3:M1878,"&lt;&gt;"))</f>
        <v/>
      </c>
    </row>
    <row r="1879" customFormat="false" ht="15" hidden="false" customHeight="false" outlineLevel="0" collapsed="false">
      <c r="B1879" s="7"/>
      <c r="C1879" s="5"/>
      <c r="D1879" s="9" t="str">
        <f aca="false">IF(C1879="","",IFERROR(VLOOKUP(C1879,EQUIPOS!$B$3:$C$18,2,0),"NO EXISTE"))</f>
        <v/>
      </c>
      <c r="E1879" s="9" t="str">
        <f aca="false">IF(C1879="","",IFERROR(VLOOKUP(C1879,EQUIPOS!$B$3:$F$18,5,0),""))</f>
        <v/>
      </c>
      <c r="F1879" s="5" t="str">
        <f aca="false">IF(C1879="","",IFERROR(VLOOKUP(C1879,EQUIPOS!$B$3:$G$18,6,0),""))</f>
        <v/>
      </c>
      <c r="G1879" s="8"/>
      <c r="H1879" s="5"/>
      <c r="I1879" s="5"/>
      <c r="J1879" s="9"/>
      <c r="K1879" s="17" t="str">
        <f aca="false">IF(H1879="","",IFERROR(SUMIFS(BD_PLAN!$I$3:$I$312,BD_PLAN!$B$3:$B$312,E1879,BD_PLAN!$C$3:$C$312,INDEX(BD_CICLO!$F$3:$F$54,MATCH(E1879&amp;"|"&amp;H1879,BD_CICLO!$G$3:$G$54,0))),""))</f>
        <v/>
      </c>
      <c r="L1879" s="9"/>
      <c r="M1879" s="9"/>
      <c r="N1879" s="1" t="str">
        <f aca="false">IF(C1879="","",C1879&amp;"|"&amp;COUNTIF(C$3:C1879,C1879))</f>
        <v/>
      </c>
      <c r="O1879" s="1" t="str">
        <f aca="false">IF(OR(C1879="",M1879=""),"",C1879&amp;"|"&amp;COUNTIFS(C$3:C1879,C1879,M$3:M1879,"&lt;&gt;"))</f>
        <v/>
      </c>
    </row>
    <row r="1880" customFormat="false" ht="15" hidden="false" customHeight="false" outlineLevel="0" collapsed="false">
      <c r="B1880" s="7"/>
      <c r="C1880" s="5"/>
      <c r="D1880" s="9" t="str">
        <f aca="false">IF(C1880="","",IFERROR(VLOOKUP(C1880,EQUIPOS!$B$3:$C$18,2,0),"NO EXISTE"))</f>
        <v/>
      </c>
      <c r="E1880" s="9" t="str">
        <f aca="false">IF(C1880="","",IFERROR(VLOOKUP(C1880,EQUIPOS!$B$3:$F$18,5,0),""))</f>
        <v/>
      </c>
      <c r="F1880" s="5" t="str">
        <f aca="false">IF(C1880="","",IFERROR(VLOOKUP(C1880,EQUIPOS!$B$3:$G$18,6,0),""))</f>
        <v/>
      </c>
      <c r="G1880" s="8"/>
      <c r="H1880" s="5"/>
      <c r="I1880" s="5"/>
      <c r="J1880" s="9"/>
      <c r="K1880" s="17" t="str">
        <f aca="false">IF(H1880="","",IFERROR(SUMIFS(BD_PLAN!$I$3:$I$312,BD_PLAN!$B$3:$B$312,E1880,BD_PLAN!$C$3:$C$312,INDEX(BD_CICLO!$F$3:$F$54,MATCH(E1880&amp;"|"&amp;H1880,BD_CICLO!$G$3:$G$54,0))),""))</f>
        <v/>
      </c>
      <c r="L1880" s="9"/>
      <c r="M1880" s="9"/>
      <c r="N1880" s="1" t="str">
        <f aca="false">IF(C1880="","",C1880&amp;"|"&amp;COUNTIF(C$3:C1880,C1880))</f>
        <v/>
      </c>
      <c r="O1880" s="1" t="str">
        <f aca="false">IF(OR(C1880="",M1880=""),"",C1880&amp;"|"&amp;COUNTIFS(C$3:C1880,C1880,M$3:M1880,"&lt;&gt;"))</f>
        <v/>
      </c>
    </row>
    <row r="1881" customFormat="false" ht="15" hidden="false" customHeight="false" outlineLevel="0" collapsed="false">
      <c r="B1881" s="7"/>
      <c r="C1881" s="5"/>
      <c r="D1881" s="9" t="str">
        <f aca="false">IF(C1881="","",IFERROR(VLOOKUP(C1881,EQUIPOS!$B$3:$C$18,2,0),"NO EXISTE"))</f>
        <v/>
      </c>
      <c r="E1881" s="9" t="str">
        <f aca="false">IF(C1881="","",IFERROR(VLOOKUP(C1881,EQUIPOS!$B$3:$F$18,5,0),""))</f>
        <v/>
      </c>
      <c r="F1881" s="5" t="str">
        <f aca="false">IF(C1881="","",IFERROR(VLOOKUP(C1881,EQUIPOS!$B$3:$G$18,6,0),""))</f>
        <v/>
      </c>
      <c r="G1881" s="8"/>
      <c r="H1881" s="5"/>
      <c r="I1881" s="5"/>
      <c r="J1881" s="9"/>
      <c r="K1881" s="17" t="str">
        <f aca="false">IF(H1881="","",IFERROR(SUMIFS(BD_PLAN!$I$3:$I$312,BD_PLAN!$B$3:$B$312,E1881,BD_PLAN!$C$3:$C$312,INDEX(BD_CICLO!$F$3:$F$54,MATCH(E1881&amp;"|"&amp;H1881,BD_CICLO!$G$3:$G$54,0))),""))</f>
        <v/>
      </c>
      <c r="L1881" s="9"/>
      <c r="M1881" s="9"/>
      <c r="N1881" s="1" t="str">
        <f aca="false">IF(C1881="","",C1881&amp;"|"&amp;COUNTIF(C$3:C1881,C1881))</f>
        <v/>
      </c>
      <c r="O1881" s="1" t="str">
        <f aca="false">IF(OR(C1881="",M1881=""),"",C1881&amp;"|"&amp;COUNTIFS(C$3:C1881,C1881,M$3:M1881,"&lt;&gt;"))</f>
        <v/>
      </c>
    </row>
    <row r="1882" customFormat="false" ht="15" hidden="false" customHeight="false" outlineLevel="0" collapsed="false">
      <c r="B1882" s="7"/>
      <c r="C1882" s="5"/>
      <c r="D1882" s="9" t="str">
        <f aca="false">IF(C1882="","",IFERROR(VLOOKUP(C1882,EQUIPOS!$B$3:$C$18,2,0),"NO EXISTE"))</f>
        <v/>
      </c>
      <c r="E1882" s="9" t="str">
        <f aca="false">IF(C1882="","",IFERROR(VLOOKUP(C1882,EQUIPOS!$B$3:$F$18,5,0),""))</f>
        <v/>
      </c>
      <c r="F1882" s="5" t="str">
        <f aca="false">IF(C1882="","",IFERROR(VLOOKUP(C1882,EQUIPOS!$B$3:$G$18,6,0),""))</f>
        <v/>
      </c>
      <c r="G1882" s="8"/>
      <c r="H1882" s="5"/>
      <c r="I1882" s="5"/>
      <c r="J1882" s="9"/>
      <c r="K1882" s="17" t="str">
        <f aca="false">IF(H1882="","",IFERROR(SUMIFS(BD_PLAN!$I$3:$I$312,BD_PLAN!$B$3:$B$312,E1882,BD_PLAN!$C$3:$C$312,INDEX(BD_CICLO!$F$3:$F$54,MATCH(E1882&amp;"|"&amp;H1882,BD_CICLO!$G$3:$G$54,0))),""))</f>
        <v/>
      </c>
      <c r="L1882" s="9"/>
      <c r="M1882" s="9"/>
      <c r="N1882" s="1" t="str">
        <f aca="false">IF(C1882="","",C1882&amp;"|"&amp;COUNTIF(C$3:C1882,C1882))</f>
        <v/>
      </c>
      <c r="O1882" s="1" t="str">
        <f aca="false">IF(OR(C1882="",M1882=""),"",C1882&amp;"|"&amp;COUNTIFS(C$3:C1882,C1882,M$3:M1882,"&lt;&gt;"))</f>
        <v/>
      </c>
    </row>
    <row r="1883" customFormat="false" ht="15" hidden="false" customHeight="false" outlineLevel="0" collapsed="false">
      <c r="B1883" s="7"/>
      <c r="C1883" s="5"/>
      <c r="D1883" s="9" t="str">
        <f aca="false">IF(C1883="","",IFERROR(VLOOKUP(C1883,EQUIPOS!$B$3:$C$18,2,0),"NO EXISTE"))</f>
        <v/>
      </c>
      <c r="E1883" s="9" t="str">
        <f aca="false">IF(C1883="","",IFERROR(VLOOKUP(C1883,EQUIPOS!$B$3:$F$18,5,0),""))</f>
        <v/>
      </c>
      <c r="F1883" s="5" t="str">
        <f aca="false">IF(C1883="","",IFERROR(VLOOKUP(C1883,EQUIPOS!$B$3:$G$18,6,0),""))</f>
        <v/>
      </c>
      <c r="G1883" s="8"/>
      <c r="H1883" s="5"/>
      <c r="I1883" s="5"/>
      <c r="J1883" s="9"/>
      <c r="K1883" s="17" t="str">
        <f aca="false">IF(H1883="","",IFERROR(SUMIFS(BD_PLAN!$I$3:$I$312,BD_PLAN!$B$3:$B$312,E1883,BD_PLAN!$C$3:$C$312,INDEX(BD_CICLO!$F$3:$F$54,MATCH(E1883&amp;"|"&amp;H1883,BD_CICLO!$G$3:$G$54,0))),""))</f>
        <v/>
      </c>
      <c r="L1883" s="9"/>
      <c r="M1883" s="9"/>
      <c r="N1883" s="1" t="str">
        <f aca="false">IF(C1883="","",C1883&amp;"|"&amp;COUNTIF(C$3:C1883,C1883))</f>
        <v/>
      </c>
      <c r="O1883" s="1" t="str">
        <f aca="false">IF(OR(C1883="",M1883=""),"",C1883&amp;"|"&amp;COUNTIFS(C$3:C1883,C1883,M$3:M1883,"&lt;&gt;"))</f>
        <v/>
      </c>
    </row>
    <row r="1884" customFormat="false" ht="15" hidden="false" customHeight="false" outlineLevel="0" collapsed="false">
      <c r="B1884" s="7"/>
      <c r="C1884" s="5"/>
      <c r="D1884" s="9" t="str">
        <f aca="false">IF(C1884="","",IFERROR(VLOOKUP(C1884,EQUIPOS!$B$3:$C$18,2,0),"NO EXISTE"))</f>
        <v/>
      </c>
      <c r="E1884" s="9" t="str">
        <f aca="false">IF(C1884="","",IFERROR(VLOOKUP(C1884,EQUIPOS!$B$3:$F$18,5,0),""))</f>
        <v/>
      </c>
      <c r="F1884" s="5" t="str">
        <f aca="false">IF(C1884="","",IFERROR(VLOOKUP(C1884,EQUIPOS!$B$3:$G$18,6,0),""))</f>
        <v/>
      </c>
      <c r="G1884" s="8"/>
      <c r="H1884" s="5"/>
      <c r="I1884" s="5"/>
      <c r="J1884" s="9"/>
      <c r="K1884" s="17" t="str">
        <f aca="false">IF(H1884="","",IFERROR(SUMIFS(BD_PLAN!$I$3:$I$312,BD_PLAN!$B$3:$B$312,E1884,BD_PLAN!$C$3:$C$312,INDEX(BD_CICLO!$F$3:$F$54,MATCH(E1884&amp;"|"&amp;H1884,BD_CICLO!$G$3:$G$54,0))),""))</f>
        <v/>
      </c>
      <c r="L1884" s="9"/>
      <c r="M1884" s="9"/>
      <c r="N1884" s="1" t="str">
        <f aca="false">IF(C1884="","",C1884&amp;"|"&amp;COUNTIF(C$3:C1884,C1884))</f>
        <v/>
      </c>
      <c r="O1884" s="1" t="str">
        <f aca="false">IF(OR(C1884="",M1884=""),"",C1884&amp;"|"&amp;COUNTIFS(C$3:C1884,C1884,M$3:M1884,"&lt;&gt;"))</f>
        <v/>
      </c>
    </row>
    <row r="1885" customFormat="false" ht="15" hidden="false" customHeight="false" outlineLevel="0" collapsed="false">
      <c r="B1885" s="7"/>
      <c r="C1885" s="5"/>
      <c r="D1885" s="9" t="str">
        <f aca="false">IF(C1885="","",IFERROR(VLOOKUP(C1885,EQUIPOS!$B$3:$C$18,2,0),"NO EXISTE"))</f>
        <v/>
      </c>
      <c r="E1885" s="9" t="str">
        <f aca="false">IF(C1885="","",IFERROR(VLOOKUP(C1885,EQUIPOS!$B$3:$F$18,5,0),""))</f>
        <v/>
      </c>
      <c r="F1885" s="5" t="str">
        <f aca="false">IF(C1885="","",IFERROR(VLOOKUP(C1885,EQUIPOS!$B$3:$G$18,6,0),""))</f>
        <v/>
      </c>
      <c r="G1885" s="8"/>
      <c r="H1885" s="5"/>
      <c r="I1885" s="5"/>
      <c r="J1885" s="9"/>
      <c r="K1885" s="17" t="str">
        <f aca="false">IF(H1885="","",IFERROR(SUMIFS(BD_PLAN!$I$3:$I$312,BD_PLAN!$B$3:$B$312,E1885,BD_PLAN!$C$3:$C$312,INDEX(BD_CICLO!$F$3:$F$54,MATCH(E1885&amp;"|"&amp;H1885,BD_CICLO!$G$3:$G$54,0))),""))</f>
        <v/>
      </c>
      <c r="L1885" s="9"/>
      <c r="M1885" s="9"/>
      <c r="N1885" s="1" t="str">
        <f aca="false">IF(C1885="","",C1885&amp;"|"&amp;COUNTIF(C$3:C1885,C1885))</f>
        <v/>
      </c>
      <c r="O1885" s="1" t="str">
        <f aca="false">IF(OR(C1885="",M1885=""),"",C1885&amp;"|"&amp;COUNTIFS(C$3:C1885,C1885,M$3:M1885,"&lt;&gt;"))</f>
        <v/>
      </c>
    </row>
    <row r="1886" customFormat="false" ht="15" hidden="false" customHeight="false" outlineLevel="0" collapsed="false">
      <c r="B1886" s="7"/>
      <c r="C1886" s="5"/>
      <c r="D1886" s="9" t="str">
        <f aca="false">IF(C1886="","",IFERROR(VLOOKUP(C1886,EQUIPOS!$B$3:$C$18,2,0),"NO EXISTE"))</f>
        <v/>
      </c>
      <c r="E1886" s="9" t="str">
        <f aca="false">IF(C1886="","",IFERROR(VLOOKUP(C1886,EQUIPOS!$B$3:$F$18,5,0),""))</f>
        <v/>
      </c>
      <c r="F1886" s="5" t="str">
        <f aca="false">IF(C1886="","",IFERROR(VLOOKUP(C1886,EQUIPOS!$B$3:$G$18,6,0),""))</f>
        <v/>
      </c>
      <c r="G1886" s="8"/>
      <c r="H1886" s="5"/>
      <c r="I1886" s="5"/>
      <c r="J1886" s="9"/>
      <c r="K1886" s="17" t="str">
        <f aca="false">IF(H1886="","",IFERROR(SUMIFS(BD_PLAN!$I$3:$I$312,BD_PLAN!$B$3:$B$312,E1886,BD_PLAN!$C$3:$C$312,INDEX(BD_CICLO!$F$3:$F$54,MATCH(E1886&amp;"|"&amp;H1886,BD_CICLO!$G$3:$G$54,0))),""))</f>
        <v/>
      </c>
      <c r="L1886" s="9"/>
      <c r="M1886" s="9"/>
      <c r="N1886" s="1" t="str">
        <f aca="false">IF(C1886="","",C1886&amp;"|"&amp;COUNTIF(C$3:C1886,C1886))</f>
        <v/>
      </c>
      <c r="O1886" s="1" t="str">
        <f aca="false">IF(OR(C1886="",M1886=""),"",C1886&amp;"|"&amp;COUNTIFS(C$3:C1886,C1886,M$3:M1886,"&lt;&gt;"))</f>
        <v/>
      </c>
    </row>
    <row r="1887" customFormat="false" ht="15" hidden="false" customHeight="false" outlineLevel="0" collapsed="false">
      <c r="B1887" s="7"/>
      <c r="C1887" s="5"/>
      <c r="D1887" s="9" t="str">
        <f aca="false">IF(C1887="","",IFERROR(VLOOKUP(C1887,EQUIPOS!$B$3:$C$18,2,0),"NO EXISTE"))</f>
        <v/>
      </c>
      <c r="E1887" s="9" t="str">
        <f aca="false">IF(C1887="","",IFERROR(VLOOKUP(C1887,EQUIPOS!$B$3:$F$18,5,0),""))</f>
        <v/>
      </c>
      <c r="F1887" s="5" t="str">
        <f aca="false">IF(C1887="","",IFERROR(VLOOKUP(C1887,EQUIPOS!$B$3:$G$18,6,0),""))</f>
        <v/>
      </c>
      <c r="G1887" s="8"/>
      <c r="H1887" s="5"/>
      <c r="I1887" s="5"/>
      <c r="J1887" s="9"/>
      <c r="K1887" s="17" t="str">
        <f aca="false">IF(H1887="","",IFERROR(SUMIFS(BD_PLAN!$I$3:$I$312,BD_PLAN!$B$3:$B$312,E1887,BD_PLAN!$C$3:$C$312,INDEX(BD_CICLO!$F$3:$F$54,MATCH(E1887&amp;"|"&amp;H1887,BD_CICLO!$G$3:$G$54,0))),""))</f>
        <v/>
      </c>
      <c r="L1887" s="9"/>
      <c r="M1887" s="9"/>
      <c r="N1887" s="1" t="str">
        <f aca="false">IF(C1887="","",C1887&amp;"|"&amp;COUNTIF(C$3:C1887,C1887))</f>
        <v/>
      </c>
      <c r="O1887" s="1" t="str">
        <f aca="false">IF(OR(C1887="",M1887=""),"",C1887&amp;"|"&amp;COUNTIFS(C$3:C1887,C1887,M$3:M1887,"&lt;&gt;"))</f>
        <v/>
      </c>
    </row>
    <row r="1888" customFormat="false" ht="15" hidden="false" customHeight="false" outlineLevel="0" collapsed="false">
      <c r="B1888" s="7"/>
      <c r="C1888" s="5"/>
      <c r="D1888" s="9" t="str">
        <f aca="false">IF(C1888="","",IFERROR(VLOOKUP(C1888,EQUIPOS!$B$3:$C$18,2,0),"NO EXISTE"))</f>
        <v/>
      </c>
      <c r="E1888" s="9" t="str">
        <f aca="false">IF(C1888="","",IFERROR(VLOOKUP(C1888,EQUIPOS!$B$3:$F$18,5,0),""))</f>
        <v/>
      </c>
      <c r="F1888" s="5" t="str">
        <f aca="false">IF(C1888="","",IFERROR(VLOOKUP(C1888,EQUIPOS!$B$3:$G$18,6,0),""))</f>
        <v/>
      </c>
      <c r="G1888" s="8"/>
      <c r="H1888" s="5"/>
      <c r="I1888" s="5"/>
      <c r="J1888" s="9"/>
      <c r="K1888" s="17" t="str">
        <f aca="false">IF(H1888="","",IFERROR(SUMIFS(BD_PLAN!$I$3:$I$312,BD_PLAN!$B$3:$B$312,E1888,BD_PLAN!$C$3:$C$312,INDEX(BD_CICLO!$F$3:$F$54,MATCH(E1888&amp;"|"&amp;H1888,BD_CICLO!$G$3:$G$54,0))),""))</f>
        <v/>
      </c>
      <c r="L1888" s="9"/>
      <c r="M1888" s="9"/>
      <c r="N1888" s="1" t="str">
        <f aca="false">IF(C1888="","",C1888&amp;"|"&amp;COUNTIF(C$3:C1888,C1888))</f>
        <v/>
      </c>
      <c r="O1888" s="1" t="str">
        <f aca="false">IF(OR(C1888="",M1888=""),"",C1888&amp;"|"&amp;COUNTIFS(C$3:C1888,C1888,M$3:M1888,"&lt;&gt;"))</f>
        <v/>
      </c>
    </row>
    <row r="1889" customFormat="false" ht="15" hidden="false" customHeight="false" outlineLevel="0" collapsed="false">
      <c r="B1889" s="7"/>
      <c r="C1889" s="5"/>
      <c r="D1889" s="9" t="str">
        <f aca="false">IF(C1889="","",IFERROR(VLOOKUP(C1889,EQUIPOS!$B$3:$C$18,2,0),"NO EXISTE"))</f>
        <v/>
      </c>
      <c r="E1889" s="9" t="str">
        <f aca="false">IF(C1889="","",IFERROR(VLOOKUP(C1889,EQUIPOS!$B$3:$F$18,5,0),""))</f>
        <v/>
      </c>
      <c r="F1889" s="5" t="str">
        <f aca="false">IF(C1889="","",IFERROR(VLOOKUP(C1889,EQUIPOS!$B$3:$G$18,6,0),""))</f>
        <v/>
      </c>
      <c r="G1889" s="8"/>
      <c r="H1889" s="5"/>
      <c r="I1889" s="5"/>
      <c r="J1889" s="9"/>
      <c r="K1889" s="17" t="str">
        <f aca="false">IF(H1889="","",IFERROR(SUMIFS(BD_PLAN!$I$3:$I$312,BD_PLAN!$B$3:$B$312,E1889,BD_PLAN!$C$3:$C$312,INDEX(BD_CICLO!$F$3:$F$54,MATCH(E1889&amp;"|"&amp;H1889,BD_CICLO!$G$3:$G$54,0))),""))</f>
        <v/>
      </c>
      <c r="L1889" s="9"/>
      <c r="M1889" s="9"/>
      <c r="N1889" s="1" t="str">
        <f aca="false">IF(C1889="","",C1889&amp;"|"&amp;COUNTIF(C$3:C1889,C1889))</f>
        <v/>
      </c>
      <c r="O1889" s="1" t="str">
        <f aca="false">IF(OR(C1889="",M1889=""),"",C1889&amp;"|"&amp;COUNTIFS(C$3:C1889,C1889,M$3:M1889,"&lt;&gt;"))</f>
        <v/>
      </c>
    </row>
    <row r="1890" customFormat="false" ht="15" hidden="false" customHeight="false" outlineLevel="0" collapsed="false">
      <c r="B1890" s="7"/>
      <c r="C1890" s="5"/>
      <c r="D1890" s="9" t="str">
        <f aca="false">IF(C1890="","",IFERROR(VLOOKUP(C1890,EQUIPOS!$B$3:$C$18,2,0),"NO EXISTE"))</f>
        <v/>
      </c>
      <c r="E1890" s="9" t="str">
        <f aca="false">IF(C1890="","",IFERROR(VLOOKUP(C1890,EQUIPOS!$B$3:$F$18,5,0),""))</f>
        <v/>
      </c>
      <c r="F1890" s="5" t="str">
        <f aca="false">IF(C1890="","",IFERROR(VLOOKUP(C1890,EQUIPOS!$B$3:$G$18,6,0),""))</f>
        <v/>
      </c>
      <c r="G1890" s="8"/>
      <c r="H1890" s="5"/>
      <c r="I1890" s="5"/>
      <c r="J1890" s="9"/>
      <c r="K1890" s="17" t="str">
        <f aca="false">IF(H1890="","",IFERROR(SUMIFS(BD_PLAN!$I$3:$I$312,BD_PLAN!$B$3:$B$312,E1890,BD_PLAN!$C$3:$C$312,INDEX(BD_CICLO!$F$3:$F$54,MATCH(E1890&amp;"|"&amp;H1890,BD_CICLO!$G$3:$G$54,0))),""))</f>
        <v/>
      </c>
      <c r="L1890" s="9"/>
      <c r="M1890" s="9"/>
      <c r="N1890" s="1" t="str">
        <f aca="false">IF(C1890="","",C1890&amp;"|"&amp;COUNTIF(C$3:C1890,C1890))</f>
        <v/>
      </c>
      <c r="O1890" s="1" t="str">
        <f aca="false">IF(OR(C1890="",M1890=""),"",C1890&amp;"|"&amp;COUNTIFS(C$3:C1890,C1890,M$3:M1890,"&lt;&gt;"))</f>
        <v/>
      </c>
    </row>
    <row r="1891" customFormat="false" ht="15" hidden="false" customHeight="false" outlineLevel="0" collapsed="false">
      <c r="B1891" s="7"/>
      <c r="C1891" s="5"/>
      <c r="D1891" s="9" t="str">
        <f aca="false">IF(C1891="","",IFERROR(VLOOKUP(C1891,EQUIPOS!$B$3:$C$18,2,0),"NO EXISTE"))</f>
        <v/>
      </c>
      <c r="E1891" s="9" t="str">
        <f aca="false">IF(C1891="","",IFERROR(VLOOKUP(C1891,EQUIPOS!$B$3:$F$18,5,0),""))</f>
        <v/>
      </c>
      <c r="F1891" s="5" t="str">
        <f aca="false">IF(C1891="","",IFERROR(VLOOKUP(C1891,EQUIPOS!$B$3:$G$18,6,0),""))</f>
        <v/>
      </c>
      <c r="G1891" s="8"/>
      <c r="H1891" s="5"/>
      <c r="I1891" s="5"/>
      <c r="J1891" s="9"/>
      <c r="K1891" s="17" t="str">
        <f aca="false">IF(H1891="","",IFERROR(SUMIFS(BD_PLAN!$I$3:$I$312,BD_PLAN!$B$3:$B$312,E1891,BD_PLAN!$C$3:$C$312,INDEX(BD_CICLO!$F$3:$F$54,MATCH(E1891&amp;"|"&amp;H1891,BD_CICLO!$G$3:$G$54,0))),""))</f>
        <v/>
      </c>
      <c r="L1891" s="9"/>
      <c r="M1891" s="9"/>
      <c r="N1891" s="1" t="str">
        <f aca="false">IF(C1891="","",C1891&amp;"|"&amp;COUNTIF(C$3:C1891,C1891))</f>
        <v/>
      </c>
      <c r="O1891" s="1" t="str">
        <f aca="false">IF(OR(C1891="",M1891=""),"",C1891&amp;"|"&amp;COUNTIFS(C$3:C1891,C1891,M$3:M1891,"&lt;&gt;"))</f>
        <v/>
      </c>
    </row>
    <row r="1892" customFormat="false" ht="15" hidden="false" customHeight="false" outlineLevel="0" collapsed="false">
      <c r="B1892" s="7"/>
      <c r="C1892" s="5"/>
      <c r="D1892" s="9" t="str">
        <f aca="false">IF(C1892="","",IFERROR(VLOOKUP(C1892,EQUIPOS!$B$3:$C$18,2,0),"NO EXISTE"))</f>
        <v/>
      </c>
      <c r="E1892" s="9" t="str">
        <f aca="false">IF(C1892="","",IFERROR(VLOOKUP(C1892,EQUIPOS!$B$3:$F$18,5,0),""))</f>
        <v/>
      </c>
      <c r="F1892" s="5" t="str">
        <f aca="false">IF(C1892="","",IFERROR(VLOOKUP(C1892,EQUIPOS!$B$3:$G$18,6,0),""))</f>
        <v/>
      </c>
      <c r="G1892" s="8"/>
      <c r="H1892" s="5"/>
      <c r="I1892" s="5"/>
      <c r="J1892" s="9"/>
      <c r="K1892" s="17" t="str">
        <f aca="false">IF(H1892="","",IFERROR(SUMIFS(BD_PLAN!$I$3:$I$312,BD_PLAN!$B$3:$B$312,E1892,BD_PLAN!$C$3:$C$312,INDEX(BD_CICLO!$F$3:$F$54,MATCH(E1892&amp;"|"&amp;H1892,BD_CICLO!$G$3:$G$54,0))),""))</f>
        <v/>
      </c>
      <c r="L1892" s="9"/>
      <c r="M1892" s="9"/>
      <c r="N1892" s="1" t="str">
        <f aca="false">IF(C1892="","",C1892&amp;"|"&amp;COUNTIF(C$3:C1892,C1892))</f>
        <v/>
      </c>
      <c r="O1892" s="1" t="str">
        <f aca="false">IF(OR(C1892="",M1892=""),"",C1892&amp;"|"&amp;COUNTIFS(C$3:C1892,C1892,M$3:M1892,"&lt;&gt;"))</f>
        <v/>
      </c>
    </row>
    <row r="1893" customFormat="false" ht="15" hidden="false" customHeight="false" outlineLevel="0" collapsed="false">
      <c r="B1893" s="7"/>
      <c r="C1893" s="5"/>
      <c r="D1893" s="9" t="str">
        <f aca="false">IF(C1893="","",IFERROR(VLOOKUP(C1893,EQUIPOS!$B$3:$C$18,2,0),"NO EXISTE"))</f>
        <v/>
      </c>
      <c r="E1893" s="9" t="str">
        <f aca="false">IF(C1893="","",IFERROR(VLOOKUP(C1893,EQUIPOS!$B$3:$F$18,5,0),""))</f>
        <v/>
      </c>
      <c r="F1893" s="5" t="str">
        <f aca="false">IF(C1893="","",IFERROR(VLOOKUP(C1893,EQUIPOS!$B$3:$G$18,6,0),""))</f>
        <v/>
      </c>
      <c r="G1893" s="8"/>
      <c r="H1893" s="5"/>
      <c r="I1893" s="5"/>
      <c r="J1893" s="9"/>
      <c r="K1893" s="17" t="str">
        <f aca="false">IF(H1893="","",IFERROR(SUMIFS(BD_PLAN!$I$3:$I$312,BD_PLAN!$B$3:$B$312,E1893,BD_PLAN!$C$3:$C$312,INDEX(BD_CICLO!$F$3:$F$54,MATCH(E1893&amp;"|"&amp;H1893,BD_CICLO!$G$3:$G$54,0))),""))</f>
        <v/>
      </c>
      <c r="L1893" s="9"/>
      <c r="M1893" s="9"/>
      <c r="N1893" s="1" t="str">
        <f aca="false">IF(C1893="","",C1893&amp;"|"&amp;COUNTIF(C$3:C1893,C1893))</f>
        <v/>
      </c>
      <c r="O1893" s="1" t="str">
        <f aca="false">IF(OR(C1893="",M1893=""),"",C1893&amp;"|"&amp;COUNTIFS(C$3:C1893,C1893,M$3:M1893,"&lt;&gt;"))</f>
        <v/>
      </c>
    </row>
    <row r="1894" customFormat="false" ht="15" hidden="false" customHeight="false" outlineLevel="0" collapsed="false">
      <c r="B1894" s="7"/>
      <c r="C1894" s="5"/>
      <c r="D1894" s="9" t="str">
        <f aca="false">IF(C1894="","",IFERROR(VLOOKUP(C1894,EQUIPOS!$B$3:$C$18,2,0),"NO EXISTE"))</f>
        <v/>
      </c>
      <c r="E1894" s="9" t="str">
        <f aca="false">IF(C1894="","",IFERROR(VLOOKUP(C1894,EQUIPOS!$B$3:$F$18,5,0),""))</f>
        <v/>
      </c>
      <c r="F1894" s="5" t="str">
        <f aca="false">IF(C1894="","",IFERROR(VLOOKUP(C1894,EQUIPOS!$B$3:$G$18,6,0),""))</f>
        <v/>
      </c>
      <c r="G1894" s="8"/>
      <c r="H1894" s="5"/>
      <c r="I1894" s="5"/>
      <c r="J1894" s="9"/>
      <c r="K1894" s="17" t="str">
        <f aca="false">IF(H1894="","",IFERROR(SUMIFS(BD_PLAN!$I$3:$I$312,BD_PLAN!$B$3:$B$312,E1894,BD_PLAN!$C$3:$C$312,INDEX(BD_CICLO!$F$3:$F$54,MATCH(E1894&amp;"|"&amp;H1894,BD_CICLO!$G$3:$G$54,0))),""))</f>
        <v/>
      </c>
      <c r="L1894" s="9"/>
      <c r="M1894" s="9"/>
      <c r="N1894" s="1" t="str">
        <f aca="false">IF(C1894="","",C1894&amp;"|"&amp;COUNTIF(C$3:C1894,C1894))</f>
        <v/>
      </c>
      <c r="O1894" s="1" t="str">
        <f aca="false">IF(OR(C1894="",M1894=""),"",C1894&amp;"|"&amp;COUNTIFS(C$3:C1894,C1894,M$3:M1894,"&lt;&gt;"))</f>
        <v/>
      </c>
    </row>
    <row r="1895" customFormat="false" ht="15" hidden="false" customHeight="false" outlineLevel="0" collapsed="false">
      <c r="B1895" s="7"/>
      <c r="C1895" s="5"/>
      <c r="D1895" s="9" t="str">
        <f aca="false">IF(C1895="","",IFERROR(VLOOKUP(C1895,EQUIPOS!$B$3:$C$18,2,0),"NO EXISTE"))</f>
        <v/>
      </c>
      <c r="E1895" s="9" t="str">
        <f aca="false">IF(C1895="","",IFERROR(VLOOKUP(C1895,EQUIPOS!$B$3:$F$18,5,0),""))</f>
        <v/>
      </c>
      <c r="F1895" s="5" t="str">
        <f aca="false">IF(C1895="","",IFERROR(VLOOKUP(C1895,EQUIPOS!$B$3:$G$18,6,0),""))</f>
        <v/>
      </c>
      <c r="G1895" s="8"/>
      <c r="H1895" s="5"/>
      <c r="I1895" s="5"/>
      <c r="J1895" s="9"/>
      <c r="K1895" s="17" t="str">
        <f aca="false">IF(H1895="","",IFERROR(SUMIFS(BD_PLAN!$I$3:$I$312,BD_PLAN!$B$3:$B$312,E1895,BD_PLAN!$C$3:$C$312,INDEX(BD_CICLO!$F$3:$F$54,MATCH(E1895&amp;"|"&amp;H1895,BD_CICLO!$G$3:$G$54,0))),""))</f>
        <v/>
      </c>
      <c r="L1895" s="9"/>
      <c r="M1895" s="9"/>
      <c r="N1895" s="1" t="str">
        <f aca="false">IF(C1895="","",C1895&amp;"|"&amp;COUNTIF(C$3:C1895,C1895))</f>
        <v/>
      </c>
      <c r="O1895" s="1" t="str">
        <f aca="false">IF(OR(C1895="",M1895=""),"",C1895&amp;"|"&amp;COUNTIFS(C$3:C1895,C1895,M$3:M1895,"&lt;&gt;"))</f>
        <v/>
      </c>
    </row>
    <row r="1896" customFormat="false" ht="15" hidden="false" customHeight="false" outlineLevel="0" collapsed="false">
      <c r="B1896" s="7"/>
      <c r="C1896" s="5"/>
      <c r="D1896" s="9" t="str">
        <f aca="false">IF(C1896="","",IFERROR(VLOOKUP(C1896,EQUIPOS!$B$3:$C$18,2,0),"NO EXISTE"))</f>
        <v/>
      </c>
      <c r="E1896" s="9" t="str">
        <f aca="false">IF(C1896="","",IFERROR(VLOOKUP(C1896,EQUIPOS!$B$3:$F$18,5,0),""))</f>
        <v/>
      </c>
      <c r="F1896" s="5" t="str">
        <f aca="false">IF(C1896="","",IFERROR(VLOOKUP(C1896,EQUIPOS!$B$3:$G$18,6,0),""))</f>
        <v/>
      </c>
      <c r="G1896" s="8"/>
      <c r="H1896" s="5"/>
      <c r="I1896" s="5"/>
      <c r="J1896" s="9"/>
      <c r="K1896" s="17" t="str">
        <f aca="false">IF(H1896="","",IFERROR(SUMIFS(BD_PLAN!$I$3:$I$312,BD_PLAN!$B$3:$B$312,E1896,BD_PLAN!$C$3:$C$312,INDEX(BD_CICLO!$F$3:$F$54,MATCH(E1896&amp;"|"&amp;H1896,BD_CICLO!$G$3:$G$54,0))),""))</f>
        <v/>
      </c>
      <c r="L1896" s="9"/>
      <c r="M1896" s="9"/>
      <c r="N1896" s="1" t="str">
        <f aca="false">IF(C1896="","",C1896&amp;"|"&amp;COUNTIF(C$3:C1896,C1896))</f>
        <v/>
      </c>
      <c r="O1896" s="1" t="str">
        <f aca="false">IF(OR(C1896="",M1896=""),"",C1896&amp;"|"&amp;COUNTIFS(C$3:C1896,C1896,M$3:M1896,"&lt;&gt;"))</f>
        <v/>
      </c>
    </row>
    <row r="1897" customFormat="false" ht="15" hidden="false" customHeight="false" outlineLevel="0" collapsed="false">
      <c r="B1897" s="7"/>
      <c r="C1897" s="5"/>
      <c r="D1897" s="9" t="str">
        <f aca="false">IF(C1897="","",IFERROR(VLOOKUP(C1897,EQUIPOS!$B$3:$C$18,2,0),"NO EXISTE"))</f>
        <v/>
      </c>
      <c r="E1897" s="9" t="str">
        <f aca="false">IF(C1897="","",IFERROR(VLOOKUP(C1897,EQUIPOS!$B$3:$F$18,5,0),""))</f>
        <v/>
      </c>
      <c r="F1897" s="5" t="str">
        <f aca="false">IF(C1897="","",IFERROR(VLOOKUP(C1897,EQUIPOS!$B$3:$G$18,6,0),""))</f>
        <v/>
      </c>
      <c r="G1897" s="8"/>
      <c r="H1897" s="5"/>
      <c r="I1897" s="5"/>
      <c r="J1897" s="9"/>
      <c r="K1897" s="17" t="str">
        <f aca="false">IF(H1897="","",IFERROR(SUMIFS(BD_PLAN!$I$3:$I$312,BD_PLAN!$B$3:$B$312,E1897,BD_PLAN!$C$3:$C$312,INDEX(BD_CICLO!$F$3:$F$54,MATCH(E1897&amp;"|"&amp;H1897,BD_CICLO!$G$3:$G$54,0))),""))</f>
        <v/>
      </c>
      <c r="L1897" s="9"/>
      <c r="M1897" s="9"/>
      <c r="N1897" s="1" t="str">
        <f aca="false">IF(C1897="","",C1897&amp;"|"&amp;COUNTIF(C$3:C1897,C1897))</f>
        <v/>
      </c>
      <c r="O1897" s="1" t="str">
        <f aca="false">IF(OR(C1897="",M1897=""),"",C1897&amp;"|"&amp;COUNTIFS(C$3:C1897,C1897,M$3:M1897,"&lt;&gt;"))</f>
        <v/>
      </c>
    </row>
    <row r="1898" customFormat="false" ht="15" hidden="false" customHeight="false" outlineLevel="0" collapsed="false">
      <c r="B1898" s="7"/>
      <c r="C1898" s="5"/>
      <c r="D1898" s="9" t="str">
        <f aca="false">IF(C1898="","",IFERROR(VLOOKUP(C1898,EQUIPOS!$B$3:$C$18,2,0),"NO EXISTE"))</f>
        <v/>
      </c>
      <c r="E1898" s="9" t="str">
        <f aca="false">IF(C1898="","",IFERROR(VLOOKUP(C1898,EQUIPOS!$B$3:$F$18,5,0),""))</f>
        <v/>
      </c>
      <c r="F1898" s="5" t="str">
        <f aca="false">IF(C1898="","",IFERROR(VLOOKUP(C1898,EQUIPOS!$B$3:$G$18,6,0),""))</f>
        <v/>
      </c>
      <c r="G1898" s="8"/>
      <c r="H1898" s="5"/>
      <c r="I1898" s="5"/>
      <c r="J1898" s="9"/>
      <c r="K1898" s="17" t="str">
        <f aca="false">IF(H1898="","",IFERROR(SUMIFS(BD_PLAN!$I$3:$I$312,BD_PLAN!$B$3:$B$312,E1898,BD_PLAN!$C$3:$C$312,INDEX(BD_CICLO!$F$3:$F$54,MATCH(E1898&amp;"|"&amp;H1898,BD_CICLO!$G$3:$G$54,0))),""))</f>
        <v/>
      </c>
      <c r="L1898" s="9"/>
      <c r="M1898" s="9"/>
      <c r="N1898" s="1" t="str">
        <f aca="false">IF(C1898="","",C1898&amp;"|"&amp;COUNTIF(C$3:C1898,C1898))</f>
        <v/>
      </c>
      <c r="O1898" s="1" t="str">
        <f aca="false">IF(OR(C1898="",M1898=""),"",C1898&amp;"|"&amp;COUNTIFS(C$3:C1898,C1898,M$3:M1898,"&lt;&gt;"))</f>
        <v/>
      </c>
    </row>
    <row r="1899" customFormat="false" ht="15" hidden="false" customHeight="false" outlineLevel="0" collapsed="false">
      <c r="B1899" s="7"/>
      <c r="C1899" s="5"/>
      <c r="D1899" s="9" t="str">
        <f aca="false">IF(C1899="","",IFERROR(VLOOKUP(C1899,EQUIPOS!$B$3:$C$18,2,0),"NO EXISTE"))</f>
        <v/>
      </c>
      <c r="E1899" s="9" t="str">
        <f aca="false">IF(C1899="","",IFERROR(VLOOKUP(C1899,EQUIPOS!$B$3:$F$18,5,0),""))</f>
        <v/>
      </c>
      <c r="F1899" s="5" t="str">
        <f aca="false">IF(C1899="","",IFERROR(VLOOKUP(C1899,EQUIPOS!$B$3:$G$18,6,0),""))</f>
        <v/>
      </c>
      <c r="G1899" s="8"/>
      <c r="H1899" s="5"/>
      <c r="I1899" s="5"/>
      <c r="J1899" s="9"/>
      <c r="K1899" s="17" t="str">
        <f aca="false">IF(H1899="","",IFERROR(SUMIFS(BD_PLAN!$I$3:$I$312,BD_PLAN!$B$3:$B$312,E1899,BD_PLAN!$C$3:$C$312,INDEX(BD_CICLO!$F$3:$F$54,MATCH(E1899&amp;"|"&amp;H1899,BD_CICLO!$G$3:$G$54,0))),""))</f>
        <v/>
      </c>
      <c r="L1899" s="9"/>
      <c r="M1899" s="9"/>
      <c r="N1899" s="1" t="str">
        <f aca="false">IF(C1899="","",C1899&amp;"|"&amp;COUNTIF(C$3:C1899,C1899))</f>
        <v/>
      </c>
      <c r="O1899" s="1" t="str">
        <f aca="false">IF(OR(C1899="",M1899=""),"",C1899&amp;"|"&amp;COUNTIFS(C$3:C1899,C1899,M$3:M1899,"&lt;&gt;"))</f>
        <v/>
      </c>
    </row>
    <row r="1900" customFormat="false" ht="15" hidden="false" customHeight="false" outlineLevel="0" collapsed="false">
      <c r="B1900" s="7"/>
      <c r="C1900" s="5"/>
      <c r="D1900" s="9" t="str">
        <f aca="false">IF(C1900="","",IFERROR(VLOOKUP(C1900,EQUIPOS!$B$3:$C$18,2,0),"NO EXISTE"))</f>
        <v/>
      </c>
      <c r="E1900" s="9" t="str">
        <f aca="false">IF(C1900="","",IFERROR(VLOOKUP(C1900,EQUIPOS!$B$3:$F$18,5,0),""))</f>
        <v/>
      </c>
      <c r="F1900" s="5" t="str">
        <f aca="false">IF(C1900="","",IFERROR(VLOOKUP(C1900,EQUIPOS!$B$3:$G$18,6,0),""))</f>
        <v/>
      </c>
      <c r="G1900" s="8"/>
      <c r="H1900" s="5"/>
      <c r="I1900" s="5"/>
      <c r="J1900" s="9"/>
      <c r="K1900" s="17" t="str">
        <f aca="false">IF(H1900="","",IFERROR(SUMIFS(BD_PLAN!$I$3:$I$312,BD_PLAN!$B$3:$B$312,E1900,BD_PLAN!$C$3:$C$312,INDEX(BD_CICLO!$F$3:$F$54,MATCH(E1900&amp;"|"&amp;H1900,BD_CICLO!$G$3:$G$54,0))),""))</f>
        <v/>
      </c>
      <c r="L1900" s="9"/>
      <c r="M1900" s="9"/>
      <c r="N1900" s="1" t="str">
        <f aca="false">IF(C1900="","",C1900&amp;"|"&amp;COUNTIF(C$3:C1900,C1900))</f>
        <v/>
      </c>
      <c r="O1900" s="1" t="str">
        <f aca="false">IF(OR(C1900="",M1900=""),"",C1900&amp;"|"&amp;COUNTIFS(C$3:C1900,C1900,M$3:M1900,"&lt;&gt;"))</f>
        <v/>
      </c>
    </row>
    <row r="1901" customFormat="false" ht="15" hidden="false" customHeight="false" outlineLevel="0" collapsed="false">
      <c r="B1901" s="7"/>
      <c r="C1901" s="5"/>
      <c r="D1901" s="9" t="str">
        <f aca="false">IF(C1901="","",IFERROR(VLOOKUP(C1901,EQUIPOS!$B$3:$C$18,2,0),"NO EXISTE"))</f>
        <v/>
      </c>
      <c r="E1901" s="9" t="str">
        <f aca="false">IF(C1901="","",IFERROR(VLOOKUP(C1901,EQUIPOS!$B$3:$F$18,5,0),""))</f>
        <v/>
      </c>
      <c r="F1901" s="5" t="str">
        <f aca="false">IF(C1901="","",IFERROR(VLOOKUP(C1901,EQUIPOS!$B$3:$G$18,6,0),""))</f>
        <v/>
      </c>
      <c r="G1901" s="8"/>
      <c r="H1901" s="5"/>
      <c r="I1901" s="5"/>
      <c r="J1901" s="9"/>
      <c r="K1901" s="17" t="str">
        <f aca="false">IF(H1901="","",IFERROR(SUMIFS(BD_PLAN!$I$3:$I$312,BD_PLAN!$B$3:$B$312,E1901,BD_PLAN!$C$3:$C$312,INDEX(BD_CICLO!$F$3:$F$54,MATCH(E1901&amp;"|"&amp;H1901,BD_CICLO!$G$3:$G$54,0))),""))</f>
        <v/>
      </c>
      <c r="L1901" s="9"/>
      <c r="M1901" s="9"/>
      <c r="N1901" s="1" t="str">
        <f aca="false">IF(C1901="","",C1901&amp;"|"&amp;COUNTIF(C$3:C1901,C1901))</f>
        <v/>
      </c>
      <c r="O1901" s="1" t="str">
        <f aca="false">IF(OR(C1901="",M1901=""),"",C1901&amp;"|"&amp;COUNTIFS(C$3:C1901,C1901,M$3:M1901,"&lt;&gt;"))</f>
        <v/>
      </c>
    </row>
    <row r="1902" customFormat="false" ht="15" hidden="false" customHeight="false" outlineLevel="0" collapsed="false">
      <c r="B1902" s="7"/>
      <c r="C1902" s="5"/>
      <c r="D1902" s="9" t="str">
        <f aca="false">IF(C1902="","",IFERROR(VLOOKUP(C1902,EQUIPOS!$B$3:$C$18,2,0),"NO EXISTE"))</f>
        <v/>
      </c>
      <c r="E1902" s="9" t="str">
        <f aca="false">IF(C1902="","",IFERROR(VLOOKUP(C1902,EQUIPOS!$B$3:$F$18,5,0),""))</f>
        <v/>
      </c>
      <c r="F1902" s="5" t="str">
        <f aca="false">IF(C1902="","",IFERROR(VLOOKUP(C1902,EQUIPOS!$B$3:$G$18,6,0),""))</f>
        <v/>
      </c>
      <c r="G1902" s="8"/>
      <c r="H1902" s="5"/>
      <c r="I1902" s="5"/>
      <c r="J1902" s="9"/>
      <c r="K1902" s="17" t="str">
        <f aca="false">IF(H1902="","",IFERROR(SUMIFS(BD_PLAN!$I$3:$I$312,BD_PLAN!$B$3:$B$312,E1902,BD_PLAN!$C$3:$C$312,INDEX(BD_CICLO!$F$3:$F$54,MATCH(E1902&amp;"|"&amp;H1902,BD_CICLO!$G$3:$G$54,0))),""))</f>
        <v/>
      </c>
      <c r="L1902" s="9"/>
      <c r="M1902" s="9"/>
      <c r="N1902" s="1" t="str">
        <f aca="false">IF(C1902="","",C1902&amp;"|"&amp;COUNTIF(C$3:C1902,C1902))</f>
        <v/>
      </c>
      <c r="O1902" s="1" t="str">
        <f aca="false">IF(OR(C1902="",M1902=""),"",C1902&amp;"|"&amp;COUNTIFS(C$3:C1902,C1902,M$3:M1902,"&lt;&gt;"))</f>
        <v/>
      </c>
    </row>
    <row r="1903" customFormat="false" ht="15" hidden="false" customHeight="false" outlineLevel="0" collapsed="false">
      <c r="B1903" s="7"/>
      <c r="C1903" s="5"/>
      <c r="D1903" s="9" t="str">
        <f aca="false">IF(C1903="","",IFERROR(VLOOKUP(C1903,EQUIPOS!$B$3:$C$18,2,0),"NO EXISTE"))</f>
        <v/>
      </c>
      <c r="E1903" s="9" t="str">
        <f aca="false">IF(C1903="","",IFERROR(VLOOKUP(C1903,EQUIPOS!$B$3:$F$18,5,0),""))</f>
        <v/>
      </c>
      <c r="F1903" s="5" t="str">
        <f aca="false">IF(C1903="","",IFERROR(VLOOKUP(C1903,EQUIPOS!$B$3:$G$18,6,0),""))</f>
        <v/>
      </c>
      <c r="G1903" s="8"/>
      <c r="H1903" s="5"/>
      <c r="I1903" s="5"/>
      <c r="J1903" s="9"/>
      <c r="K1903" s="17" t="str">
        <f aca="false">IF(H1903="","",IFERROR(SUMIFS(BD_PLAN!$I$3:$I$312,BD_PLAN!$B$3:$B$312,E1903,BD_PLAN!$C$3:$C$312,INDEX(BD_CICLO!$F$3:$F$54,MATCH(E1903&amp;"|"&amp;H1903,BD_CICLO!$G$3:$G$54,0))),""))</f>
        <v/>
      </c>
      <c r="L1903" s="9"/>
      <c r="M1903" s="9"/>
      <c r="N1903" s="1" t="str">
        <f aca="false">IF(C1903="","",C1903&amp;"|"&amp;COUNTIF(C$3:C1903,C1903))</f>
        <v/>
      </c>
      <c r="O1903" s="1" t="str">
        <f aca="false">IF(OR(C1903="",M1903=""),"",C1903&amp;"|"&amp;COUNTIFS(C$3:C1903,C1903,M$3:M1903,"&lt;&gt;"))</f>
        <v/>
      </c>
    </row>
    <row r="1904" customFormat="false" ht="15" hidden="false" customHeight="false" outlineLevel="0" collapsed="false">
      <c r="B1904" s="7"/>
      <c r="C1904" s="5"/>
      <c r="D1904" s="9" t="str">
        <f aca="false">IF(C1904="","",IFERROR(VLOOKUP(C1904,EQUIPOS!$B$3:$C$18,2,0),"NO EXISTE"))</f>
        <v/>
      </c>
      <c r="E1904" s="9" t="str">
        <f aca="false">IF(C1904="","",IFERROR(VLOOKUP(C1904,EQUIPOS!$B$3:$F$18,5,0),""))</f>
        <v/>
      </c>
      <c r="F1904" s="5" t="str">
        <f aca="false">IF(C1904="","",IFERROR(VLOOKUP(C1904,EQUIPOS!$B$3:$G$18,6,0),""))</f>
        <v/>
      </c>
      <c r="G1904" s="8"/>
      <c r="H1904" s="5"/>
      <c r="I1904" s="5"/>
      <c r="J1904" s="9"/>
      <c r="K1904" s="17" t="str">
        <f aca="false">IF(H1904="","",IFERROR(SUMIFS(BD_PLAN!$I$3:$I$312,BD_PLAN!$B$3:$B$312,E1904,BD_PLAN!$C$3:$C$312,INDEX(BD_CICLO!$F$3:$F$54,MATCH(E1904&amp;"|"&amp;H1904,BD_CICLO!$G$3:$G$54,0))),""))</f>
        <v/>
      </c>
      <c r="L1904" s="9"/>
      <c r="M1904" s="9"/>
      <c r="N1904" s="1" t="str">
        <f aca="false">IF(C1904="","",C1904&amp;"|"&amp;COUNTIF(C$3:C1904,C1904))</f>
        <v/>
      </c>
      <c r="O1904" s="1" t="str">
        <f aca="false">IF(OR(C1904="",M1904=""),"",C1904&amp;"|"&amp;COUNTIFS(C$3:C1904,C1904,M$3:M1904,"&lt;&gt;"))</f>
        <v/>
      </c>
    </row>
    <row r="1905" customFormat="false" ht="15" hidden="false" customHeight="false" outlineLevel="0" collapsed="false">
      <c r="B1905" s="7"/>
      <c r="C1905" s="5"/>
      <c r="D1905" s="9" t="str">
        <f aca="false">IF(C1905="","",IFERROR(VLOOKUP(C1905,EQUIPOS!$B$3:$C$18,2,0),"NO EXISTE"))</f>
        <v/>
      </c>
      <c r="E1905" s="9" t="str">
        <f aca="false">IF(C1905="","",IFERROR(VLOOKUP(C1905,EQUIPOS!$B$3:$F$18,5,0),""))</f>
        <v/>
      </c>
      <c r="F1905" s="5" t="str">
        <f aca="false">IF(C1905="","",IFERROR(VLOOKUP(C1905,EQUIPOS!$B$3:$G$18,6,0),""))</f>
        <v/>
      </c>
      <c r="G1905" s="8"/>
      <c r="H1905" s="5"/>
      <c r="I1905" s="5"/>
      <c r="J1905" s="9"/>
      <c r="K1905" s="17" t="str">
        <f aca="false">IF(H1905="","",IFERROR(SUMIFS(BD_PLAN!$I$3:$I$312,BD_PLAN!$B$3:$B$312,E1905,BD_PLAN!$C$3:$C$312,INDEX(BD_CICLO!$F$3:$F$54,MATCH(E1905&amp;"|"&amp;H1905,BD_CICLO!$G$3:$G$54,0))),""))</f>
        <v/>
      </c>
      <c r="L1905" s="9"/>
      <c r="M1905" s="9"/>
      <c r="N1905" s="1" t="str">
        <f aca="false">IF(C1905="","",C1905&amp;"|"&amp;COUNTIF(C$3:C1905,C1905))</f>
        <v/>
      </c>
      <c r="O1905" s="1" t="str">
        <f aca="false">IF(OR(C1905="",M1905=""),"",C1905&amp;"|"&amp;COUNTIFS(C$3:C1905,C1905,M$3:M1905,"&lt;&gt;"))</f>
        <v/>
      </c>
    </row>
    <row r="1906" customFormat="false" ht="15" hidden="false" customHeight="false" outlineLevel="0" collapsed="false">
      <c r="B1906" s="7"/>
      <c r="C1906" s="5"/>
      <c r="D1906" s="9" t="str">
        <f aca="false">IF(C1906="","",IFERROR(VLOOKUP(C1906,EQUIPOS!$B$3:$C$18,2,0),"NO EXISTE"))</f>
        <v/>
      </c>
      <c r="E1906" s="9" t="str">
        <f aca="false">IF(C1906="","",IFERROR(VLOOKUP(C1906,EQUIPOS!$B$3:$F$18,5,0),""))</f>
        <v/>
      </c>
      <c r="F1906" s="5" t="str">
        <f aca="false">IF(C1906="","",IFERROR(VLOOKUP(C1906,EQUIPOS!$B$3:$G$18,6,0),""))</f>
        <v/>
      </c>
      <c r="G1906" s="8"/>
      <c r="H1906" s="5"/>
      <c r="I1906" s="5"/>
      <c r="J1906" s="9"/>
      <c r="K1906" s="17" t="str">
        <f aca="false">IF(H1906="","",IFERROR(SUMIFS(BD_PLAN!$I$3:$I$312,BD_PLAN!$B$3:$B$312,E1906,BD_PLAN!$C$3:$C$312,INDEX(BD_CICLO!$F$3:$F$54,MATCH(E1906&amp;"|"&amp;H1906,BD_CICLO!$G$3:$G$54,0))),""))</f>
        <v/>
      </c>
      <c r="L1906" s="9"/>
      <c r="M1906" s="9"/>
      <c r="N1906" s="1" t="str">
        <f aca="false">IF(C1906="","",C1906&amp;"|"&amp;COUNTIF(C$3:C1906,C1906))</f>
        <v/>
      </c>
      <c r="O1906" s="1" t="str">
        <f aca="false">IF(OR(C1906="",M1906=""),"",C1906&amp;"|"&amp;COUNTIFS(C$3:C1906,C1906,M$3:M1906,"&lt;&gt;"))</f>
        <v/>
      </c>
    </row>
    <row r="1907" customFormat="false" ht="15" hidden="false" customHeight="false" outlineLevel="0" collapsed="false">
      <c r="B1907" s="7"/>
      <c r="C1907" s="5"/>
      <c r="D1907" s="9" t="str">
        <f aca="false">IF(C1907="","",IFERROR(VLOOKUP(C1907,EQUIPOS!$B$3:$C$18,2,0),"NO EXISTE"))</f>
        <v/>
      </c>
      <c r="E1907" s="9" t="str">
        <f aca="false">IF(C1907="","",IFERROR(VLOOKUP(C1907,EQUIPOS!$B$3:$F$18,5,0),""))</f>
        <v/>
      </c>
      <c r="F1907" s="5" t="str">
        <f aca="false">IF(C1907="","",IFERROR(VLOOKUP(C1907,EQUIPOS!$B$3:$G$18,6,0),""))</f>
        <v/>
      </c>
      <c r="G1907" s="8"/>
      <c r="H1907" s="5"/>
      <c r="I1907" s="5"/>
      <c r="J1907" s="9"/>
      <c r="K1907" s="17" t="str">
        <f aca="false">IF(H1907="","",IFERROR(SUMIFS(BD_PLAN!$I$3:$I$312,BD_PLAN!$B$3:$B$312,E1907,BD_PLAN!$C$3:$C$312,INDEX(BD_CICLO!$F$3:$F$54,MATCH(E1907&amp;"|"&amp;H1907,BD_CICLO!$G$3:$G$54,0))),""))</f>
        <v/>
      </c>
      <c r="L1907" s="9"/>
      <c r="M1907" s="9"/>
      <c r="N1907" s="1" t="str">
        <f aca="false">IF(C1907="","",C1907&amp;"|"&amp;COUNTIF(C$3:C1907,C1907))</f>
        <v/>
      </c>
      <c r="O1907" s="1" t="str">
        <f aca="false">IF(OR(C1907="",M1907=""),"",C1907&amp;"|"&amp;COUNTIFS(C$3:C1907,C1907,M$3:M1907,"&lt;&gt;"))</f>
        <v/>
      </c>
    </row>
    <row r="1908" customFormat="false" ht="15" hidden="false" customHeight="false" outlineLevel="0" collapsed="false">
      <c r="B1908" s="7"/>
      <c r="C1908" s="5"/>
      <c r="D1908" s="9" t="str">
        <f aca="false">IF(C1908="","",IFERROR(VLOOKUP(C1908,EQUIPOS!$B$3:$C$18,2,0),"NO EXISTE"))</f>
        <v/>
      </c>
      <c r="E1908" s="9" t="str">
        <f aca="false">IF(C1908="","",IFERROR(VLOOKUP(C1908,EQUIPOS!$B$3:$F$18,5,0),""))</f>
        <v/>
      </c>
      <c r="F1908" s="5" t="str">
        <f aca="false">IF(C1908="","",IFERROR(VLOOKUP(C1908,EQUIPOS!$B$3:$G$18,6,0),""))</f>
        <v/>
      </c>
      <c r="G1908" s="8"/>
      <c r="H1908" s="5"/>
      <c r="I1908" s="5"/>
      <c r="J1908" s="9"/>
      <c r="K1908" s="17" t="str">
        <f aca="false">IF(H1908="","",IFERROR(SUMIFS(BD_PLAN!$I$3:$I$312,BD_PLAN!$B$3:$B$312,E1908,BD_PLAN!$C$3:$C$312,INDEX(BD_CICLO!$F$3:$F$54,MATCH(E1908&amp;"|"&amp;H1908,BD_CICLO!$G$3:$G$54,0))),""))</f>
        <v/>
      </c>
      <c r="L1908" s="9"/>
      <c r="M1908" s="9"/>
      <c r="N1908" s="1" t="str">
        <f aca="false">IF(C1908="","",C1908&amp;"|"&amp;COUNTIF(C$3:C1908,C1908))</f>
        <v/>
      </c>
      <c r="O1908" s="1" t="str">
        <f aca="false">IF(OR(C1908="",M1908=""),"",C1908&amp;"|"&amp;COUNTIFS(C$3:C1908,C1908,M$3:M1908,"&lt;&gt;"))</f>
        <v/>
      </c>
    </row>
    <row r="1909" customFormat="false" ht="15" hidden="false" customHeight="false" outlineLevel="0" collapsed="false">
      <c r="B1909" s="7"/>
      <c r="C1909" s="5"/>
      <c r="D1909" s="9" t="str">
        <f aca="false">IF(C1909="","",IFERROR(VLOOKUP(C1909,EQUIPOS!$B$3:$C$18,2,0),"NO EXISTE"))</f>
        <v/>
      </c>
      <c r="E1909" s="9" t="str">
        <f aca="false">IF(C1909="","",IFERROR(VLOOKUP(C1909,EQUIPOS!$B$3:$F$18,5,0),""))</f>
        <v/>
      </c>
      <c r="F1909" s="5" t="str">
        <f aca="false">IF(C1909="","",IFERROR(VLOOKUP(C1909,EQUIPOS!$B$3:$G$18,6,0),""))</f>
        <v/>
      </c>
      <c r="G1909" s="8"/>
      <c r="H1909" s="5"/>
      <c r="I1909" s="5"/>
      <c r="J1909" s="9"/>
      <c r="K1909" s="17" t="str">
        <f aca="false">IF(H1909="","",IFERROR(SUMIFS(BD_PLAN!$I$3:$I$312,BD_PLAN!$B$3:$B$312,E1909,BD_PLAN!$C$3:$C$312,INDEX(BD_CICLO!$F$3:$F$54,MATCH(E1909&amp;"|"&amp;H1909,BD_CICLO!$G$3:$G$54,0))),""))</f>
        <v/>
      </c>
      <c r="L1909" s="9"/>
      <c r="M1909" s="9"/>
      <c r="N1909" s="1" t="str">
        <f aca="false">IF(C1909="","",C1909&amp;"|"&amp;COUNTIF(C$3:C1909,C1909))</f>
        <v/>
      </c>
      <c r="O1909" s="1" t="str">
        <f aca="false">IF(OR(C1909="",M1909=""),"",C1909&amp;"|"&amp;COUNTIFS(C$3:C1909,C1909,M$3:M1909,"&lt;&gt;"))</f>
        <v/>
      </c>
    </row>
    <row r="1910" customFormat="false" ht="15" hidden="false" customHeight="false" outlineLevel="0" collapsed="false">
      <c r="B1910" s="7"/>
      <c r="C1910" s="5"/>
      <c r="D1910" s="9" t="str">
        <f aca="false">IF(C1910="","",IFERROR(VLOOKUP(C1910,EQUIPOS!$B$3:$C$18,2,0),"NO EXISTE"))</f>
        <v/>
      </c>
      <c r="E1910" s="9" t="str">
        <f aca="false">IF(C1910="","",IFERROR(VLOOKUP(C1910,EQUIPOS!$B$3:$F$18,5,0),""))</f>
        <v/>
      </c>
      <c r="F1910" s="5" t="str">
        <f aca="false">IF(C1910="","",IFERROR(VLOOKUP(C1910,EQUIPOS!$B$3:$G$18,6,0),""))</f>
        <v/>
      </c>
      <c r="G1910" s="8"/>
      <c r="H1910" s="5"/>
      <c r="I1910" s="5"/>
      <c r="J1910" s="9"/>
      <c r="K1910" s="17" t="str">
        <f aca="false">IF(H1910="","",IFERROR(SUMIFS(BD_PLAN!$I$3:$I$312,BD_PLAN!$B$3:$B$312,E1910,BD_PLAN!$C$3:$C$312,INDEX(BD_CICLO!$F$3:$F$54,MATCH(E1910&amp;"|"&amp;H1910,BD_CICLO!$G$3:$G$54,0))),""))</f>
        <v/>
      </c>
      <c r="L1910" s="9"/>
      <c r="M1910" s="9"/>
      <c r="N1910" s="1" t="str">
        <f aca="false">IF(C1910="","",C1910&amp;"|"&amp;COUNTIF(C$3:C1910,C1910))</f>
        <v/>
      </c>
      <c r="O1910" s="1" t="str">
        <f aca="false">IF(OR(C1910="",M1910=""),"",C1910&amp;"|"&amp;COUNTIFS(C$3:C1910,C1910,M$3:M1910,"&lt;&gt;"))</f>
        <v/>
      </c>
    </row>
    <row r="1911" customFormat="false" ht="15" hidden="false" customHeight="false" outlineLevel="0" collapsed="false">
      <c r="B1911" s="7"/>
      <c r="C1911" s="5"/>
      <c r="D1911" s="9" t="str">
        <f aca="false">IF(C1911="","",IFERROR(VLOOKUP(C1911,EQUIPOS!$B$3:$C$18,2,0),"NO EXISTE"))</f>
        <v/>
      </c>
      <c r="E1911" s="9" t="str">
        <f aca="false">IF(C1911="","",IFERROR(VLOOKUP(C1911,EQUIPOS!$B$3:$F$18,5,0),""))</f>
        <v/>
      </c>
      <c r="F1911" s="5" t="str">
        <f aca="false">IF(C1911="","",IFERROR(VLOOKUP(C1911,EQUIPOS!$B$3:$G$18,6,0),""))</f>
        <v/>
      </c>
      <c r="G1911" s="8"/>
      <c r="H1911" s="5"/>
      <c r="I1911" s="5"/>
      <c r="J1911" s="9"/>
      <c r="K1911" s="17" t="str">
        <f aca="false">IF(H1911="","",IFERROR(SUMIFS(BD_PLAN!$I$3:$I$312,BD_PLAN!$B$3:$B$312,E1911,BD_PLAN!$C$3:$C$312,INDEX(BD_CICLO!$F$3:$F$54,MATCH(E1911&amp;"|"&amp;H1911,BD_CICLO!$G$3:$G$54,0))),""))</f>
        <v/>
      </c>
      <c r="L1911" s="9"/>
      <c r="M1911" s="9"/>
      <c r="N1911" s="1" t="str">
        <f aca="false">IF(C1911="","",C1911&amp;"|"&amp;COUNTIF(C$3:C1911,C1911))</f>
        <v/>
      </c>
      <c r="O1911" s="1" t="str">
        <f aca="false">IF(OR(C1911="",M1911=""),"",C1911&amp;"|"&amp;COUNTIFS(C$3:C1911,C1911,M$3:M1911,"&lt;&gt;"))</f>
        <v/>
      </c>
    </row>
    <row r="1912" customFormat="false" ht="15" hidden="false" customHeight="false" outlineLevel="0" collapsed="false">
      <c r="B1912" s="7"/>
      <c r="C1912" s="5"/>
      <c r="D1912" s="9" t="str">
        <f aca="false">IF(C1912="","",IFERROR(VLOOKUP(C1912,EQUIPOS!$B$3:$C$18,2,0),"NO EXISTE"))</f>
        <v/>
      </c>
      <c r="E1912" s="9" t="str">
        <f aca="false">IF(C1912="","",IFERROR(VLOOKUP(C1912,EQUIPOS!$B$3:$F$18,5,0),""))</f>
        <v/>
      </c>
      <c r="F1912" s="5" t="str">
        <f aca="false">IF(C1912="","",IFERROR(VLOOKUP(C1912,EQUIPOS!$B$3:$G$18,6,0),""))</f>
        <v/>
      </c>
      <c r="G1912" s="8"/>
      <c r="H1912" s="5"/>
      <c r="I1912" s="5"/>
      <c r="J1912" s="9"/>
      <c r="K1912" s="17" t="str">
        <f aca="false">IF(H1912="","",IFERROR(SUMIFS(BD_PLAN!$I$3:$I$312,BD_PLAN!$B$3:$B$312,E1912,BD_PLAN!$C$3:$C$312,INDEX(BD_CICLO!$F$3:$F$54,MATCH(E1912&amp;"|"&amp;H1912,BD_CICLO!$G$3:$G$54,0))),""))</f>
        <v/>
      </c>
      <c r="L1912" s="9"/>
      <c r="M1912" s="9"/>
      <c r="N1912" s="1" t="str">
        <f aca="false">IF(C1912="","",C1912&amp;"|"&amp;COUNTIF(C$3:C1912,C1912))</f>
        <v/>
      </c>
      <c r="O1912" s="1" t="str">
        <f aca="false">IF(OR(C1912="",M1912=""),"",C1912&amp;"|"&amp;COUNTIFS(C$3:C1912,C1912,M$3:M1912,"&lt;&gt;"))</f>
        <v/>
      </c>
    </row>
    <row r="1913" customFormat="false" ht="15" hidden="false" customHeight="false" outlineLevel="0" collapsed="false">
      <c r="B1913" s="7"/>
      <c r="C1913" s="5"/>
      <c r="D1913" s="9" t="str">
        <f aca="false">IF(C1913="","",IFERROR(VLOOKUP(C1913,EQUIPOS!$B$3:$C$18,2,0),"NO EXISTE"))</f>
        <v/>
      </c>
      <c r="E1913" s="9" t="str">
        <f aca="false">IF(C1913="","",IFERROR(VLOOKUP(C1913,EQUIPOS!$B$3:$F$18,5,0),""))</f>
        <v/>
      </c>
      <c r="F1913" s="5" t="str">
        <f aca="false">IF(C1913="","",IFERROR(VLOOKUP(C1913,EQUIPOS!$B$3:$G$18,6,0),""))</f>
        <v/>
      </c>
      <c r="G1913" s="8"/>
      <c r="H1913" s="5"/>
      <c r="I1913" s="5"/>
      <c r="J1913" s="9"/>
      <c r="K1913" s="17" t="str">
        <f aca="false">IF(H1913="","",IFERROR(SUMIFS(BD_PLAN!$I$3:$I$312,BD_PLAN!$B$3:$B$312,E1913,BD_PLAN!$C$3:$C$312,INDEX(BD_CICLO!$F$3:$F$54,MATCH(E1913&amp;"|"&amp;H1913,BD_CICLO!$G$3:$G$54,0))),""))</f>
        <v/>
      </c>
      <c r="L1913" s="9"/>
      <c r="M1913" s="9"/>
      <c r="N1913" s="1" t="str">
        <f aca="false">IF(C1913="","",C1913&amp;"|"&amp;COUNTIF(C$3:C1913,C1913))</f>
        <v/>
      </c>
      <c r="O1913" s="1" t="str">
        <f aca="false">IF(OR(C1913="",M1913=""),"",C1913&amp;"|"&amp;COUNTIFS(C$3:C1913,C1913,M$3:M1913,"&lt;&gt;"))</f>
        <v/>
      </c>
    </row>
    <row r="1914" customFormat="false" ht="15" hidden="false" customHeight="false" outlineLevel="0" collapsed="false">
      <c r="B1914" s="7"/>
      <c r="C1914" s="5"/>
      <c r="D1914" s="9" t="str">
        <f aca="false">IF(C1914="","",IFERROR(VLOOKUP(C1914,EQUIPOS!$B$3:$C$18,2,0),"NO EXISTE"))</f>
        <v/>
      </c>
      <c r="E1914" s="9" t="str">
        <f aca="false">IF(C1914="","",IFERROR(VLOOKUP(C1914,EQUIPOS!$B$3:$F$18,5,0),""))</f>
        <v/>
      </c>
      <c r="F1914" s="5" t="str">
        <f aca="false">IF(C1914="","",IFERROR(VLOOKUP(C1914,EQUIPOS!$B$3:$G$18,6,0),""))</f>
        <v/>
      </c>
      <c r="G1914" s="8"/>
      <c r="H1914" s="5"/>
      <c r="I1914" s="5"/>
      <c r="J1914" s="9"/>
      <c r="K1914" s="17" t="str">
        <f aca="false">IF(H1914="","",IFERROR(SUMIFS(BD_PLAN!$I$3:$I$312,BD_PLAN!$B$3:$B$312,E1914,BD_PLAN!$C$3:$C$312,INDEX(BD_CICLO!$F$3:$F$54,MATCH(E1914&amp;"|"&amp;H1914,BD_CICLO!$G$3:$G$54,0))),""))</f>
        <v/>
      </c>
      <c r="L1914" s="9"/>
      <c r="M1914" s="9"/>
      <c r="N1914" s="1" t="str">
        <f aca="false">IF(C1914="","",C1914&amp;"|"&amp;COUNTIF(C$3:C1914,C1914))</f>
        <v/>
      </c>
      <c r="O1914" s="1" t="str">
        <f aca="false">IF(OR(C1914="",M1914=""),"",C1914&amp;"|"&amp;COUNTIFS(C$3:C1914,C1914,M$3:M1914,"&lt;&gt;"))</f>
        <v/>
      </c>
    </row>
    <row r="1915" customFormat="false" ht="15" hidden="false" customHeight="false" outlineLevel="0" collapsed="false">
      <c r="B1915" s="7"/>
      <c r="C1915" s="5"/>
      <c r="D1915" s="9" t="str">
        <f aca="false">IF(C1915="","",IFERROR(VLOOKUP(C1915,EQUIPOS!$B$3:$C$18,2,0),"NO EXISTE"))</f>
        <v/>
      </c>
      <c r="E1915" s="9" t="str">
        <f aca="false">IF(C1915="","",IFERROR(VLOOKUP(C1915,EQUIPOS!$B$3:$F$18,5,0),""))</f>
        <v/>
      </c>
      <c r="F1915" s="5" t="str">
        <f aca="false">IF(C1915="","",IFERROR(VLOOKUP(C1915,EQUIPOS!$B$3:$G$18,6,0),""))</f>
        <v/>
      </c>
      <c r="G1915" s="8"/>
      <c r="H1915" s="5"/>
      <c r="I1915" s="5"/>
      <c r="J1915" s="9"/>
      <c r="K1915" s="17" t="str">
        <f aca="false">IF(H1915="","",IFERROR(SUMIFS(BD_PLAN!$I$3:$I$312,BD_PLAN!$B$3:$B$312,E1915,BD_PLAN!$C$3:$C$312,INDEX(BD_CICLO!$F$3:$F$54,MATCH(E1915&amp;"|"&amp;H1915,BD_CICLO!$G$3:$G$54,0))),""))</f>
        <v/>
      </c>
      <c r="L1915" s="9"/>
      <c r="M1915" s="9"/>
      <c r="N1915" s="1" t="str">
        <f aca="false">IF(C1915="","",C1915&amp;"|"&amp;COUNTIF(C$3:C1915,C1915))</f>
        <v/>
      </c>
      <c r="O1915" s="1" t="str">
        <f aca="false">IF(OR(C1915="",M1915=""),"",C1915&amp;"|"&amp;COUNTIFS(C$3:C1915,C1915,M$3:M1915,"&lt;&gt;"))</f>
        <v/>
      </c>
    </row>
    <row r="1916" customFormat="false" ht="15" hidden="false" customHeight="false" outlineLevel="0" collapsed="false">
      <c r="B1916" s="7"/>
      <c r="C1916" s="5"/>
      <c r="D1916" s="9" t="str">
        <f aca="false">IF(C1916="","",IFERROR(VLOOKUP(C1916,EQUIPOS!$B$3:$C$18,2,0),"NO EXISTE"))</f>
        <v/>
      </c>
      <c r="E1916" s="9" t="str">
        <f aca="false">IF(C1916="","",IFERROR(VLOOKUP(C1916,EQUIPOS!$B$3:$F$18,5,0),""))</f>
        <v/>
      </c>
      <c r="F1916" s="5" t="str">
        <f aca="false">IF(C1916="","",IFERROR(VLOOKUP(C1916,EQUIPOS!$B$3:$G$18,6,0),""))</f>
        <v/>
      </c>
      <c r="G1916" s="8"/>
      <c r="H1916" s="5"/>
      <c r="I1916" s="5"/>
      <c r="J1916" s="9"/>
      <c r="K1916" s="17" t="str">
        <f aca="false">IF(H1916="","",IFERROR(SUMIFS(BD_PLAN!$I$3:$I$312,BD_PLAN!$B$3:$B$312,E1916,BD_PLAN!$C$3:$C$312,INDEX(BD_CICLO!$F$3:$F$54,MATCH(E1916&amp;"|"&amp;H1916,BD_CICLO!$G$3:$G$54,0))),""))</f>
        <v/>
      </c>
      <c r="L1916" s="9"/>
      <c r="M1916" s="9"/>
      <c r="N1916" s="1" t="str">
        <f aca="false">IF(C1916="","",C1916&amp;"|"&amp;COUNTIF(C$3:C1916,C1916))</f>
        <v/>
      </c>
      <c r="O1916" s="1" t="str">
        <f aca="false">IF(OR(C1916="",M1916=""),"",C1916&amp;"|"&amp;COUNTIFS(C$3:C1916,C1916,M$3:M1916,"&lt;&gt;"))</f>
        <v/>
      </c>
    </row>
    <row r="1917" customFormat="false" ht="15" hidden="false" customHeight="false" outlineLevel="0" collapsed="false">
      <c r="B1917" s="7"/>
      <c r="C1917" s="5"/>
      <c r="D1917" s="9" t="str">
        <f aca="false">IF(C1917="","",IFERROR(VLOOKUP(C1917,EQUIPOS!$B$3:$C$18,2,0),"NO EXISTE"))</f>
        <v/>
      </c>
      <c r="E1917" s="9" t="str">
        <f aca="false">IF(C1917="","",IFERROR(VLOOKUP(C1917,EQUIPOS!$B$3:$F$18,5,0),""))</f>
        <v/>
      </c>
      <c r="F1917" s="5" t="str">
        <f aca="false">IF(C1917="","",IFERROR(VLOOKUP(C1917,EQUIPOS!$B$3:$G$18,6,0),""))</f>
        <v/>
      </c>
      <c r="G1917" s="8"/>
      <c r="H1917" s="5"/>
      <c r="I1917" s="5"/>
      <c r="J1917" s="9"/>
      <c r="K1917" s="17" t="str">
        <f aca="false">IF(H1917="","",IFERROR(SUMIFS(BD_PLAN!$I$3:$I$312,BD_PLAN!$B$3:$B$312,E1917,BD_PLAN!$C$3:$C$312,INDEX(BD_CICLO!$F$3:$F$54,MATCH(E1917&amp;"|"&amp;H1917,BD_CICLO!$G$3:$G$54,0))),""))</f>
        <v/>
      </c>
      <c r="L1917" s="9"/>
      <c r="M1917" s="9"/>
      <c r="N1917" s="1" t="str">
        <f aca="false">IF(C1917="","",C1917&amp;"|"&amp;COUNTIF(C$3:C1917,C1917))</f>
        <v/>
      </c>
      <c r="O1917" s="1" t="str">
        <f aca="false">IF(OR(C1917="",M1917=""),"",C1917&amp;"|"&amp;COUNTIFS(C$3:C1917,C1917,M$3:M1917,"&lt;&gt;"))</f>
        <v/>
      </c>
    </row>
    <row r="1918" customFormat="false" ht="15" hidden="false" customHeight="false" outlineLevel="0" collapsed="false">
      <c r="B1918" s="7"/>
      <c r="C1918" s="5"/>
      <c r="D1918" s="9" t="str">
        <f aca="false">IF(C1918="","",IFERROR(VLOOKUP(C1918,EQUIPOS!$B$3:$C$18,2,0),"NO EXISTE"))</f>
        <v/>
      </c>
      <c r="E1918" s="9" t="str">
        <f aca="false">IF(C1918="","",IFERROR(VLOOKUP(C1918,EQUIPOS!$B$3:$F$18,5,0),""))</f>
        <v/>
      </c>
      <c r="F1918" s="5" t="str">
        <f aca="false">IF(C1918="","",IFERROR(VLOOKUP(C1918,EQUIPOS!$B$3:$G$18,6,0),""))</f>
        <v/>
      </c>
      <c r="G1918" s="8"/>
      <c r="H1918" s="5"/>
      <c r="I1918" s="5"/>
      <c r="J1918" s="9"/>
      <c r="K1918" s="17" t="str">
        <f aca="false">IF(H1918="","",IFERROR(SUMIFS(BD_PLAN!$I$3:$I$312,BD_PLAN!$B$3:$B$312,E1918,BD_PLAN!$C$3:$C$312,INDEX(BD_CICLO!$F$3:$F$54,MATCH(E1918&amp;"|"&amp;H1918,BD_CICLO!$G$3:$G$54,0))),""))</f>
        <v/>
      </c>
      <c r="L1918" s="9"/>
      <c r="M1918" s="9"/>
      <c r="N1918" s="1" t="str">
        <f aca="false">IF(C1918="","",C1918&amp;"|"&amp;COUNTIF(C$3:C1918,C1918))</f>
        <v/>
      </c>
      <c r="O1918" s="1" t="str">
        <f aca="false">IF(OR(C1918="",M1918=""),"",C1918&amp;"|"&amp;COUNTIFS(C$3:C1918,C1918,M$3:M1918,"&lt;&gt;"))</f>
        <v/>
      </c>
    </row>
    <row r="1919" customFormat="false" ht="15" hidden="false" customHeight="false" outlineLevel="0" collapsed="false">
      <c r="B1919" s="7"/>
      <c r="C1919" s="5"/>
      <c r="D1919" s="9" t="str">
        <f aca="false">IF(C1919="","",IFERROR(VLOOKUP(C1919,EQUIPOS!$B$3:$C$18,2,0),"NO EXISTE"))</f>
        <v/>
      </c>
      <c r="E1919" s="9" t="str">
        <f aca="false">IF(C1919="","",IFERROR(VLOOKUP(C1919,EQUIPOS!$B$3:$F$18,5,0),""))</f>
        <v/>
      </c>
      <c r="F1919" s="5" t="str">
        <f aca="false">IF(C1919="","",IFERROR(VLOOKUP(C1919,EQUIPOS!$B$3:$G$18,6,0),""))</f>
        <v/>
      </c>
      <c r="G1919" s="8"/>
      <c r="H1919" s="5"/>
      <c r="I1919" s="5"/>
      <c r="J1919" s="9"/>
      <c r="K1919" s="17" t="str">
        <f aca="false">IF(H1919="","",IFERROR(SUMIFS(BD_PLAN!$I$3:$I$312,BD_PLAN!$B$3:$B$312,E1919,BD_PLAN!$C$3:$C$312,INDEX(BD_CICLO!$F$3:$F$54,MATCH(E1919&amp;"|"&amp;H1919,BD_CICLO!$G$3:$G$54,0))),""))</f>
        <v/>
      </c>
      <c r="L1919" s="9"/>
      <c r="M1919" s="9"/>
      <c r="N1919" s="1" t="str">
        <f aca="false">IF(C1919="","",C1919&amp;"|"&amp;COUNTIF(C$3:C1919,C1919))</f>
        <v/>
      </c>
      <c r="O1919" s="1" t="str">
        <f aca="false">IF(OR(C1919="",M1919=""),"",C1919&amp;"|"&amp;COUNTIFS(C$3:C1919,C1919,M$3:M1919,"&lt;&gt;"))</f>
        <v/>
      </c>
    </row>
    <row r="1920" customFormat="false" ht="15" hidden="false" customHeight="false" outlineLevel="0" collapsed="false">
      <c r="B1920" s="7"/>
      <c r="C1920" s="5"/>
      <c r="D1920" s="9" t="str">
        <f aca="false">IF(C1920="","",IFERROR(VLOOKUP(C1920,EQUIPOS!$B$3:$C$18,2,0),"NO EXISTE"))</f>
        <v/>
      </c>
      <c r="E1920" s="9" t="str">
        <f aca="false">IF(C1920="","",IFERROR(VLOOKUP(C1920,EQUIPOS!$B$3:$F$18,5,0),""))</f>
        <v/>
      </c>
      <c r="F1920" s="5" t="str">
        <f aca="false">IF(C1920="","",IFERROR(VLOOKUP(C1920,EQUIPOS!$B$3:$G$18,6,0),""))</f>
        <v/>
      </c>
      <c r="G1920" s="8"/>
      <c r="H1920" s="5"/>
      <c r="I1920" s="5"/>
      <c r="J1920" s="9"/>
      <c r="K1920" s="17" t="str">
        <f aca="false">IF(H1920="","",IFERROR(SUMIFS(BD_PLAN!$I$3:$I$312,BD_PLAN!$B$3:$B$312,E1920,BD_PLAN!$C$3:$C$312,INDEX(BD_CICLO!$F$3:$F$54,MATCH(E1920&amp;"|"&amp;H1920,BD_CICLO!$G$3:$G$54,0))),""))</f>
        <v/>
      </c>
      <c r="L1920" s="9"/>
      <c r="M1920" s="9"/>
      <c r="N1920" s="1" t="str">
        <f aca="false">IF(C1920="","",C1920&amp;"|"&amp;COUNTIF(C$3:C1920,C1920))</f>
        <v/>
      </c>
      <c r="O1920" s="1" t="str">
        <f aca="false">IF(OR(C1920="",M1920=""),"",C1920&amp;"|"&amp;COUNTIFS(C$3:C1920,C1920,M$3:M1920,"&lt;&gt;"))</f>
        <v/>
      </c>
    </row>
    <row r="1921" customFormat="false" ht="15" hidden="false" customHeight="false" outlineLevel="0" collapsed="false">
      <c r="B1921" s="7"/>
      <c r="C1921" s="5"/>
      <c r="D1921" s="9" t="str">
        <f aca="false">IF(C1921="","",IFERROR(VLOOKUP(C1921,EQUIPOS!$B$3:$C$18,2,0),"NO EXISTE"))</f>
        <v/>
      </c>
      <c r="E1921" s="9" t="str">
        <f aca="false">IF(C1921="","",IFERROR(VLOOKUP(C1921,EQUIPOS!$B$3:$F$18,5,0),""))</f>
        <v/>
      </c>
      <c r="F1921" s="5" t="str">
        <f aca="false">IF(C1921="","",IFERROR(VLOOKUP(C1921,EQUIPOS!$B$3:$G$18,6,0),""))</f>
        <v/>
      </c>
      <c r="G1921" s="8"/>
      <c r="H1921" s="5"/>
      <c r="I1921" s="5"/>
      <c r="J1921" s="9"/>
      <c r="K1921" s="17" t="str">
        <f aca="false">IF(H1921="","",IFERROR(SUMIFS(BD_PLAN!$I$3:$I$312,BD_PLAN!$B$3:$B$312,E1921,BD_PLAN!$C$3:$C$312,INDEX(BD_CICLO!$F$3:$F$54,MATCH(E1921&amp;"|"&amp;H1921,BD_CICLO!$G$3:$G$54,0))),""))</f>
        <v/>
      </c>
      <c r="L1921" s="9"/>
      <c r="M1921" s="9"/>
      <c r="N1921" s="1" t="str">
        <f aca="false">IF(C1921="","",C1921&amp;"|"&amp;COUNTIF(C$3:C1921,C1921))</f>
        <v/>
      </c>
      <c r="O1921" s="1" t="str">
        <f aca="false">IF(OR(C1921="",M1921=""),"",C1921&amp;"|"&amp;COUNTIFS(C$3:C1921,C1921,M$3:M1921,"&lt;&gt;"))</f>
        <v/>
      </c>
    </row>
    <row r="1922" customFormat="false" ht="15" hidden="false" customHeight="false" outlineLevel="0" collapsed="false">
      <c r="B1922" s="7"/>
      <c r="C1922" s="5"/>
      <c r="D1922" s="9" t="str">
        <f aca="false">IF(C1922="","",IFERROR(VLOOKUP(C1922,EQUIPOS!$B$3:$C$18,2,0),"NO EXISTE"))</f>
        <v/>
      </c>
      <c r="E1922" s="9" t="str">
        <f aca="false">IF(C1922="","",IFERROR(VLOOKUP(C1922,EQUIPOS!$B$3:$F$18,5,0),""))</f>
        <v/>
      </c>
      <c r="F1922" s="5" t="str">
        <f aca="false">IF(C1922="","",IFERROR(VLOOKUP(C1922,EQUIPOS!$B$3:$G$18,6,0),""))</f>
        <v/>
      </c>
      <c r="G1922" s="8"/>
      <c r="H1922" s="5"/>
      <c r="I1922" s="5"/>
      <c r="J1922" s="9"/>
      <c r="K1922" s="17" t="str">
        <f aca="false">IF(H1922="","",IFERROR(SUMIFS(BD_PLAN!$I$3:$I$312,BD_PLAN!$B$3:$B$312,E1922,BD_PLAN!$C$3:$C$312,INDEX(BD_CICLO!$F$3:$F$54,MATCH(E1922&amp;"|"&amp;H1922,BD_CICLO!$G$3:$G$54,0))),""))</f>
        <v/>
      </c>
      <c r="L1922" s="9"/>
      <c r="M1922" s="9"/>
      <c r="N1922" s="1" t="str">
        <f aca="false">IF(C1922="","",C1922&amp;"|"&amp;COUNTIF(C$3:C1922,C1922))</f>
        <v/>
      </c>
      <c r="O1922" s="1" t="str">
        <f aca="false">IF(OR(C1922="",M1922=""),"",C1922&amp;"|"&amp;COUNTIFS(C$3:C1922,C1922,M$3:M1922,"&lt;&gt;"))</f>
        <v/>
      </c>
    </row>
    <row r="1923" customFormat="false" ht="15" hidden="false" customHeight="false" outlineLevel="0" collapsed="false">
      <c r="B1923" s="7"/>
      <c r="C1923" s="5"/>
      <c r="D1923" s="9" t="str">
        <f aca="false">IF(C1923="","",IFERROR(VLOOKUP(C1923,EQUIPOS!$B$3:$C$18,2,0),"NO EXISTE"))</f>
        <v/>
      </c>
      <c r="E1923" s="9" t="str">
        <f aca="false">IF(C1923="","",IFERROR(VLOOKUP(C1923,EQUIPOS!$B$3:$F$18,5,0),""))</f>
        <v/>
      </c>
      <c r="F1923" s="5" t="str">
        <f aca="false">IF(C1923="","",IFERROR(VLOOKUP(C1923,EQUIPOS!$B$3:$G$18,6,0),""))</f>
        <v/>
      </c>
      <c r="G1923" s="8"/>
      <c r="H1923" s="5"/>
      <c r="I1923" s="5"/>
      <c r="J1923" s="9"/>
      <c r="K1923" s="17" t="str">
        <f aca="false">IF(H1923="","",IFERROR(SUMIFS(BD_PLAN!$I$3:$I$312,BD_PLAN!$B$3:$B$312,E1923,BD_PLAN!$C$3:$C$312,INDEX(BD_CICLO!$F$3:$F$54,MATCH(E1923&amp;"|"&amp;H1923,BD_CICLO!$G$3:$G$54,0))),""))</f>
        <v/>
      </c>
      <c r="L1923" s="9"/>
      <c r="M1923" s="9"/>
      <c r="N1923" s="1" t="str">
        <f aca="false">IF(C1923="","",C1923&amp;"|"&amp;COUNTIF(C$3:C1923,C1923))</f>
        <v/>
      </c>
      <c r="O1923" s="1" t="str">
        <f aca="false">IF(OR(C1923="",M1923=""),"",C1923&amp;"|"&amp;COUNTIFS(C$3:C1923,C1923,M$3:M1923,"&lt;&gt;"))</f>
        <v/>
      </c>
    </row>
    <row r="1924" customFormat="false" ht="15" hidden="false" customHeight="false" outlineLevel="0" collapsed="false">
      <c r="B1924" s="7"/>
      <c r="C1924" s="5"/>
      <c r="D1924" s="9" t="str">
        <f aca="false">IF(C1924="","",IFERROR(VLOOKUP(C1924,EQUIPOS!$B$3:$C$18,2,0),"NO EXISTE"))</f>
        <v/>
      </c>
      <c r="E1924" s="9" t="str">
        <f aca="false">IF(C1924="","",IFERROR(VLOOKUP(C1924,EQUIPOS!$B$3:$F$18,5,0),""))</f>
        <v/>
      </c>
      <c r="F1924" s="5" t="str">
        <f aca="false">IF(C1924="","",IFERROR(VLOOKUP(C1924,EQUIPOS!$B$3:$G$18,6,0),""))</f>
        <v/>
      </c>
      <c r="G1924" s="8"/>
      <c r="H1924" s="5"/>
      <c r="I1924" s="5"/>
      <c r="J1924" s="9"/>
      <c r="K1924" s="17" t="str">
        <f aca="false">IF(H1924="","",IFERROR(SUMIFS(BD_PLAN!$I$3:$I$312,BD_PLAN!$B$3:$B$312,E1924,BD_PLAN!$C$3:$C$312,INDEX(BD_CICLO!$F$3:$F$54,MATCH(E1924&amp;"|"&amp;H1924,BD_CICLO!$G$3:$G$54,0))),""))</f>
        <v/>
      </c>
      <c r="L1924" s="9"/>
      <c r="M1924" s="9"/>
      <c r="N1924" s="1" t="str">
        <f aca="false">IF(C1924="","",C1924&amp;"|"&amp;COUNTIF(C$3:C1924,C1924))</f>
        <v/>
      </c>
      <c r="O1924" s="1" t="str">
        <f aca="false">IF(OR(C1924="",M1924=""),"",C1924&amp;"|"&amp;COUNTIFS(C$3:C1924,C1924,M$3:M1924,"&lt;&gt;"))</f>
        <v/>
      </c>
    </row>
    <row r="1925" customFormat="false" ht="15" hidden="false" customHeight="false" outlineLevel="0" collapsed="false">
      <c r="B1925" s="7"/>
      <c r="C1925" s="5"/>
      <c r="D1925" s="9" t="str">
        <f aca="false">IF(C1925="","",IFERROR(VLOOKUP(C1925,EQUIPOS!$B$3:$C$18,2,0),"NO EXISTE"))</f>
        <v/>
      </c>
      <c r="E1925" s="9" t="str">
        <f aca="false">IF(C1925="","",IFERROR(VLOOKUP(C1925,EQUIPOS!$B$3:$F$18,5,0),""))</f>
        <v/>
      </c>
      <c r="F1925" s="5" t="str">
        <f aca="false">IF(C1925="","",IFERROR(VLOOKUP(C1925,EQUIPOS!$B$3:$G$18,6,0),""))</f>
        <v/>
      </c>
      <c r="G1925" s="8"/>
      <c r="H1925" s="5"/>
      <c r="I1925" s="5"/>
      <c r="J1925" s="9"/>
      <c r="K1925" s="17" t="str">
        <f aca="false">IF(H1925="","",IFERROR(SUMIFS(BD_PLAN!$I$3:$I$312,BD_PLAN!$B$3:$B$312,E1925,BD_PLAN!$C$3:$C$312,INDEX(BD_CICLO!$F$3:$F$54,MATCH(E1925&amp;"|"&amp;H1925,BD_CICLO!$G$3:$G$54,0))),""))</f>
        <v/>
      </c>
      <c r="L1925" s="9"/>
      <c r="M1925" s="9"/>
      <c r="N1925" s="1" t="str">
        <f aca="false">IF(C1925="","",C1925&amp;"|"&amp;COUNTIF(C$3:C1925,C1925))</f>
        <v/>
      </c>
      <c r="O1925" s="1" t="str">
        <f aca="false">IF(OR(C1925="",M1925=""),"",C1925&amp;"|"&amp;COUNTIFS(C$3:C1925,C1925,M$3:M1925,"&lt;&gt;"))</f>
        <v/>
      </c>
    </row>
    <row r="1926" customFormat="false" ht="15" hidden="false" customHeight="false" outlineLevel="0" collapsed="false">
      <c r="B1926" s="7"/>
      <c r="C1926" s="5"/>
      <c r="D1926" s="9" t="str">
        <f aca="false">IF(C1926="","",IFERROR(VLOOKUP(C1926,EQUIPOS!$B$3:$C$18,2,0),"NO EXISTE"))</f>
        <v/>
      </c>
      <c r="E1926" s="9" t="str">
        <f aca="false">IF(C1926="","",IFERROR(VLOOKUP(C1926,EQUIPOS!$B$3:$F$18,5,0),""))</f>
        <v/>
      </c>
      <c r="F1926" s="5" t="str">
        <f aca="false">IF(C1926="","",IFERROR(VLOOKUP(C1926,EQUIPOS!$B$3:$G$18,6,0),""))</f>
        <v/>
      </c>
      <c r="G1926" s="8"/>
      <c r="H1926" s="5"/>
      <c r="I1926" s="5"/>
      <c r="J1926" s="9"/>
      <c r="K1926" s="17" t="str">
        <f aca="false">IF(H1926="","",IFERROR(SUMIFS(BD_PLAN!$I$3:$I$312,BD_PLAN!$B$3:$B$312,E1926,BD_PLAN!$C$3:$C$312,INDEX(BD_CICLO!$F$3:$F$54,MATCH(E1926&amp;"|"&amp;H1926,BD_CICLO!$G$3:$G$54,0))),""))</f>
        <v/>
      </c>
      <c r="L1926" s="9"/>
      <c r="M1926" s="9"/>
      <c r="N1926" s="1" t="str">
        <f aca="false">IF(C1926="","",C1926&amp;"|"&amp;COUNTIF(C$3:C1926,C1926))</f>
        <v/>
      </c>
      <c r="O1926" s="1" t="str">
        <f aca="false">IF(OR(C1926="",M1926=""),"",C1926&amp;"|"&amp;COUNTIFS(C$3:C1926,C1926,M$3:M1926,"&lt;&gt;"))</f>
        <v/>
      </c>
    </row>
    <row r="1927" customFormat="false" ht="15" hidden="false" customHeight="false" outlineLevel="0" collapsed="false">
      <c r="B1927" s="7"/>
      <c r="C1927" s="5"/>
      <c r="D1927" s="9" t="str">
        <f aca="false">IF(C1927="","",IFERROR(VLOOKUP(C1927,EQUIPOS!$B$3:$C$18,2,0),"NO EXISTE"))</f>
        <v/>
      </c>
      <c r="E1927" s="9" t="str">
        <f aca="false">IF(C1927="","",IFERROR(VLOOKUP(C1927,EQUIPOS!$B$3:$F$18,5,0),""))</f>
        <v/>
      </c>
      <c r="F1927" s="5" t="str">
        <f aca="false">IF(C1927="","",IFERROR(VLOOKUP(C1927,EQUIPOS!$B$3:$G$18,6,0),""))</f>
        <v/>
      </c>
      <c r="G1927" s="8"/>
      <c r="H1927" s="5"/>
      <c r="I1927" s="5"/>
      <c r="J1927" s="9"/>
      <c r="K1927" s="17" t="str">
        <f aca="false">IF(H1927="","",IFERROR(SUMIFS(BD_PLAN!$I$3:$I$312,BD_PLAN!$B$3:$B$312,E1927,BD_PLAN!$C$3:$C$312,INDEX(BD_CICLO!$F$3:$F$54,MATCH(E1927&amp;"|"&amp;H1927,BD_CICLO!$G$3:$G$54,0))),""))</f>
        <v/>
      </c>
      <c r="L1927" s="9"/>
      <c r="M1927" s="9"/>
      <c r="N1927" s="1" t="str">
        <f aca="false">IF(C1927="","",C1927&amp;"|"&amp;COUNTIF(C$3:C1927,C1927))</f>
        <v/>
      </c>
      <c r="O1927" s="1" t="str">
        <f aca="false">IF(OR(C1927="",M1927=""),"",C1927&amp;"|"&amp;COUNTIFS(C$3:C1927,C1927,M$3:M1927,"&lt;&gt;"))</f>
        <v/>
      </c>
    </row>
    <row r="1928" customFormat="false" ht="15" hidden="false" customHeight="false" outlineLevel="0" collapsed="false">
      <c r="B1928" s="7"/>
      <c r="C1928" s="5"/>
      <c r="D1928" s="9" t="str">
        <f aca="false">IF(C1928="","",IFERROR(VLOOKUP(C1928,EQUIPOS!$B$3:$C$18,2,0),"NO EXISTE"))</f>
        <v/>
      </c>
      <c r="E1928" s="9" t="str">
        <f aca="false">IF(C1928="","",IFERROR(VLOOKUP(C1928,EQUIPOS!$B$3:$F$18,5,0),""))</f>
        <v/>
      </c>
      <c r="F1928" s="5" t="str">
        <f aca="false">IF(C1928="","",IFERROR(VLOOKUP(C1928,EQUIPOS!$B$3:$G$18,6,0),""))</f>
        <v/>
      </c>
      <c r="G1928" s="8"/>
      <c r="H1928" s="5"/>
      <c r="I1928" s="5"/>
      <c r="J1928" s="9"/>
      <c r="K1928" s="17" t="str">
        <f aca="false">IF(H1928="","",IFERROR(SUMIFS(BD_PLAN!$I$3:$I$312,BD_PLAN!$B$3:$B$312,E1928,BD_PLAN!$C$3:$C$312,INDEX(BD_CICLO!$F$3:$F$54,MATCH(E1928&amp;"|"&amp;H1928,BD_CICLO!$G$3:$G$54,0))),""))</f>
        <v/>
      </c>
      <c r="L1928" s="9"/>
      <c r="M1928" s="9"/>
      <c r="N1928" s="1" t="str">
        <f aca="false">IF(C1928="","",C1928&amp;"|"&amp;COUNTIF(C$3:C1928,C1928))</f>
        <v/>
      </c>
      <c r="O1928" s="1" t="str">
        <f aca="false">IF(OR(C1928="",M1928=""),"",C1928&amp;"|"&amp;COUNTIFS(C$3:C1928,C1928,M$3:M1928,"&lt;&gt;"))</f>
        <v/>
      </c>
    </row>
    <row r="1929" customFormat="false" ht="15" hidden="false" customHeight="false" outlineLevel="0" collapsed="false">
      <c r="B1929" s="7"/>
      <c r="C1929" s="5"/>
      <c r="D1929" s="9" t="str">
        <f aca="false">IF(C1929="","",IFERROR(VLOOKUP(C1929,EQUIPOS!$B$3:$C$18,2,0),"NO EXISTE"))</f>
        <v/>
      </c>
      <c r="E1929" s="9" t="str">
        <f aca="false">IF(C1929="","",IFERROR(VLOOKUP(C1929,EQUIPOS!$B$3:$F$18,5,0),""))</f>
        <v/>
      </c>
      <c r="F1929" s="5" t="str">
        <f aca="false">IF(C1929="","",IFERROR(VLOOKUP(C1929,EQUIPOS!$B$3:$G$18,6,0),""))</f>
        <v/>
      </c>
      <c r="G1929" s="8"/>
      <c r="H1929" s="5"/>
      <c r="I1929" s="5"/>
      <c r="J1929" s="9"/>
      <c r="K1929" s="17" t="str">
        <f aca="false">IF(H1929="","",IFERROR(SUMIFS(BD_PLAN!$I$3:$I$312,BD_PLAN!$B$3:$B$312,E1929,BD_PLAN!$C$3:$C$312,INDEX(BD_CICLO!$F$3:$F$54,MATCH(E1929&amp;"|"&amp;H1929,BD_CICLO!$G$3:$G$54,0))),""))</f>
        <v/>
      </c>
      <c r="L1929" s="9"/>
      <c r="M1929" s="9"/>
      <c r="N1929" s="1" t="str">
        <f aca="false">IF(C1929="","",C1929&amp;"|"&amp;COUNTIF(C$3:C1929,C1929))</f>
        <v/>
      </c>
      <c r="O1929" s="1" t="str">
        <f aca="false">IF(OR(C1929="",M1929=""),"",C1929&amp;"|"&amp;COUNTIFS(C$3:C1929,C1929,M$3:M1929,"&lt;&gt;"))</f>
        <v/>
      </c>
    </row>
    <row r="1930" customFormat="false" ht="15" hidden="false" customHeight="false" outlineLevel="0" collapsed="false">
      <c r="B1930" s="7"/>
      <c r="C1930" s="5"/>
      <c r="D1930" s="9" t="str">
        <f aca="false">IF(C1930="","",IFERROR(VLOOKUP(C1930,EQUIPOS!$B$3:$C$18,2,0),"NO EXISTE"))</f>
        <v/>
      </c>
      <c r="E1930" s="9" t="str">
        <f aca="false">IF(C1930="","",IFERROR(VLOOKUP(C1930,EQUIPOS!$B$3:$F$18,5,0),""))</f>
        <v/>
      </c>
      <c r="F1930" s="5" t="str">
        <f aca="false">IF(C1930="","",IFERROR(VLOOKUP(C1930,EQUIPOS!$B$3:$G$18,6,0),""))</f>
        <v/>
      </c>
      <c r="G1930" s="8"/>
      <c r="H1930" s="5"/>
      <c r="I1930" s="5"/>
      <c r="J1930" s="9"/>
      <c r="K1930" s="17" t="str">
        <f aca="false">IF(H1930="","",IFERROR(SUMIFS(BD_PLAN!$I$3:$I$312,BD_PLAN!$B$3:$B$312,E1930,BD_PLAN!$C$3:$C$312,INDEX(BD_CICLO!$F$3:$F$54,MATCH(E1930&amp;"|"&amp;H1930,BD_CICLO!$G$3:$G$54,0))),""))</f>
        <v/>
      </c>
      <c r="L1930" s="9"/>
      <c r="M1930" s="9"/>
      <c r="N1930" s="1" t="str">
        <f aca="false">IF(C1930="","",C1930&amp;"|"&amp;COUNTIF(C$3:C1930,C1930))</f>
        <v/>
      </c>
      <c r="O1930" s="1" t="str">
        <f aca="false">IF(OR(C1930="",M1930=""),"",C1930&amp;"|"&amp;COUNTIFS(C$3:C1930,C1930,M$3:M1930,"&lt;&gt;"))</f>
        <v/>
      </c>
    </row>
    <row r="1931" customFormat="false" ht="15" hidden="false" customHeight="false" outlineLevel="0" collapsed="false">
      <c r="B1931" s="7"/>
      <c r="C1931" s="5"/>
      <c r="D1931" s="9" t="str">
        <f aca="false">IF(C1931="","",IFERROR(VLOOKUP(C1931,EQUIPOS!$B$3:$C$18,2,0),"NO EXISTE"))</f>
        <v/>
      </c>
      <c r="E1931" s="9" t="str">
        <f aca="false">IF(C1931="","",IFERROR(VLOOKUP(C1931,EQUIPOS!$B$3:$F$18,5,0),""))</f>
        <v/>
      </c>
      <c r="F1931" s="5" t="str">
        <f aca="false">IF(C1931="","",IFERROR(VLOOKUP(C1931,EQUIPOS!$B$3:$G$18,6,0),""))</f>
        <v/>
      </c>
      <c r="G1931" s="8"/>
      <c r="H1931" s="5"/>
      <c r="I1931" s="5"/>
      <c r="J1931" s="9"/>
      <c r="K1931" s="17" t="str">
        <f aca="false">IF(H1931="","",IFERROR(SUMIFS(BD_PLAN!$I$3:$I$312,BD_PLAN!$B$3:$B$312,E1931,BD_PLAN!$C$3:$C$312,INDEX(BD_CICLO!$F$3:$F$54,MATCH(E1931&amp;"|"&amp;H1931,BD_CICLO!$G$3:$G$54,0))),""))</f>
        <v/>
      </c>
      <c r="L1931" s="9"/>
      <c r="M1931" s="9"/>
      <c r="N1931" s="1" t="str">
        <f aca="false">IF(C1931="","",C1931&amp;"|"&amp;COUNTIF(C$3:C1931,C1931))</f>
        <v/>
      </c>
      <c r="O1931" s="1" t="str">
        <f aca="false">IF(OR(C1931="",M1931=""),"",C1931&amp;"|"&amp;COUNTIFS(C$3:C1931,C1931,M$3:M1931,"&lt;&gt;"))</f>
        <v/>
      </c>
    </row>
    <row r="1932" customFormat="false" ht="15" hidden="false" customHeight="false" outlineLevel="0" collapsed="false">
      <c r="B1932" s="7"/>
      <c r="C1932" s="5"/>
      <c r="D1932" s="9" t="str">
        <f aca="false">IF(C1932="","",IFERROR(VLOOKUP(C1932,EQUIPOS!$B$3:$C$18,2,0),"NO EXISTE"))</f>
        <v/>
      </c>
      <c r="E1932" s="9" t="str">
        <f aca="false">IF(C1932="","",IFERROR(VLOOKUP(C1932,EQUIPOS!$B$3:$F$18,5,0),""))</f>
        <v/>
      </c>
      <c r="F1932" s="5" t="str">
        <f aca="false">IF(C1932="","",IFERROR(VLOOKUP(C1932,EQUIPOS!$B$3:$G$18,6,0),""))</f>
        <v/>
      </c>
      <c r="G1932" s="8"/>
      <c r="H1932" s="5"/>
      <c r="I1932" s="5"/>
      <c r="J1932" s="9"/>
      <c r="K1932" s="17" t="str">
        <f aca="false">IF(H1932="","",IFERROR(SUMIFS(BD_PLAN!$I$3:$I$312,BD_PLAN!$B$3:$B$312,E1932,BD_PLAN!$C$3:$C$312,INDEX(BD_CICLO!$F$3:$F$54,MATCH(E1932&amp;"|"&amp;H1932,BD_CICLO!$G$3:$G$54,0))),""))</f>
        <v/>
      </c>
      <c r="L1932" s="9"/>
      <c r="M1932" s="9"/>
      <c r="N1932" s="1" t="str">
        <f aca="false">IF(C1932="","",C1932&amp;"|"&amp;COUNTIF(C$3:C1932,C1932))</f>
        <v/>
      </c>
      <c r="O1932" s="1" t="str">
        <f aca="false">IF(OR(C1932="",M1932=""),"",C1932&amp;"|"&amp;COUNTIFS(C$3:C1932,C1932,M$3:M1932,"&lt;&gt;"))</f>
        <v/>
      </c>
    </row>
    <row r="1933" customFormat="false" ht="15" hidden="false" customHeight="false" outlineLevel="0" collapsed="false">
      <c r="B1933" s="7"/>
      <c r="C1933" s="5"/>
      <c r="D1933" s="9" t="str">
        <f aca="false">IF(C1933="","",IFERROR(VLOOKUP(C1933,EQUIPOS!$B$3:$C$18,2,0),"NO EXISTE"))</f>
        <v/>
      </c>
      <c r="E1933" s="9" t="str">
        <f aca="false">IF(C1933="","",IFERROR(VLOOKUP(C1933,EQUIPOS!$B$3:$F$18,5,0),""))</f>
        <v/>
      </c>
      <c r="F1933" s="5" t="str">
        <f aca="false">IF(C1933="","",IFERROR(VLOOKUP(C1933,EQUIPOS!$B$3:$G$18,6,0),""))</f>
        <v/>
      </c>
      <c r="G1933" s="8"/>
      <c r="H1933" s="5"/>
      <c r="I1933" s="5"/>
      <c r="J1933" s="9"/>
      <c r="K1933" s="17" t="str">
        <f aca="false">IF(H1933="","",IFERROR(SUMIFS(BD_PLAN!$I$3:$I$312,BD_PLAN!$B$3:$B$312,E1933,BD_PLAN!$C$3:$C$312,INDEX(BD_CICLO!$F$3:$F$54,MATCH(E1933&amp;"|"&amp;H1933,BD_CICLO!$G$3:$G$54,0))),""))</f>
        <v/>
      </c>
      <c r="L1933" s="9"/>
      <c r="M1933" s="9"/>
      <c r="N1933" s="1" t="str">
        <f aca="false">IF(C1933="","",C1933&amp;"|"&amp;COUNTIF(C$3:C1933,C1933))</f>
        <v/>
      </c>
      <c r="O1933" s="1" t="str">
        <f aca="false">IF(OR(C1933="",M1933=""),"",C1933&amp;"|"&amp;COUNTIFS(C$3:C1933,C1933,M$3:M1933,"&lt;&gt;"))</f>
        <v/>
      </c>
    </row>
    <row r="1934" customFormat="false" ht="15" hidden="false" customHeight="false" outlineLevel="0" collapsed="false">
      <c r="B1934" s="7"/>
      <c r="C1934" s="5"/>
      <c r="D1934" s="9" t="str">
        <f aca="false">IF(C1934="","",IFERROR(VLOOKUP(C1934,EQUIPOS!$B$3:$C$18,2,0),"NO EXISTE"))</f>
        <v/>
      </c>
      <c r="E1934" s="9" t="str">
        <f aca="false">IF(C1934="","",IFERROR(VLOOKUP(C1934,EQUIPOS!$B$3:$F$18,5,0),""))</f>
        <v/>
      </c>
      <c r="F1934" s="5" t="str">
        <f aca="false">IF(C1934="","",IFERROR(VLOOKUP(C1934,EQUIPOS!$B$3:$G$18,6,0),""))</f>
        <v/>
      </c>
      <c r="G1934" s="8"/>
      <c r="H1934" s="5"/>
      <c r="I1934" s="5"/>
      <c r="J1934" s="9"/>
      <c r="K1934" s="17" t="str">
        <f aca="false">IF(H1934="","",IFERROR(SUMIFS(BD_PLAN!$I$3:$I$312,BD_PLAN!$B$3:$B$312,E1934,BD_PLAN!$C$3:$C$312,INDEX(BD_CICLO!$F$3:$F$54,MATCH(E1934&amp;"|"&amp;H1934,BD_CICLO!$G$3:$G$54,0))),""))</f>
        <v/>
      </c>
      <c r="L1934" s="9"/>
      <c r="M1934" s="9"/>
      <c r="N1934" s="1" t="str">
        <f aca="false">IF(C1934="","",C1934&amp;"|"&amp;COUNTIF(C$3:C1934,C1934))</f>
        <v/>
      </c>
      <c r="O1934" s="1" t="str">
        <f aca="false">IF(OR(C1934="",M1934=""),"",C1934&amp;"|"&amp;COUNTIFS(C$3:C1934,C1934,M$3:M1934,"&lt;&gt;"))</f>
        <v/>
      </c>
    </row>
    <row r="1935" customFormat="false" ht="15" hidden="false" customHeight="false" outlineLevel="0" collapsed="false">
      <c r="B1935" s="7"/>
      <c r="C1935" s="5"/>
      <c r="D1935" s="9" t="str">
        <f aca="false">IF(C1935="","",IFERROR(VLOOKUP(C1935,EQUIPOS!$B$3:$C$18,2,0),"NO EXISTE"))</f>
        <v/>
      </c>
      <c r="E1935" s="9" t="str">
        <f aca="false">IF(C1935="","",IFERROR(VLOOKUP(C1935,EQUIPOS!$B$3:$F$18,5,0),""))</f>
        <v/>
      </c>
      <c r="F1935" s="5" t="str">
        <f aca="false">IF(C1935="","",IFERROR(VLOOKUP(C1935,EQUIPOS!$B$3:$G$18,6,0),""))</f>
        <v/>
      </c>
      <c r="G1935" s="8"/>
      <c r="H1935" s="5"/>
      <c r="I1935" s="5"/>
      <c r="J1935" s="9"/>
      <c r="K1935" s="17" t="str">
        <f aca="false">IF(H1935="","",IFERROR(SUMIFS(BD_PLAN!$I$3:$I$312,BD_PLAN!$B$3:$B$312,E1935,BD_PLAN!$C$3:$C$312,INDEX(BD_CICLO!$F$3:$F$54,MATCH(E1935&amp;"|"&amp;H1935,BD_CICLO!$G$3:$G$54,0))),""))</f>
        <v/>
      </c>
      <c r="L1935" s="9"/>
      <c r="M1935" s="9"/>
      <c r="N1935" s="1" t="str">
        <f aca="false">IF(C1935="","",C1935&amp;"|"&amp;COUNTIF(C$3:C1935,C1935))</f>
        <v/>
      </c>
      <c r="O1935" s="1" t="str">
        <f aca="false">IF(OR(C1935="",M1935=""),"",C1935&amp;"|"&amp;COUNTIFS(C$3:C1935,C1935,M$3:M1935,"&lt;&gt;"))</f>
        <v/>
      </c>
    </row>
    <row r="1936" customFormat="false" ht="15" hidden="false" customHeight="false" outlineLevel="0" collapsed="false">
      <c r="B1936" s="7"/>
      <c r="C1936" s="5"/>
      <c r="D1936" s="9" t="str">
        <f aca="false">IF(C1936="","",IFERROR(VLOOKUP(C1936,EQUIPOS!$B$3:$C$18,2,0),"NO EXISTE"))</f>
        <v/>
      </c>
      <c r="E1936" s="9" t="str">
        <f aca="false">IF(C1936="","",IFERROR(VLOOKUP(C1936,EQUIPOS!$B$3:$F$18,5,0),""))</f>
        <v/>
      </c>
      <c r="F1936" s="5" t="str">
        <f aca="false">IF(C1936="","",IFERROR(VLOOKUP(C1936,EQUIPOS!$B$3:$G$18,6,0),""))</f>
        <v/>
      </c>
      <c r="G1936" s="8"/>
      <c r="H1936" s="5"/>
      <c r="I1936" s="5"/>
      <c r="J1936" s="9"/>
      <c r="K1936" s="17" t="str">
        <f aca="false">IF(H1936="","",IFERROR(SUMIFS(BD_PLAN!$I$3:$I$312,BD_PLAN!$B$3:$B$312,E1936,BD_PLAN!$C$3:$C$312,INDEX(BD_CICLO!$F$3:$F$54,MATCH(E1936&amp;"|"&amp;H1936,BD_CICLO!$G$3:$G$54,0))),""))</f>
        <v/>
      </c>
      <c r="L1936" s="9"/>
      <c r="M1936" s="9"/>
      <c r="N1936" s="1" t="str">
        <f aca="false">IF(C1936="","",C1936&amp;"|"&amp;COUNTIF(C$3:C1936,C1936))</f>
        <v/>
      </c>
      <c r="O1936" s="1" t="str">
        <f aca="false">IF(OR(C1936="",M1936=""),"",C1936&amp;"|"&amp;COUNTIFS(C$3:C1936,C1936,M$3:M1936,"&lt;&gt;"))</f>
        <v/>
      </c>
    </row>
    <row r="1937" customFormat="false" ht="15" hidden="false" customHeight="false" outlineLevel="0" collapsed="false">
      <c r="B1937" s="7"/>
      <c r="C1937" s="5"/>
      <c r="D1937" s="9" t="str">
        <f aca="false">IF(C1937="","",IFERROR(VLOOKUP(C1937,EQUIPOS!$B$3:$C$18,2,0),"NO EXISTE"))</f>
        <v/>
      </c>
      <c r="E1937" s="9" t="str">
        <f aca="false">IF(C1937="","",IFERROR(VLOOKUP(C1937,EQUIPOS!$B$3:$F$18,5,0),""))</f>
        <v/>
      </c>
      <c r="F1937" s="5" t="str">
        <f aca="false">IF(C1937="","",IFERROR(VLOOKUP(C1937,EQUIPOS!$B$3:$G$18,6,0),""))</f>
        <v/>
      </c>
      <c r="G1937" s="8"/>
      <c r="H1937" s="5"/>
      <c r="I1937" s="5"/>
      <c r="J1937" s="9"/>
      <c r="K1937" s="17" t="str">
        <f aca="false">IF(H1937="","",IFERROR(SUMIFS(BD_PLAN!$I$3:$I$312,BD_PLAN!$B$3:$B$312,E1937,BD_PLAN!$C$3:$C$312,INDEX(BD_CICLO!$F$3:$F$54,MATCH(E1937&amp;"|"&amp;H1937,BD_CICLO!$G$3:$G$54,0))),""))</f>
        <v/>
      </c>
      <c r="L1937" s="9"/>
      <c r="M1937" s="9"/>
      <c r="N1937" s="1" t="str">
        <f aca="false">IF(C1937="","",C1937&amp;"|"&amp;COUNTIF(C$3:C1937,C1937))</f>
        <v/>
      </c>
      <c r="O1937" s="1" t="str">
        <f aca="false">IF(OR(C1937="",M1937=""),"",C1937&amp;"|"&amp;COUNTIFS(C$3:C1937,C1937,M$3:M1937,"&lt;&gt;"))</f>
        <v/>
      </c>
    </row>
    <row r="1938" customFormat="false" ht="15" hidden="false" customHeight="false" outlineLevel="0" collapsed="false">
      <c r="B1938" s="7"/>
      <c r="C1938" s="5"/>
      <c r="D1938" s="9" t="str">
        <f aca="false">IF(C1938="","",IFERROR(VLOOKUP(C1938,EQUIPOS!$B$3:$C$18,2,0),"NO EXISTE"))</f>
        <v/>
      </c>
      <c r="E1938" s="9" t="str">
        <f aca="false">IF(C1938="","",IFERROR(VLOOKUP(C1938,EQUIPOS!$B$3:$F$18,5,0),""))</f>
        <v/>
      </c>
      <c r="F1938" s="5" t="str">
        <f aca="false">IF(C1938="","",IFERROR(VLOOKUP(C1938,EQUIPOS!$B$3:$G$18,6,0),""))</f>
        <v/>
      </c>
      <c r="G1938" s="8"/>
      <c r="H1938" s="5"/>
      <c r="I1938" s="5"/>
      <c r="J1938" s="9"/>
      <c r="K1938" s="17" t="str">
        <f aca="false">IF(H1938="","",IFERROR(SUMIFS(BD_PLAN!$I$3:$I$312,BD_PLAN!$B$3:$B$312,E1938,BD_PLAN!$C$3:$C$312,INDEX(BD_CICLO!$F$3:$F$54,MATCH(E1938&amp;"|"&amp;H1938,BD_CICLO!$G$3:$G$54,0))),""))</f>
        <v/>
      </c>
      <c r="L1938" s="9"/>
      <c r="M1938" s="9"/>
      <c r="N1938" s="1" t="str">
        <f aca="false">IF(C1938="","",C1938&amp;"|"&amp;COUNTIF(C$3:C1938,C1938))</f>
        <v/>
      </c>
      <c r="O1938" s="1" t="str">
        <f aca="false">IF(OR(C1938="",M1938=""),"",C1938&amp;"|"&amp;COUNTIFS(C$3:C1938,C1938,M$3:M1938,"&lt;&gt;"))</f>
        <v/>
      </c>
    </row>
    <row r="1939" customFormat="false" ht="15" hidden="false" customHeight="false" outlineLevel="0" collapsed="false">
      <c r="B1939" s="7"/>
      <c r="C1939" s="5"/>
      <c r="D1939" s="9" t="str">
        <f aca="false">IF(C1939="","",IFERROR(VLOOKUP(C1939,EQUIPOS!$B$3:$C$18,2,0),"NO EXISTE"))</f>
        <v/>
      </c>
      <c r="E1939" s="9" t="str">
        <f aca="false">IF(C1939="","",IFERROR(VLOOKUP(C1939,EQUIPOS!$B$3:$F$18,5,0),""))</f>
        <v/>
      </c>
      <c r="F1939" s="5" t="str">
        <f aca="false">IF(C1939="","",IFERROR(VLOOKUP(C1939,EQUIPOS!$B$3:$G$18,6,0),""))</f>
        <v/>
      </c>
      <c r="G1939" s="8"/>
      <c r="H1939" s="5"/>
      <c r="I1939" s="5"/>
      <c r="J1939" s="9"/>
      <c r="K1939" s="17" t="str">
        <f aca="false">IF(H1939="","",IFERROR(SUMIFS(BD_PLAN!$I$3:$I$312,BD_PLAN!$B$3:$B$312,E1939,BD_PLAN!$C$3:$C$312,INDEX(BD_CICLO!$F$3:$F$54,MATCH(E1939&amp;"|"&amp;H1939,BD_CICLO!$G$3:$G$54,0))),""))</f>
        <v/>
      </c>
      <c r="L1939" s="9"/>
      <c r="M1939" s="9"/>
      <c r="N1939" s="1" t="str">
        <f aca="false">IF(C1939="","",C1939&amp;"|"&amp;COUNTIF(C$3:C1939,C1939))</f>
        <v/>
      </c>
      <c r="O1939" s="1" t="str">
        <f aca="false">IF(OR(C1939="",M1939=""),"",C1939&amp;"|"&amp;COUNTIFS(C$3:C1939,C1939,M$3:M1939,"&lt;&gt;"))</f>
        <v/>
      </c>
    </row>
    <row r="1940" customFormat="false" ht="15" hidden="false" customHeight="false" outlineLevel="0" collapsed="false">
      <c r="B1940" s="7"/>
      <c r="C1940" s="5"/>
      <c r="D1940" s="9" t="str">
        <f aca="false">IF(C1940="","",IFERROR(VLOOKUP(C1940,EQUIPOS!$B$3:$C$18,2,0),"NO EXISTE"))</f>
        <v/>
      </c>
      <c r="E1940" s="9" t="str">
        <f aca="false">IF(C1940="","",IFERROR(VLOOKUP(C1940,EQUIPOS!$B$3:$F$18,5,0),""))</f>
        <v/>
      </c>
      <c r="F1940" s="5" t="str">
        <f aca="false">IF(C1940="","",IFERROR(VLOOKUP(C1940,EQUIPOS!$B$3:$G$18,6,0),""))</f>
        <v/>
      </c>
      <c r="G1940" s="8"/>
      <c r="H1940" s="5"/>
      <c r="I1940" s="5"/>
      <c r="J1940" s="9"/>
      <c r="K1940" s="17" t="str">
        <f aca="false">IF(H1940="","",IFERROR(SUMIFS(BD_PLAN!$I$3:$I$312,BD_PLAN!$B$3:$B$312,E1940,BD_PLAN!$C$3:$C$312,INDEX(BD_CICLO!$F$3:$F$54,MATCH(E1940&amp;"|"&amp;H1940,BD_CICLO!$G$3:$G$54,0))),""))</f>
        <v/>
      </c>
      <c r="L1940" s="9"/>
      <c r="M1940" s="9"/>
      <c r="N1940" s="1" t="str">
        <f aca="false">IF(C1940="","",C1940&amp;"|"&amp;COUNTIF(C$3:C1940,C1940))</f>
        <v/>
      </c>
      <c r="O1940" s="1" t="str">
        <f aca="false">IF(OR(C1940="",M1940=""),"",C1940&amp;"|"&amp;COUNTIFS(C$3:C1940,C1940,M$3:M1940,"&lt;&gt;"))</f>
        <v/>
      </c>
    </row>
    <row r="1941" customFormat="false" ht="15" hidden="false" customHeight="false" outlineLevel="0" collapsed="false">
      <c r="B1941" s="7"/>
      <c r="C1941" s="5"/>
      <c r="D1941" s="9" t="str">
        <f aca="false">IF(C1941="","",IFERROR(VLOOKUP(C1941,EQUIPOS!$B$3:$C$18,2,0),"NO EXISTE"))</f>
        <v/>
      </c>
      <c r="E1941" s="9" t="str">
        <f aca="false">IF(C1941="","",IFERROR(VLOOKUP(C1941,EQUIPOS!$B$3:$F$18,5,0),""))</f>
        <v/>
      </c>
      <c r="F1941" s="5" t="str">
        <f aca="false">IF(C1941="","",IFERROR(VLOOKUP(C1941,EQUIPOS!$B$3:$G$18,6,0),""))</f>
        <v/>
      </c>
      <c r="G1941" s="8"/>
      <c r="H1941" s="5"/>
      <c r="I1941" s="5"/>
      <c r="J1941" s="9"/>
      <c r="K1941" s="17" t="str">
        <f aca="false">IF(H1941="","",IFERROR(SUMIFS(BD_PLAN!$I$3:$I$312,BD_PLAN!$B$3:$B$312,E1941,BD_PLAN!$C$3:$C$312,INDEX(BD_CICLO!$F$3:$F$54,MATCH(E1941&amp;"|"&amp;H1941,BD_CICLO!$G$3:$G$54,0))),""))</f>
        <v/>
      </c>
      <c r="L1941" s="9"/>
      <c r="M1941" s="9"/>
      <c r="N1941" s="1" t="str">
        <f aca="false">IF(C1941="","",C1941&amp;"|"&amp;COUNTIF(C$3:C1941,C1941))</f>
        <v/>
      </c>
      <c r="O1941" s="1" t="str">
        <f aca="false">IF(OR(C1941="",M1941=""),"",C1941&amp;"|"&amp;COUNTIFS(C$3:C1941,C1941,M$3:M1941,"&lt;&gt;"))</f>
        <v/>
      </c>
    </row>
    <row r="1942" customFormat="false" ht="15" hidden="false" customHeight="false" outlineLevel="0" collapsed="false">
      <c r="B1942" s="7"/>
      <c r="C1942" s="5"/>
      <c r="D1942" s="9" t="str">
        <f aca="false">IF(C1942="","",IFERROR(VLOOKUP(C1942,EQUIPOS!$B$3:$C$18,2,0),"NO EXISTE"))</f>
        <v/>
      </c>
      <c r="E1942" s="9" t="str">
        <f aca="false">IF(C1942="","",IFERROR(VLOOKUP(C1942,EQUIPOS!$B$3:$F$18,5,0),""))</f>
        <v/>
      </c>
      <c r="F1942" s="5" t="str">
        <f aca="false">IF(C1942="","",IFERROR(VLOOKUP(C1942,EQUIPOS!$B$3:$G$18,6,0),""))</f>
        <v/>
      </c>
      <c r="G1942" s="8"/>
      <c r="H1942" s="5"/>
      <c r="I1942" s="5"/>
      <c r="J1942" s="9"/>
      <c r="K1942" s="17" t="str">
        <f aca="false">IF(H1942="","",IFERROR(SUMIFS(BD_PLAN!$I$3:$I$312,BD_PLAN!$B$3:$B$312,E1942,BD_PLAN!$C$3:$C$312,INDEX(BD_CICLO!$F$3:$F$54,MATCH(E1942&amp;"|"&amp;H1942,BD_CICLO!$G$3:$G$54,0))),""))</f>
        <v/>
      </c>
      <c r="L1942" s="9"/>
      <c r="M1942" s="9"/>
      <c r="N1942" s="1" t="str">
        <f aca="false">IF(C1942="","",C1942&amp;"|"&amp;COUNTIF(C$3:C1942,C1942))</f>
        <v/>
      </c>
      <c r="O1942" s="1" t="str">
        <f aca="false">IF(OR(C1942="",M1942=""),"",C1942&amp;"|"&amp;COUNTIFS(C$3:C1942,C1942,M$3:M1942,"&lt;&gt;"))</f>
        <v/>
      </c>
    </row>
    <row r="1943" customFormat="false" ht="15" hidden="false" customHeight="false" outlineLevel="0" collapsed="false">
      <c r="B1943" s="7"/>
      <c r="C1943" s="5"/>
      <c r="D1943" s="9" t="str">
        <f aca="false">IF(C1943="","",IFERROR(VLOOKUP(C1943,EQUIPOS!$B$3:$C$18,2,0),"NO EXISTE"))</f>
        <v/>
      </c>
      <c r="E1943" s="9" t="str">
        <f aca="false">IF(C1943="","",IFERROR(VLOOKUP(C1943,EQUIPOS!$B$3:$F$18,5,0),""))</f>
        <v/>
      </c>
      <c r="F1943" s="5" t="str">
        <f aca="false">IF(C1943="","",IFERROR(VLOOKUP(C1943,EQUIPOS!$B$3:$G$18,6,0),""))</f>
        <v/>
      </c>
      <c r="G1943" s="8"/>
      <c r="H1943" s="5"/>
      <c r="I1943" s="5"/>
      <c r="J1943" s="9"/>
      <c r="K1943" s="17" t="str">
        <f aca="false">IF(H1943="","",IFERROR(SUMIFS(BD_PLAN!$I$3:$I$312,BD_PLAN!$B$3:$B$312,E1943,BD_PLAN!$C$3:$C$312,INDEX(BD_CICLO!$F$3:$F$54,MATCH(E1943&amp;"|"&amp;H1943,BD_CICLO!$G$3:$G$54,0))),""))</f>
        <v/>
      </c>
      <c r="L1943" s="9"/>
      <c r="M1943" s="9"/>
      <c r="N1943" s="1" t="str">
        <f aca="false">IF(C1943="","",C1943&amp;"|"&amp;COUNTIF(C$3:C1943,C1943))</f>
        <v/>
      </c>
      <c r="O1943" s="1" t="str">
        <f aca="false">IF(OR(C1943="",M1943=""),"",C1943&amp;"|"&amp;COUNTIFS(C$3:C1943,C1943,M$3:M1943,"&lt;&gt;"))</f>
        <v/>
      </c>
    </row>
    <row r="1944" customFormat="false" ht="15" hidden="false" customHeight="false" outlineLevel="0" collapsed="false">
      <c r="B1944" s="7"/>
      <c r="C1944" s="5"/>
      <c r="D1944" s="9" t="str">
        <f aca="false">IF(C1944="","",IFERROR(VLOOKUP(C1944,EQUIPOS!$B$3:$C$18,2,0),"NO EXISTE"))</f>
        <v/>
      </c>
      <c r="E1944" s="9" t="str">
        <f aca="false">IF(C1944="","",IFERROR(VLOOKUP(C1944,EQUIPOS!$B$3:$F$18,5,0),""))</f>
        <v/>
      </c>
      <c r="F1944" s="5" t="str">
        <f aca="false">IF(C1944="","",IFERROR(VLOOKUP(C1944,EQUIPOS!$B$3:$G$18,6,0),""))</f>
        <v/>
      </c>
      <c r="G1944" s="8"/>
      <c r="H1944" s="5"/>
      <c r="I1944" s="5"/>
      <c r="J1944" s="9"/>
      <c r="K1944" s="17" t="str">
        <f aca="false">IF(H1944="","",IFERROR(SUMIFS(BD_PLAN!$I$3:$I$312,BD_PLAN!$B$3:$B$312,E1944,BD_PLAN!$C$3:$C$312,INDEX(BD_CICLO!$F$3:$F$54,MATCH(E1944&amp;"|"&amp;H1944,BD_CICLO!$G$3:$G$54,0))),""))</f>
        <v/>
      </c>
      <c r="L1944" s="9"/>
      <c r="M1944" s="9"/>
      <c r="N1944" s="1" t="str">
        <f aca="false">IF(C1944="","",C1944&amp;"|"&amp;COUNTIF(C$3:C1944,C1944))</f>
        <v/>
      </c>
      <c r="O1944" s="1" t="str">
        <f aca="false">IF(OR(C1944="",M1944=""),"",C1944&amp;"|"&amp;COUNTIFS(C$3:C1944,C1944,M$3:M1944,"&lt;&gt;"))</f>
        <v/>
      </c>
    </row>
    <row r="1945" customFormat="false" ht="15" hidden="false" customHeight="false" outlineLevel="0" collapsed="false">
      <c r="B1945" s="7"/>
      <c r="C1945" s="5"/>
      <c r="D1945" s="9" t="str">
        <f aca="false">IF(C1945="","",IFERROR(VLOOKUP(C1945,EQUIPOS!$B$3:$C$18,2,0),"NO EXISTE"))</f>
        <v/>
      </c>
      <c r="E1945" s="9" t="str">
        <f aca="false">IF(C1945="","",IFERROR(VLOOKUP(C1945,EQUIPOS!$B$3:$F$18,5,0),""))</f>
        <v/>
      </c>
      <c r="F1945" s="5" t="str">
        <f aca="false">IF(C1945="","",IFERROR(VLOOKUP(C1945,EQUIPOS!$B$3:$G$18,6,0),""))</f>
        <v/>
      </c>
      <c r="G1945" s="8"/>
      <c r="H1945" s="5"/>
      <c r="I1945" s="5"/>
      <c r="J1945" s="9"/>
      <c r="K1945" s="17" t="str">
        <f aca="false">IF(H1945="","",IFERROR(SUMIFS(BD_PLAN!$I$3:$I$312,BD_PLAN!$B$3:$B$312,E1945,BD_PLAN!$C$3:$C$312,INDEX(BD_CICLO!$F$3:$F$54,MATCH(E1945&amp;"|"&amp;H1945,BD_CICLO!$G$3:$G$54,0))),""))</f>
        <v/>
      </c>
      <c r="L1945" s="9"/>
      <c r="M1945" s="9"/>
      <c r="N1945" s="1" t="str">
        <f aca="false">IF(C1945="","",C1945&amp;"|"&amp;COUNTIF(C$3:C1945,C1945))</f>
        <v/>
      </c>
      <c r="O1945" s="1" t="str">
        <f aca="false">IF(OR(C1945="",M1945=""),"",C1945&amp;"|"&amp;COUNTIFS(C$3:C1945,C1945,M$3:M1945,"&lt;&gt;"))</f>
        <v/>
      </c>
    </row>
    <row r="1946" customFormat="false" ht="15" hidden="false" customHeight="false" outlineLevel="0" collapsed="false">
      <c r="B1946" s="7"/>
      <c r="C1946" s="5"/>
      <c r="D1946" s="9" t="str">
        <f aca="false">IF(C1946="","",IFERROR(VLOOKUP(C1946,EQUIPOS!$B$3:$C$18,2,0),"NO EXISTE"))</f>
        <v/>
      </c>
      <c r="E1946" s="9" t="str">
        <f aca="false">IF(C1946="","",IFERROR(VLOOKUP(C1946,EQUIPOS!$B$3:$F$18,5,0),""))</f>
        <v/>
      </c>
      <c r="F1946" s="5" t="str">
        <f aca="false">IF(C1946="","",IFERROR(VLOOKUP(C1946,EQUIPOS!$B$3:$G$18,6,0),""))</f>
        <v/>
      </c>
      <c r="G1946" s="8"/>
      <c r="H1946" s="5"/>
      <c r="I1946" s="5"/>
      <c r="J1946" s="9"/>
      <c r="K1946" s="17" t="str">
        <f aca="false">IF(H1946="","",IFERROR(SUMIFS(BD_PLAN!$I$3:$I$312,BD_PLAN!$B$3:$B$312,E1946,BD_PLAN!$C$3:$C$312,INDEX(BD_CICLO!$F$3:$F$54,MATCH(E1946&amp;"|"&amp;H1946,BD_CICLO!$G$3:$G$54,0))),""))</f>
        <v/>
      </c>
      <c r="L1946" s="9"/>
      <c r="M1946" s="9"/>
      <c r="N1946" s="1" t="str">
        <f aca="false">IF(C1946="","",C1946&amp;"|"&amp;COUNTIF(C$3:C1946,C1946))</f>
        <v/>
      </c>
      <c r="O1946" s="1" t="str">
        <f aca="false">IF(OR(C1946="",M1946=""),"",C1946&amp;"|"&amp;COUNTIFS(C$3:C1946,C1946,M$3:M1946,"&lt;&gt;"))</f>
        <v/>
      </c>
    </row>
    <row r="1947" customFormat="false" ht="15" hidden="false" customHeight="false" outlineLevel="0" collapsed="false">
      <c r="B1947" s="7"/>
      <c r="C1947" s="5"/>
      <c r="D1947" s="9" t="str">
        <f aca="false">IF(C1947="","",IFERROR(VLOOKUP(C1947,EQUIPOS!$B$3:$C$18,2,0),"NO EXISTE"))</f>
        <v/>
      </c>
      <c r="E1947" s="9" t="str">
        <f aca="false">IF(C1947="","",IFERROR(VLOOKUP(C1947,EQUIPOS!$B$3:$F$18,5,0),""))</f>
        <v/>
      </c>
      <c r="F1947" s="5" t="str">
        <f aca="false">IF(C1947="","",IFERROR(VLOOKUP(C1947,EQUIPOS!$B$3:$G$18,6,0),""))</f>
        <v/>
      </c>
      <c r="G1947" s="8"/>
      <c r="H1947" s="5"/>
      <c r="I1947" s="5"/>
      <c r="J1947" s="9"/>
      <c r="K1947" s="17" t="str">
        <f aca="false">IF(H1947="","",IFERROR(SUMIFS(BD_PLAN!$I$3:$I$312,BD_PLAN!$B$3:$B$312,E1947,BD_PLAN!$C$3:$C$312,INDEX(BD_CICLO!$F$3:$F$54,MATCH(E1947&amp;"|"&amp;H1947,BD_CICLO!$G$3:$G$54,0))),""))</f>
        <v/>
      </c>
      <c r="L1947" s="9"/>
      <c r="M1947" s="9"/>
      <c r="N1947" s="1" t="str">
        <f aca="false">IF(C1947="","",C1947&amp;"|"&amp;COUNTIF(C$3:C1947,C1947))</f>
        <v/>
      </c>
      <c r="O1947" s="1" t="str">
        <f aca="false">IF(OR(C1947="",M1947=""),"",C1947&amp;"|"&amp;COUNTIFS(C$3:C1947,C1947,M$3:M1947,"&lt;&gt;"))</f>
        <v/>
      </c>
    </row>
    <row r="1948" customFormat="false" ht="15" hidden="false" customHeight="false" outlineLevel="0" collapsed="false">
      <c r="B1948" s="7"/>
      <c r="C1948" s="5"/>
      <c r="D1948" s="9" t="str">
        <f aca="false">IF(C1948="","",IFERROR(VLOOKUP(C1948,EQUIPOS!$B$3:$C$18,2,0),"NO EXISTE"))</f>
        <v/>
      </c>
      <c r="E1948" s="9" t="str">
        <f aca="false">IF(C1948="","",IFERROR(VLOOKUP(C1948,EQUIPOS!$B$3:$F$18,5,0),""))</f>
        <v/>
      </c>
      <c r="F1948" s="5" t="str">
        <f aca="false">IF(C1948="","",IFERROR(VLOOKUP(C1948,EQUIPOS!$B$3:$G$18,6,0),""))</f>
        <v/>
      </c>
      <c r="G1948" s="8"/>
      <c r="H1948" s="5"/>
      <c r="I1948" s="5"/>
      <c r="J1948" s="9"/>
      <c r="K1948" s="17" t="str">
        <f aca="false">IF(H1948="","",IFERROR(SUMIFS(BD_PLAN!$I$3:$I$312,BD_PLAN!$B$3:$B$312,E1948,BD_PLAN!$C$3:$C$312,INDEX(BD_CICLO!$F$3:$F$54,MATCH(E1948&amp;"|"&amp;H1948,BD_CICLO!$G$3:$G$54,0))),""))</f>
        <v/>
      </c>
      <c r="L1948" s="9"/>
      <c r="M1948" s="9"/>
      <c r="N1948" s="1" t="str">
        <f aca="false">IF(C1948="","",C1948&amp;"|"&amp;COUNTIF(C$3:C1948,C1948))</f>
        <v/>
      </c>
      <c r="O1948" s="1" t="str">
        <f aca="false">IF(OR(C1948="",M1948=""),"",C1948&amp;"|"&amp;COUNTIFS(C$3:C1948,C1948,M$3:M1948,"&lt;&gt;"))</f>
        <v/>
      </c>
    </row>
    <row r="1949" customFormat="false" ht="15" hidden="false" customHeight="false" outlineLevel="0" collapsed="false">
      <c r="B1949" s="7"/>
      <c r="C1949" s="5"/>
      <c r="D1949" s="9" t="str">
        <f aca="false">IF(C1949="","",IFERROR(VLOOKUP(C1949,EQUIPOS!$B$3:$C$18,2,0),"NO EXISTE"))</f>
        <v/>
      </c>
      <c r="E1949" s="9" t="str">
        <f aca="false">IF(C1949="","",IFERROR(VLOOKUP(C1949,EQUIPOS!$B$3:$F$18,5,0),""))</f>
        <v/>
      </c>
      <c r="F1949" s="5" t="str">
        <f aca="false">IF(C1949="","",IFERROR(VLOOKUP(C1949,EQUIPOS!$B$3:$G$18,6,0),""))</f>
        <v/>
      </c>
      <c r="G1949" s="8"/>
      <c r="H1949" s="5"/>
      <c r="I1949" s="5"/>
      <c r="J1949" s="9"/>
      <c r="K1949" s="17" t="str">
        <f aca="false">IF(H1949="","",IFERROR(SUMIFS(BD_PLAN!$I$3:$I$312,BD_PLAN!$B$3:$B$312,E1949,BD_PLAN!$C$3:$C$312,INDEX(BD_CICLO!$F$3:$F$54,MATCH(E1949&amp;"|"&amp;H1949,BD_CICLO!$G$3:$G$54,0))),""))</f>
        <v/>
      </c>
      <c r="L1949" s="9"/>
      <c r="M1949" s="9"/>
      <c r="N1949" s="1" t="str">
        <f aca="false">IF(C1949="","",C1949&amp;"|"&amp;COUNTIF(C$3:C1949,C1949))</f>
        <v/>
      </c>
      <c r="O1949" s="1" t="str">
        <f aca="false">IF(OR(C1949="",M1949=""),"",C1949&amp;"|"&amp;COUNTIFS(C$3:C1949,C1949,M$3:M1949,"&lt;&gt;"))</f>
        <v/>
      </c>
    </row>
    <row r="1950" customFormat="false" ht="15" hidden="false" customHeight="false" outlineLevel="0" collapsed="false">
      <c r="B1950" s="7"/>
      <c r="C1950" s="5"/>
      <c r="D1950" s="9" t="str">
        <f aca="false">IF(C1950="","",IFERROR(VLOOKUP(C1950,EQUIPOS!$B$3:$C$18,2,0),"NO EXISTE"))</f>
        <v/>
      </c>
      <c r="E1950" s="9" t="str">
        <f aca="false">IF(C1950="","",IFERROR(VLOOKUP(C1950,EQUIPOS!$B$3:$F$18,5,0),""))</f>
        <v/>
      </c>
      <c r="F1950" s="5" t="str">
        <f aca="false">IF(C1950="","",IFERROR(VLOOKUP(C1950,EQUIPOS!$B$3:$G$18,6,0),""))</f>
        <v/>
      </c>
      <c r="G1950" s="8"/>
      <c r="H1950" s="5"/>
      <c r="I1950" s="5"/>
      <c r="J1950" s="9"/>
      <c r="K1950" s="17" t="str">
        <f aca="false">IF(H1950="","",IFERROR(SUMIFS(BD_PLAN!$I$3:$I$312,BD_PLAN!$B$3:$B$312,E1950,BD_PLAN!$C$3:$C$312,INDEX(BD_CICLO!$F$3:$F$54,MATCH(E1950&amp;"|"&amp;H1950,BD_CICLO!$G$3:$G$54,0))),""))</f>
        <v/>
      </c>
      <c r="L1950" s="9"/>
      <c r="M1950" s="9"/>
      <c r="N1950" s="1" t="str">
        <f aca="false">IF(C1950="","",C1950&amp;"|"&amp;COUNTIF(C$3:C1950,C1950))</f>
        <v/>
      </c>
      <c r="O1950" s="1" t="str">
        <f aca="false">IF(OR(C1950="",M1950=""),"",C1950&amp;"|"&amp;COUNTIFS(C$3:C1950,C1950,M$3:M1950,"&lt;&gt;"))</f>
        <v/>
      </c>
    </row>
    <row r="1951" customFormat="false" ht="15" hidden="false" customHeight="false" outlineLevel="0" collapsed="false">
      <c r="B1951" s="7"/>
      <c r="C1951" s="5"/>
      <c r="D1951" s="9" t="str">
        <f aca="false">IF(C1951="","",IFERROR(VLOOKUP(C1951,EQUIPOS!$B$3:$C$18,2,0),"NO EXISTE"))</f>
        <v/>
      </c>
      <c r="E1951" s="9" t="str">
        <f aca="false">IF(C1951="","",IFERROR(VLOOKUP(C1951,EQUIPOS!$B$3:$F$18,5,0),""))</f>
        <v/>
      </c>
      <c r="F1951" s="5" t="str">
        <f aca="false">IF(C1951="","",IFERROR(VLOOKUP(C1951,EQUIPOS!$B$3:$G$18,6,0),""))</f>
        <v/>
      </c>
      <c r="G1951" s="8"/>
      <c r="H1951" s="5"/>
      <c r="I1951" s="5"/>
      <c r="J1951" s="9"/>
      <c r="K1951" s="17" t="str">
        <f aca="false">IF(H1951="","",IFERROR(SUMIFS(BD_PLAN!$I$3:$I$312,BD_PLAN!$B$3:$B$312,E1951,BD_PLAN!$C$3:$C$312,INDEX(BD_CICLO!$F$3:$F$54,MATCH(E1951&amp;"|"&amp;H1951,BD_CICLO!$G$3:$G$54,0))),""))</f>
        <v/>
      </c>
      <c r="L1951" s="9"/>
      <c r="M1951" s="9"/>
      <c r="N1951" s="1" t="str">
        <f aca="false">IF(C1951="","",C1951&amp;"|"&amp;COUNTIF(C$3:C1951,C1951))</f>
        <v/>
      </c>
      <c r="O1951" s="1" t="str">
        <f aca="false">IF(OR(C1951="",M1951=""),"",C1951&amp;"|"&amp;COUNTIFS(C$3:C1951,C1951,M$3:M1951,"&lt;&gt;"))</f>
        <v/>
      </c>
    </row>
    <row r="1952" customFormat="false" ht="15" hidden="false" customHeight="false" outlineLevel="0" collapsed="false">
      <c r="B1952" s="7"/>
      <c r="C1952" s="5"/>
      <c r="D1952" s="9" t="str">
        <f aca="false">IF(C1952="","",IFERROR(VLOOKUP(C1952,EQUIPOS!$B$3:$C$18,2,0),"NO EXISTE"))</f>
        <v/>
      </c>
      <c r="E1952" s="9" t="str">
        <f aca="false">IF(C1952="","",IFERROR(VLOOKUP(C1952,EQUIPOS!$B$3:$F$18,5,0),""))</f>
        <v/>
      </c>
      <c r="F1952" s="5" t="str">
        <f aca="false">IF(C1952="","",IFERROR(VLOOKUP(C1952,EQUIPOS!$B$3:$G$18,6,0),""))</f>
        <v/>
      </c>
      <c r="G1952" s="8"/>
      <c r="H1952" s="5"/>
      <c r="I1952" s="5"/>
      <c r="J1952" s="9"/>
      <c r="K1952" s="17" t="str">
        <f aca="false">IF(H1952="","",IFERROR(SUMIFS(BD_PLAN!$I$3:$I$312,BD_PLAN!$B$3:$B$312,E1952,BD_PLAN!$C$3:$C$312,INDEX(BD_CICLO!$F$3:$F$54,MATCH(E1952&amp;"|"&amp;H1952,BD_CICLO!$G$3:$G$54,0))),""))</f>
        <v/>
      </c>
      <c r="L1952" s="9"/>
      <c r="M1952" s="9"/>
      <c r="N1952" s="1" t="str">
        <f aca="false">IF(C1952="","",C1952&amp;"|"&amp;COUNTIF(C$3:C1952,C1952))</f>
        <v/>
      </c>
      <c r="O1952" s="1" t="str">
        <f aca="false">IF(OR(C1952="",M1952=""),"",C1952&amp;"|"&amp;COUNTIFS(C$3:C1952,C1952,M$3:M1952,"&lt;&gt;"))</f>
        <v/>
      </c>
    </row>
    <row r="1953" customFormat="false" ht="15" hidden="false" customHeight="false" outlineLevel="0" collapsed="false">
      <c r="B1953" s="7"/>
      <c r="C1953" s="5"/>
      <c r="D1953" s="9" t="str">
        <f aca="false">IF(C1953="","",IFERROR(VLOOKUP(C1953,EQUIPOS!$B$3:$C$18,2,0),"NO EXISTE"))</f>
        <v/>
      </c>
      <c r="E1953" s="9" t="str">
        <f aca="false">IF(C1953="","",IFERROR(VLOOKUP(C1953,EQUIPOS!$B$3:$F$18,5,0),""))</f>
        <v/>
      </c>
      <c r="F1953" s="5" t="str">
        <f aca="false">IF(C1953="","",IFERROR(VLOOKUP(C1953,EQUIPOS!$B$3:$G$18,6,0),""))</f>
        <v/>
      </c>
      <c r="G1953" s="8"/>
      <c r="H1953" s="5"/>
      <c r="I1953" s="5"/>
      <c r="J1953" s="9"/>
      <c r="K1953" s="17" t="str">
        <f aca="false">IF(H1953="","",IFERROR(SUMIFS(BD_PLAN!$I$3:$I$312,BD_PLAN!$B$3:$B$312,E1953,BD_PLAN!$C$3:$C$312,INDEX(BD_CICLO!$F$3:$F$54,MATCH(E1953&amp;"|"&amp;H1953,BD_CICLO!$G$3:$G$54,0))),""))</f>
        <v/>
      </c>
      <c r="L1953" s="9"/>
      <c r="M1953" s="9"/>
      <c r="N1953" s="1" t="str">
        <f aca="false">IF(C1953="","",C1953&amp;"|"&amp;COUNTIF(C$3:C1953,C1953))</f>
        <v/>
      </c>
      <c r="O1953" s="1" t="str">
        <f aca="false">IF(OR(C1953="",M1953=""),"",C1953&amp;"|"&amp;COUNTIFS(C$3:C1953,C1953,M$3:M1953,"&lt;&gt;"))</f>
        <v/>
      </c>
    </row>
    <row r="1954" customFormat="false" ht="15" hidden="false" customHeight="false" outlineLevel="0" collapsed="false">
      <c r="B1954" s="7"/>
      <c r="C1954" s="5"/>
      <c r="D1954" s="9" t="str">
        <f aca="false">IF(C1954="","",IFERROR(VLOOKUP(C1954,EQUIPOS!$B$3:$C$18,2,0),"NO EXISTE"))</f>
        <v/>
      </c>
      <c r="E1954" s="9" t="str">
        <f aca="false">IF(C1954="","",IFERROR(VLOOKUP(C1954,EQUIPOS!$B$3:$F$18,5,0),""))</f>
        <v/>
      </c>
      <c r="F1954" s="5" t="str">
        <f aca="false">IF(C1954="","",IFERROR(VLOOKUP(C1954,EQUIPOS!$B$3:$G$18,6,0),""))</f>
        <v/>
      </c>
      <c r="G1954" s="8"/>
      <c r="H1954" s="5"/>
      <c r="I1954" s="5"/>
      <c r="J1954" s="9"/>
      <c r="K1954" s="17" t="str">
        <f aca="false">IF(H1954="","",IFERROR(SUMIFS(BD_PLAN!$I$3:$I$312,BD_PLAN!$B$3:$B$312,E1954,BD_PLAN!$C$3:$C$312,INDEX(BD_CICLO!$F$3:$F$54,MATCH(E1954&amp;"|"&amp;H1954,BD_CICLO!$G$3:$G$54,0))),""))</f>
        <v/>
      </c>
      <c r="L1954" s="9"/>
      <c r="M1954" s="9"/>
      <c r="N1954" s="1" t="str">
        <f aca="false">IF(C1954="","",C1954&amp;"|"&amp;COUNTIF(C$3:C1954,C1954))</f>
        <v/>
      </c>
      <c r="O1954" s="1" t="str">
        <f aca="false">IF(OR(C1954="",M1954=""),"",C1954&amp;"|"&amp;COUNTIFS(C$3:C1954,C1954,M$3:M1954,"&lt;&gt;"))</f>
        <v/>
      </c>
    </row>
    <row r="1955" customFormat="false" ht="15" hidden="false" customHeight="false" outlineLevel="0" collapsed="false">
      <c r="B1955" s="7"/>
      <c r="C1955" s="5"/>
      <c r="D1955" s="9" t="str">
        <f aca="false">IF(C1955="","",IFERROR(VLOOKUP(C1955,EQUIPOS!$B$3:$C$18,2,0),"NO EXISTE"))</f>
        <v/>
      </c>
      <c r="E1955" s="9" t="str">
        <f aca="false">IF(C1955="","",IFERROR(VLOOKUP(C1955,EQUIPOS!$B$3:$F$18,5,0),""))</f>
        <v/>
      </c>
      <c r="F1955" s="5" t="str">
        <f aca="false">IF(C1955="","",IFERROR(VLOOKUP(C1955,EQUIPOS!$B$3:$G$18,6,0),""))</f>
        <v/>
      </c>
      <c r="G1955" s="8"/>
      <c r="H1955" s="5"/>
      <c r="I1955" s="5"/>
      <c r="J1955" s="9"/>
      <c r="K1955" s="17" t="str">
        <f aca="false">IF(H1955="","",IFERROR(SUMIFS(BD_PLAN!$I$3:$I$312,BD_PLAN!$B$3:$B$312,E1955,BD_PLAN!$C$3:$C$312,INDEX(BD_CICLO!$F$3:$F$54,MATCH(E1955&amp;"|"&amp;H1955,BD_CICLO!$G$3:$G$54,0))),""))</f>
        <v/>
      </c>
      <c r="L1955" s="9"/>
      <c r="M1955" s="9"/>
      <c r="N1955" s="1" t="str">
        <f aca="false">IF(C1955="","",C1955&amp;"|"&amp;COUNTIF(C$3:C1955,C1955))</f>
        <v/>
      </c>
      <c r="O1955" s="1" t="str">
        <f aca="false">IF(OR(C1955="",M1955=""),"",C1955&amp;"|"&amp;COUNTIFS(C$3:C1955,C1955,M$3:M1955,"&lt;&gt;"))</f>
        <v/>
      </c>
    </row>
    <row r="1956" customFormat="false" ht="15" hidden="false" customHeight="false" outlineLevel="0" collapsed="false">
      <c r="B1956" s="7"/>
      <c r="C1956" s="5"/>
      <c r="D1956" s="9" t="str">
        <f aca="false">IF(C1956="","",IFERROR(VLOOKUP(C1956,EQUIPOS!$B$3:$C$18,2,0),"NO EXISTE"))</f>
        <v/>
      </c>
      <c r="E1956" s="9" t="str">
        <f aca="false">IF(C1956="","",IFERROR(VLOOKUP(C1956,EQUIPOS!$B$3:$F$18,5,0),""))</f>
        <v/>
      </c>
      <c r="F1956" s="5" t="str">
        <f aca="false">IF(C1956="","",IFERROR(VLOOKUP(C1956,EQUIPOS!$B$3:$G$18,6,0),""))</f>
        <v/>
      </c>
      <c r="G1956" s="8"/>
      <c r="H1956" s="5"/>
      <c r="I1956" s="5"/>
      <c r="J1956" s="9"/>
      <c r="K1956" s="17" t="str">
        <f aca="false">IF(H1956="","",IFERROR(SUMIFS(BD_PLAN!$I$3:$I$312,BD_PLAN!$B$3:$B$312,E1956,BD_PLAN!$C$3:$C$312,INDEX(BD_CICLO!$F$3:$F$54,MATCH(E1956&amp;"|"&amp;H1956,BD_CICLO!$G$3:$G$54,0))),""))</f>
        <v/>
      </c>
      <c r="L1956" s="9"/>
      <c r="M1956" s="9"/>
      <c r="N1956" s="1" t="str">
        <f aca="false">IF(C1956="","",C1956&amp;"|"&amp;COUNTIF(C$3:C1956,C1956))</f>
        <v/>
      </c>
      <c r="O1956" s="1" t="str">
        <f aca="false">IF(OR(C1956="",M1956=""),"",C1956&amp;"|"&amp;COUNTIFS(C$3:C1956,C1956,M$3:M1956,"&lt;&gt;"))</f>
        <v/>
      </c>
    </row>
    <row r="1957" customFormat="false" ht="15" hidden="false" customHeight="false" outlineLevel="0" collapsed="false">
      <c r="B1957" s="7"/>
      <c r="C1957" s="5"/>
      <c r="D1957" s="9" t="str">
        <f aca="false">IF(C1957="","",IFERROR(VLOOKUP(C1957,EQUIPOS!$B$3:$C$18,2,0),"NO EXISTE"))</f>
        <v/>
      </c>
      <c r="E1957" s="9" t="str">
        <f aca="false">IF(C1957="","",IFERROR(VLOOKUP(C1957,EQUIPOS!$B$3:$F$18,5,0),""))</f>
        <v/>
      </c>
      <c r="F1957" s="5" t="str">
        <f aca="false">IF(C1957="","",IFERROR(VLOOKUP(C1957,EQUIPOS!$B$3:$G$18,6,0),""))</f>
        <v/>
      </c>
      <c r="G1957" s="8"/>
      <c r="H1957" s="5"/>
      <c r="I1957" s="5"/>
      <c r="J1957" s="9"/>
      <c r="K1957" s="17" t="str">
        <f aca="false">IF(H1957="","",IFERROR(SUMIFS(BD_PLAN!$I$3:$I$312,BD_PLAN!$B$3:$B$312,E1957,BD_PLAN!$C$3:$C$312,INDEX(BD_CICLO!$F$3:$F$54,MATCH(E1957&amp;"|"&amp;H1957,BD_CICLO!$G$3:$G$54,0))),""))</f>
        <v/>
      </c>
      <c r="L1957" s="9"/>
      <c r="M1957" s="9"/>
      <c r="N1957" s="1" t="str">
        <f aca="false">IF(C1957="","",C1957&amp;"|"&amp;COUNTIF(C$3:C1957,C1957))</f>
        <v/>
      </c>
      <c r="O1957" s="1" t="str">
        <f aca="false">IF(OR(C1957="",M1957=""),"",C1957&amp;"|"&amp;COUNTIFS(C$3:C1957,C1957,M$3:M1957,"&lt;&gt;"))</f>
        <v/>
      </c>
    </row>
    <row r="1958" customFormat="false" ht="15" hidden="false" customHeight="false" outlineLevel="0" collapsed="false">
      <c r="B1958" s="7"/>
      <c r="C1958" s="5"/>
      <c r="D1958" s="9" t="str">
        <f aca="false">IF(C1958="","",IFERROR(VLOOKUP(C1958,EQUIPOS!$B$3:$C$18,2,0),"NO EXISTE"))</f>
        <v/>
      </c>
      <c r="E1958" s="9" t="str">
        <f aca="false">IF(C1958="","",IFERROR(VLOOKUP(C1958,EQUIPOS!$B$3:$F$18,5,0),""))</f>
        <v/>
      </c>
      <c r="F1958" s="5" t="str">
        <f aca="false">IF(C1958="","",IFERROR(VLOOKUP(C1958,EQUIPOS!$B$3:$G$18,6,0),""))</f>
        <v/>
      </c>
      <c r="G1958" s="8"/>
      <c r="H1958" s="5"/>
      <c r="I1958" s="5"/>
      <c r="J1958" s="9"/>
      <c r="K1958" s="17" t="str">
        <f aca="false">IF(H1958="","",IFERROR(SUMIFS(BD_PLAN!$I$3:$I$312,BD_PLAN!$B$3:$B$312,E1958,BD_PLAN!$C$3:$C$312,INDEX(BD_CICLO!$F$3:$F$54,MATCH(E1958&amp;"|"&amp;H1958,BD_CICLO!$G$3:$G$54,0))),""))</f>
        <v/>
      </c>
      <c r="L1958" s="9"/>
      <c r="M1958" s="9"/>
      <c r="N1958" s="1" t="str">
        <f aca="false">IF(C1958="","",C1958&amp;"|"&amp;COUNTIF(C$3:C1958,C1958))</f>
        <v/>
      </c>
      <c r="O1958" s="1" t="str">
        <f aca="false">IF(OR(C1958="",M1958=""),"",C1958&amp;"|"&amp;COUNTIFS(C$3:C1958,C1958,M$3:M1958,"&lt;&gt;"))</f>
        <v/>
      </c>
    </row>
    <row r="1959" customFormat="false" ht="15" hidden="false" customHeight="false" outlineLevel="0" collapsed="false">
      <c r="B1959" s="7"/>
      <c r="C1959" s="5"/>
      <c r="D1959" s="9" t="str">
        <f aca="false">IF(C1959="","",IFERROR(VLOOKUP(C1959,EQUIPOS!$B$3:$C$18,2,0),"NO EXISTE"))</f>
        <v/>
      </c>
      <c r="E1959" s="9" t="str">
        <f aca="false">IF(C1959="","",IFERROR(VLOOKUP(C1959,EQUIPOS!$B$3:$F$18,5,0),""))</f>
        <v/>
      </c>
      <c r="F1959" s="5" t="str">
        <f aca="false">IF(C1959="","",IFERROR(VLOOKUP(C1959,EQUIPOS!$B$3:$G$18,6,0),""))</f>
        <v/>
      </c>
      <c r="G1959" s="8"/>
      <c r="H1959" s="5"/>
      <c r="I1959" s="5"/>
      <c r="J1959" s="9"/>
      <c r="K1959" s="17" t="str">
        <f aca="false">IF(H1959="","",IFERROR(SUMIFS(BD_PLAN!$I$3:$I$312,BD_PLAN!$B$3:$B$312,E1959,BD_PLAN!$C$3:$C$312,INDEX(BD_CICLO!$F$3:$F$54,MATCH(E1959&amp;"|"&amp;H1959,BD_CICLO!$G$3:$G$54,0))),""))</f>
        <v/>
      </c>
      <c r="L1959" s="9"/>
      <c r="M1959" s="9"/>
      <c r="N1959" s="1" t="str">
        <f aca="false">IF(C1959="","",C1959&amp;"|"&amp;COUNTIF(C$3:C1959,C1959))</f>
        <v/>
      </c>
      <c r="O1959" s="1" t="str">
        <f aca="false">IF(OR(C1959="",M1959=""),"",C1959&amp;"|"&amp;COUNTIFS(C$3:C1959,C1959,M$3:M1959,"&lt;&gt;"))</f>
        <v/>
      </c>
    </row>
    <row r="1960" customFormat="false" ht="15" hidden="false" customHeight="false" outlineLevel="0" collapsed="false">
      <c r="B1960" s="7"/>
      <c r="C1960" s="5"/>
      <c r="D1960" s="9" t="str">
        <f aca="false">IF(C1960="","",IFERROR(VLOOKUP(C1960,EQUIPOS!$B$3:$C$18,2,0),"NO EXISTE"))</f>
        <v/>
      </c>
      <c r="E1960" s="9" t="str">
        <f aca="false">IF(C1960="","",IFERROR(VLOOKUP(C1960,EQUIPOS!$B$3:$F$18,5,0),""))</f>
        <v/>
      </c>
      <c r="F1960" s="5" t="str">
        <f aca="false">IF(C1960="","",IFERROR(VLOOKUP(C1960,EQUIPOS!$B$3:$G$18,6,0),""))</f>
        <v/>
      </c>
      <c r="G1960" s="8"/>
      <c r="H1960" s="5"/>
      <c r="I1960" s="5"/>
      <c r="J1960" s="9"/>
      <c r="K1960" s="17" t="str">
        <f aca="false">IF(H1960="","",IFERROR(SUMIFS(BD_PLAN!$I$3:$I$312,BD_PLAN!$B$3:$B$312,E1960,BD_PLAN!$C$3:$C$312,INDEX(BD_CICLO!$F$3:$F$54,MATCH(E1960&amp;"|"&amp;H1960,BD_CICLO!$G$3:$G$54,0))),""))</f>
        <v/>
      </c>
      <c r="L1960" s="9"/>
      <c r="M1960" s="9"/>
      <c r="N1960" s="1" t="str">
        <f aca="false">IF(C1960="","",C1960&amp;"|"&amp;COUNTIF(C$3:C1960,C1960))</f>
        <v/>
      </c>
      <c r="O1960" s="1" t="str">
        <f aca="false">IF(OR(C1960="",M1960=""),"",C1960&amp;"|"&amp;COUNTIFS(C$3:C1960,C1960,M$3:M1960,"&lt;&gt;"))</f>
        <v/>
      </c>
    </row>
    <row r="1961" customFormat="false" ht="15" hidden="false" customHeight="false" outlineLevel="0" collapsed="false">
      <c r="B1961" s="7"/>
      <c r="C1961" s="5"/>
      <c r="D1961" s="9" t="str">
        <f aca="false">IF(C1961="","",IFERROR(VLOOKUP(C1961,EQUIPOS!$B$3:$C$18,2,0),"NO EXISTE"))</f>
        <v/>
      </c>
      <c r="E1961" s="9" t="str">
        <f aca="false">IF(C1961="","",IFERROR(VLOOKUP(C1961,EQUIPOS!$B$3:$F$18,5,0),""))</f>
        <v/>
      </c>
      <c r="F1961" s="5" t="str">
        <f aca="false">IF(C1961="","",IFERROR(VLOOKUP(C1961,EQUIPOS!$B$3:$G$18,6,0),""))</f>
        <v/>
      </c>
      <c r="G1961" s="8"/>
      <c r="H1961" s="5"/>
      <c r="I1961" s="5"/>
      <c r="J1961" s="9"/>
      <c r="K1961" s="17" t="str">
        <f aca="false">IF(H1961="","",IFERROR(SUMIFS(BD_PLAN!$I$3:$I$312,BD_PLAN!$B$3:$B$312,E1961,BD_PLAN!$C$3:$C$312,INDEX(BD_CICLO!$F$3:$F$54,MATCH(E1961&amp;"|"&amp;H1961,BD_CICLO!$G$3:$G$54,0))),""))</f>
        <v/>
      </c>
      <c r="L1961" s="9"/>
      <c r="M1961" s="9"/>
      <c r="N1961" s="1" t="str">
        <f aca="false">IF(C1961="","",C1961&amp;"|"&amp;COUNTIF(C$3:C1961,C1961))</f>
        <v/>
      </c>
      <c r="O1961" s="1" t="str">
        <f aca="false">IF(OR(C1961="",M1961=""),"",C1961&amp;"|"&amp;COUNTIFS(C$3:C1961,C1961,M$3:M1961,"&lt;&gt;"))</f>
        <v/>
      </c>
    </row>
    <row r="1962" customFormat="false" ht="15" hidden="false" customHeight="false" outlineLevel="0" collapsed="false">
      <c r="B1962" s="7"/>
      <c r="C1962" s="5"/>
      <c r="D1962" s="9" t="str">
        <f aca="false">IF(C1962="","",IFERROR(VLOOKUP(C1962,EQUIPOS!$B$3:$C$18,2,0),"NO EXISTE"))</f>
        <v/>
      </c>
      <c r="E1962" s="9" t="str">
        <f aca="false">IF(C1962="","",IFERROR(VLOOKUP(C1962,EQUIPOS!$B$3:$F$18,5,0),""))</f>
        <v/>
      </c>
      <c r="F1962" s="5" t="str">
        <f aca="false">IF(C1962="","",IFERROR(VLOOKUP(C1962,EQUIPOS!$B$3:$G$18,6,0),""))</f>
        <v/>
      </c>
      <c r="G1962" s="8"/>
      <c r="H1962" s="5"/>
      <c r="I1962" s="5"/>
      <c r="J1962" s="9"/>
      <c r="K1962" s="17" t="str">
        <f aca="false">IF(H1962="","",IFERROR(SUMIFS(BD_PLAN!$I$3:$I$312,BD_PLAN!$B$3:$B$312,E1962,BD_PLAN!$C$3:$C$312,INDEX(BD_CICLO!$F$3:$F$54,MATCH(E1962&amp;"|"&amp;H1962,BD_CICLO!$G$3:$G$54,0))),""))</f>
        <v/>
      </c>
      <c r="L1962" s="9"/>
      <c r="M1962" s="9"/>
      <c r="N1962" s="1" t="str">
        <f aca="false">IF(C1962="","",C1962&amp;"|"&amp;COUNTIF(C$3:C1962,C1962))</f>
        <v/>
      </c>
      <c r="O1962" s="1" t="str">
        <f aca="false">IF(OR(C1962="",M1962=""),"",C1962&amp;"|"&amp;COUNTIFS(C$3:C1962,C1962,M$3:M1962,"&lt;&gt;"))</f>
        <v/>
      </c>
    </row>
    <row r="1963" customFormat="false" ht="15" hidden="false" customHeight="false" outlineLevel="0" collapsed="false">
      <c r="B1963" s="7"/>
      <c r="C1963" s="5"/>
      <c r="D1963" s="9" t="str">
        <f aca="false">IF(C1963="","",IFERROR(VLOOKUP(C1963,EQUIPOS!$B$3:$C$18,2,0),"NO EXISTE"))</f>
        <v/>
      </c>
      <c r="E1963" s="9" t="str">
        <f aca="false">IF(C1963="","",IFERROR(VLOOKUP(C1963,EQUIPOS!$B$3:$F$18,5,0),""))</f>
        <v/>
      </c>
      <c r="F1963" s="5" t="str">
        <f aca="false">IF(C1963="","",IFERROR(VLOOKUP(C1963,EQUIPOS!$B$3:$G$18,6,0),""))</f>
        <v/>
      </c>
      <c r="G1963" s="8"/>
      <c r="H1963" s="5"/>
      <c r="I1963" s="5"/>
      <c r="J1963" s="9"/>
      <c r="K1963" s="17" t="str">
        <f aca="false">IF(H1963="","",IFERROR(SUMIFS(BD_PLAN!$I$3:$I$312,BD_PLAN!$B$3:$B$312,E1963,BD_PLAN!$C$3:$C$312,INDEX(BD_CICLO!$F$3:$F$54,MATCH(E1963&amp;"|"&amp;H1963,BD_CICLO!$G$3:$G$54,0))),""))</f>
        <v/>
      </c>
      <c r="L1963" s="9"/>
      <c r="M1963" s="9"/>
      <c r="N1963" s="1" t="str">
        <f aca="false">IF(C1963="","",C1963&amp;"|"&amp;COUNTIF(C$3:C1963,C1963))</f>
        <v/>
      </c>
      <c r="O1963" s="1" t="str">
        <f aca="false">IF(OR(C1963="",M1963=""),"",C1963&amp;"|"&amp;COUNTIFS(C$3:C1963,C1963,M$3:M1963,"&lt;&gt;"))</f>
        <v/>
      </c>
    </row>
    <row r="1964" customFormat="false" ht="15" hidden="false" customHeight="false" outlineLevel="0" collapsed="false">
      <c r="B1964" s="7"/>
      <c r="C1964" s="5"/>
      <c r="D1964" s="9" t="str">
        <f aca="false">IF(C1964="","",IFERROR(VLOOKUP(C1964,EQUIPOS!$B$3:$C$18,2,0),"NO EXISTE"))</f>
        <v/>
      </c>
      <c r="E1964" s="9" t="str">
        <f aca="false">IF(C1964="","",IFERROR(VLOOKUP(C1964,EQUIPOS!$B$3:$F$18,5,0),""))</f>
        <v/>
      </c>
      <c r="F1964" s="5" t="str">
        <f aca="false">IF(C1964="","",IFERROR(VLOOKUP(C1964,EQUIPOS!$B$3:$G$18,6,0),""))</f>
        <v/>
      </c>
      <c r="G1964" s="8"/>
      <c r="H1964" s="5"/>
      <c r="I1964" s="5"/>
      <c r="J1964" s="9"/>
      <c r="K1964" s="17" t="str">
        <f aca="false">IF(H1964="","",IFERROR(SUMIFS(BD_PLAN!$I$3:$I$312,BD_PLAN!$B$3:$B$312,E1964,BD_PLAN!$C$3:$C$312,INDEX(BD_CICLO!$F$3:$F$54,MATCH(E1964&amp;"|"&amp;H1964,BD_CICLO!$G$3:$G$54,0))),""))</f>
        <v/>
      </c>
      <c r="L1964" s="9"/>
      <c r="M1964" s="9"/>
      <c r="N1964" s="1" t="str">
        <f aca="false">IF(C1964="","",C1964&amp;"|"&amp;COUNTIF(C$3:C1964,C1964))</f>
        <v/>
      </c>
      <c r="O1964" s="1" t="str">
        <f aca="false">IF(OR(C1964="",M1964=""),"",C1964&amp;"|"&amp;COUNTIFS(C$3:C1964,C1964,M$3:M1964,"&lt;&gt;"))</f>
        <v/>
      </c>
    </row>
    <row r="1965" customFormat="false" ht="15" hidden="false" customHeight="false" outlineLevel="0" collapsed="false">
      <c r="B1965" s="7"/>
      <c r="C1965" s="5"/>
      <c r="D1965" s="9" t="str">
        <f aca="false">IF(C1965="","",IFERROR(VLOOKUP(C1965,EQUIPOS!$B$3:$C$18,2,0),"NO EXISTE"))</f>
        <v/>
      </c>
      <c r="E1965" s="9" t="str">
        <f aca="false">IF(C1965="","",IFERROR(VLOOKUP(C1965,EQUIPOS!$B$3:$F$18,5,0),""))</f>
        <v/>
      </c>
      <c r="F1965" s="5" t="str">
        <f aca="false">IF(C1965="","",IFERROR(VLOOKUP(C1965,EQUIPOS!$B$3:$G$18,6,0),""))</f>
        <v/>
      </c>
      <c r="G1965" s="8"/>
      <c r="H1965" s="5"/>
      <c r="I1965" s="5"/>
      <c r="J1965" s="9"/>
      <c r="K1965" s="17" t="str">
        <f aca="false">IF(H1965="","",IFERROR(SUMIFS(BD_PLAN!$I$3:$I$312,BD_PLAN!$B$3:$B$312,E1965,BD_PLAN!$C$3:$C$312,INDEX(BD_CICLO!$F$3:$F$54,MATCH(E1965&amp;"|"&amp;H1965,BD_CICLO!$G$3:$G$54,0))),""))</f>
        <v/>
      </c>
      <c r="L1965" s="9"/>
      <c r="M1965" s="9"/>
      <c r="N1965" s="1" t="str">
        <f aca="false">IF(C1965="","",C1965&amp;"|"&amp;COUNTIF(C$3:C1965,C1965))</f>
        <v/>
      </c>
      <c r="O1965" s="1" t="str">
        <f aca="false">IF(OR(C1965="",M1965=""),"",C1965&amp;"|"&amp;COUNTIFS(C$3:C1965,C1965,M$3:M1965,"&lt;&gt;"))</f>
        <v/>
      </c>
    </row>
    <row r="1966" customFormat="false" ht="15" hidden="false" customHeight="false" outlineLevel="0" collapsed="false">
      <c r="B1966" s="7"/>
      <c r="C1966" s="5"/>
      <c r="D1966" s="9" t="str">
        <f aca="false">IF(C1966="","",IFERROR(VLOOKUP(C1966,EQUIPOS!$B$3:$C$18,2,0),"NO EXISTE"))</f>
        <v/>
      </c>
      <c r="E1966" s="9" t="str">
        <f aca="false">IF(C1966="","",IFERROR(VLOOKUP(C1966,EQUIPOS!$B$3:$F$18,5,0),""))</f>
        <v/>
      </c>
      <c r="F1966" s="5" t="str">
        <f aca="false">IF(C1966="","",IFERROR(VLOOKUP(C1966,EQUIPOS!$B$3:$G$18,6,0),""))</f>
        <v/>
      </c>
      <c r="G1966" s="8"/>
      <c r="H1966" s="5"/>
      <c r="I1966" s="5"/>
      <c r="J1966" s="9"/>
      <c r="K1966" s="17" t="str">
        <f aca="false">IF(H1966="","",IFERROR(SUMIFS(BD_PLAN!$I$3:$I$312,BD_PLAN!$B$3:$B$312,E1966,BD_PLAN!$C$3:$C$312,INDEX(BD_CICLO!$F$3:$F$54,MATCH(E1966&amp;"|"&amp;H1966,BD_CICLO!$G$3:$G$54,0))),""))</f>
        <v/>
      </c>
      <c r="L1966" s="9"/>
      <c r="M1966" s="9"/>
      <c r="N1966" s="1" t="str">
        <f aca="false">IF(C1966="","",C1966&amp;"|"&amp;COUNTIF(C$3:C1966,C1966))</f>
        <v/>
      </c>
      <c r="O1966" s="1" t="str">
        <f aca="false">IF(OR(C1966="",M1966=""),"",C1966&amp;"|"&amp;COUNTIFS(C$3:C1966,C1966,M$3:M1966,"&lt;&gt;"))</f>
        <v/>
      </c>
    </row>
    <row r="1967" customFormat="false" ht="15" hidden="false" customHeight="false" outlineLevel="0" collapsed="false">
      <c r="B1967" s="7"/>
      <c r="C1967" s="5"/>
      <c r="D1967" s="9" t="str">
        <f aca="false">IF(C1967="","",IFERROR(VLOOKUP(C1967,EQUIPOS!$B$3:$C$18,2,0),"NO EXISTE"))</f>
        <v/>
      </c>
      <c r="E1967" s="9" t="str">
        <f aca="false">IF(C1967="","",IFERROR(VLOOKUP(C1967,EQUIPOS!$B$3:$F$18,5,0),""))</f>
        <v/>
      </c>
      <c r="F1967" s="5" t="str">
        <f aca="false">IF(C1967="","",IFERROR(VLOOKUP(C1967,EQUIPOS!$B$3:$G$18,6,0),""))</f>
        <v/>
      </c>
      <c r="G1967" s="8"/>
      <c r="H1967" s="5"/>
      <c r="I1967" s="5"/>
      <c r="J1967" s="9"/>
      <c r="K1967" s="17" t="str">
        <f aca="false">IF(H1967="","",IFERROR(SUMIFS(BD_PLAN!$I$3:$I$312,BD_PLAN!$B$3:$B$312,E1967,BD_PLAN!$C$3:$C$312,INDEX(BD_CICLO!$F$3:$F$54,MATCH(E1967&amp;"|"&amp;H1967,BD_CICLO!$G$3:$G$54,0))),""))</f>
        <v/>
      </c>
      <c r="L1967" s="9"/>
      <c r="M1967" s="9"/>
      <c r="N1967" s="1" t="str">
        <f aca="false">IF(C1967="","",C1967&amp;"|"&amp;COUNTIF(C$3:C1967,C1967))</f>
        <v/>
      </c>
      <c r="O1967" s="1" t="str">
        <f aca="false">IF(OR(C1967="",M1967=""),"",C1967&amp;"|"&amp;COUNTIFS(C$3:C1967,C1967,M$3:M1967,"&lt;&gt;"))</f>
        <v/>
      </c>
    </row>
    <row r="1968" customFormat="false" ht="15" hidden="false" customHeight="false" outlineLevel="0" collapsed="false">
      <c r="B1968" s="7"/>
      <c r="C1968" s="5"/>
      <c r="D1968" s="9" t="str">
        <f aca="false">IF(C1968="","",IFERROR(VLOOKUP(C1968,EQUIPOS!$B$3:$C$18,2,0),"NO EXISTE"))</f>
        <v/>
      </c>
      <c r="E1968" s="9" t="str">
        <f aca="false">IF(C1968="","",IFERROR(VLOOKUP(C1968,EQUIPOS!$B$3:$F$18,5,0),""))</f>
        <v/>
      </c>
      <c r="F1968" s="5" t="str">
        <f aca="false">IF(C1968="","",IFERROR(VLOOKUP(C1968,EQUIPOS!$B$3:$G$18,6,0),""))</f>
        <v/>
      </c>
      <c r="G1968" s="8"/>
      <c r="H1968" s="5"/>
      <c r="I1968" s="5"/>
      <c r="J1968" s="9"/>
      <c r="K1968" s="17" t="str">
        <f aca="false">IF(H1968="","",IFERROR(SUMIFS(BD_PLAN!$I$3:$I$312,BD_PLAN!$B$3:$B$312,E1968,BD_PLAN!$C$3:$C$312,INDEX(BD_CICLO!$F$3:$F$54,MATCH(E1968&amp;"|"&amp;H1968,BD_CICLO!$G$3:$G$54,0))),""))</f>
        <v/>
      </c>
      <c r="L1968" s="9"/>
      <c r="M1968" s="9"/>
      <c r="N1968" s="1" t="str">
        <f aca="false">IF(C1968="","",C1968&amp;"|"&amp;COUNTIF(C$3:C1968,C1968))</f>
        <v/>
      </c>
      <c r="O1968" s="1" t="str">
        <f aca="false">IF(OR(C1968="",M1968=""),"",C1968&amp;"|"&amp;COUNTIFS(C$3:C1968,C1968,M$3:M1968,"&lt;&gt;"))</f>
        <v/>
      </c>
    </row>
    <row r="1969" customFormat="false" ht="15" hidden="false" customHeight="false" outlineLevel="0" collapsed="false">
      <c r="B1969" s="7"/>
      <c r="C1969" s="5"/>
      <c r="D1969" s="9" t="str">
        <f aca="false">IF(C1969="","",IFERROR(VLOOKUP(C1969,EQUIPOS!$B$3:$C$18,2,0),"NO EXISTE"))</f>
        <v/>
      </c>
      <c r="E1969" s="9" t="str">
        <f aca="false">IF(C1969="","",IFERROR(VLOOKUP(C1969,EQUIPOS!$B$3:$F$18,5,0),""))</f>
        <v/>
      </c>
      <c r="F1969" s="5" t="str">
        <f aca="false">IF(C1969="","",IFERROR(VLOOKUP(C1969,EQUIPOS!$B$3:$G$18,6,0),""))</f>
        <v/>
      </c>
      <c r="G1969" s="8"/>
      <c r="H1969" s="5"/>
      <c r="I1969" s="5"/>
      <c r="J1969" s="9"/>
      <c r="K1969" s="17" t="str">
        <f aca="false">IF(H1969="","",IFERROR(SUMIFS(BD_PLAN!$I$3:$I$312,BD_PLAN!$B$3:$B$312,E1969,BD_PLAN!$C$3:$C$312,INDEX(BD_CICLO!$F$3:$F$54,MATCH(E1969&amp;"|"&amp;H1969,BD_CICLO!$G$3:$G$54,0))),""))</f>
        <v/>
      </c>
      <c r="L1969" s="9"/>
      <c r="M1969" s="9"/>
      <c r="N1969" s="1" t="str">
        <f aca="false">IF(C1969="","",C1969&amp;"|"&amp;COUNTIF(C$3:C1969,C1969))</f>
        <v/>
      </c>
      <c r="O1969" s="1" t="str">
        <f aca="false">IF(OR(C1969="",M1969=""),"",C1969&amp;"|"&amp;COUNTIFS(C$3:C1969,C1969,M$3:M1969,"&lt;&gt;"))</f>
        <v/>
      </c>
    </row>
    <row r="1970" customFormat="false" ht="15" hidden="false" customHeight="false" outlineLevel="0" collapsed="false">
      <c r="B1970" s="7"/>
      <c r="C1970" s="5"/>
      <c r="D1970" s="9" t="str">
        <f aca="false">IF(C1970="","",IFERROR(VLOOKUP(C1970,EQUIPOS!$B$3:$C$18,2,0),"NO EXISTE"))</f>
        <v/>
      </c>
      <c r="E1970" s="9" t="str">
        <f aca="false">IF(C1970="","",IFERROR(VLOOKUP(C1970,EQUIPOS!$B$3:$F$18,5,0),""))</f>
        <v/>
      </c>
      <c r="F1970" s="5" t="str">
        <f aca="false">IF(C1970="","",IFERROR(VLOOKUP(C1970,EQUIPOS!$B$3:$G$18,6,0),""))</f>
        <v/>
      </c>
      <c r="G1970" s="8"/>
      <c r="H1970" s="5"/>
      <c r="I1970" s="5"/>
      <c r="J1970" s="9"/>
      <c r="K1970" s="17" t="str">
        <f aca="false">IF(H1970="","",IFERROR(SUMIFS(BD_PLAN!$I$3:$I$312,BD_PLAN!$B$3:$B$312,E1970,BD_PLAN!$C$3:$C$312,INDEX(BD_CICLO!$F$3:$F$54,MATCH(E1970&amp;"|"&amp;H1970,BD_CICLO!$G$3:$G$54,0))),""))</f>
        <v/>
      </c>
      <c r="L1970" s="9"/>
      <c r="M1970" s="9"/>
      <c r="N1970" s="1" t="str">
        <f aca="false">IF(C1970="","",C1970&amp;"|"&amp;COUNTIF(C$3:C1970,C1970))</f>
        <v/>
      </c>
      <c r="O1970" s="1" t="str">
        <f aca="false">IF(OR(C1970="",M1970=""),"",C1970&amp;"|"&amp;COUNTIFS(C$3:C1970,C1970,M$3:M1970,"&lt;&gt;"))</f>
        <v/>
      </c>
    </row>
    <row r="1971" customFormat="false" ht="15" hidden="false" customHeight="false" outlineLevel="0" collapsed="false">
      <c r="B1971" s="7"/>
      <c r="C1971" s="5"/>
      <c r="D1971" s="9" t="str">
        <f aca="false">IF(C1971="","",IFERROR(VLOOKUP(C1971,EQUIPOS!$B$3:$C$18,2,0),"NO EXISTE"))</f>
        <v/>
      </c>
      <c r="E1971" s="9" t="str">
        <f aca="false">IF(C1971="","",IFERROR(VLOOKUP(C1971,EQUIPOS!$B$3:$F$18,5,0),""))</f>
        <v/>
      </c>
      <c r="F1971" s="5" t="str">
        <f aca="false">IF(C1971="","",IFERROR(VLOOKUP(C1971,EQUIPOS!$B$3:$G$18,6,0),""))</f>
        <v/>
      </c>
      <c r="G1971" s="8"/>
      <c r="H1971" s="5"/>
      <c r="I1971" s="5"/>
      <c r="J1971" s="9"/>
      <c r="K1971" s="17" t="str">
        <f aca="false">IF(H1971="","",IFERROR(SUMIFS(BD_PLAN!$I$3:$I$312,BD_PLAN!$B$3:$B$312,E1971,BD_PLAN!$C$3:$C$312,INDEX(BD_CICLO!$F$3:$F$54,MATCH(E1971&amp;"|"&amp;H1971,BD_CICLO!$G$3:$G$54,0))),""))</f>
        <v/>
      </c>
      <c r="L1971" s="9"/>
      <c r="M1971" s="9"/>
      <c r="N1971" s="1" t="str">
        <f aca="false">IF(C1971="","",C1971&amp;"|"&amp;COUNTIF(C$3:C1971,C1971))</f>
        <v/>
      </c>
      <c r="O1971" s="1" t="str">
        <f aca="false">IF(OR(C1971="",M1971=""),"",C1971&amp;"|"&amp;COUNTIFS(C$3:C1971,C1971,M$3:M1971,"&lt;&gt;"))</f>
        <v/>
      </c>
    </row>
    <row r="1972" customFormat="false" ht="15" hidden="false" customHeight="false" outlineLevel="0" collapsed="false">
      <c r="B1972" s="7"/>
      <c r="C1972" s="5"/>
      <c r="D1972" s="9" t="str">
        <f aca="false">IF(C1972="","",IFERROR(VLOOKUP(C1972,EQUIPOS!$B$3:$C$18,2,0),"NO EXISTE"))</f>
        <v/>
      </c>
      <c r="E1972" s="9" t="str">
        <f aca="false">IF(C1972="","",IFERROR(VLOOKUP(C1972,EQUIPOS!$B$3:$F$18,5,0),""))</f>
        <v/>
      </c>
      <c r="F1972" s="5" t="str">
        <f aca="false">IF(C1972="","",IFERROR(VLOOKUP(C1972,EQUIPOS!$B$3:$G$18,6,0),""))</f>
        <v/>
      </c>
      <c r="G1972" s="8"/>
      <c r="H1972" s="5"/>
      <c r="I1972" s="5"/>
      <c r="J1972" s="9"/>
      <c r="K1972" s="17" t="str">
        <f aca="false">IF(H1972="","",IFERROR(SUMIFS(BD_PLAN!$I$3:$I$312,BD_PLAN!$B$3:$B$312,E1972,BD_PLAN!$C$3:$C$312,INDEX(BD_CICLO!$F$3:$F$54,MATCH(E1972&amp;"|"&amp;H1972,BD_CICLO!$G$3:$G$54,0))),""))</f>
        <v/>
      </c>
      <c r="L1972" s="9"/>
      <c r="M1972" s="9"/>
      <c r="N1972" s="1" t="str">
        <f aca="false">IF(C1972="","",C1972&amp;"|"&amp;COUNTIF(C$3:C1972,C1972))</f>
        <v/>
      </c>
      <c r="O1972" s="1" t="str">
        <f aca="false">IF(OR(C1972="",M1972=""),"",C1972&amp;"|"&amp;COUNTIFS(C$3:C1972,C1972,M$3:M1972,"&lt;&gt;"))</f>
        <v/>
      </c>
    </row>
    <row r="1973" customFormat="false" ht="15" hidden="false" customHeight="false" outlineLevel="0" collapsed="false">
      <c r="B1973" s="7"/>
      <c r="C1973" s="5"/>
      <c r="D1973" s="9" t="str">
        <f aca="false">IF(C1973="","",IFERROR(VLOOKUP(C1973,EQUIPOS!$B$3:$C$18,2,0),"NO EXISTE"))</f>
        <v/>
      </c>
      <c r="E1973" s="9" t="str">
        <f aca="false">IF(C1973="","",IFERROR(VLOOKUP(C1973,EQUIPOS!$B$3:$F$18,5,0),""))</f>
        <v/>
      </c>
      <c r="F1973" s="5" t="str">
        <f aca="false">IF(C1973="","",IFERROR(VLOOKUP(C1973,EQUIPOS!$B$3:$G$18,6,0),""))</f>
        <v/>
      </c>
      <c r="G1973" s="8"/>
      <c r="H1973" s="5"/>
      <c r="I1973" s="5"/>
      <c r="J1973" s="9"/>
      <c r="K1973" s="17" t="str">
        <f aca="false">IF(H1973="","",IFERROR(SUMIFS(BD_PLAN!$I$3:$I$312,BD_PLAN!$B$3:$B$312,E1973,BD_PLAN!$C$3:$C$312,INDEX(BD_CICLO!$F$3:$F$54,MATCH(E1973&amp;"|"&amp;H1973,BD_CICLO!$G$3:$G$54,0))),""))</f>
        <v/>
      </c>
      <c r="L1973" s="9"/>
      <c r="M1973" s="9"/>
      <c r="N1973" s="1" t="str">
        <f aca="false">IF(C1973="","",C1973&amp;"|"&amp;COUNTIF(C$3:C1973,C1973))</f>
        <v/>
      </c>
      <c r="O1973" s="1" t="str">
        <f aca="false">IF(OR(C1973="",M1973=""),"",C1973&amp;"|"&amp;COUNTIFS(C$3:C1973,C1973,M$3:M1973,"&lt;&gt;"))</f>
        <v/>
      </c>
    </row>
    <row r="1974" customFormat="false" ht="15" hidden="false" customHeight="false" outlineLevel="0" collapsed="false">
      <c r="B1974" s="7"/>
      <c r="C1974" s="5"/>
      <c r="D1974" s="9" t="str">
        <f aca="false">IF(C1974="","",IFERROR(VLOOKUP(C1974,EQUIPOS!$B$3:$C$18,2,0),"NO EXISTE"))</f>
        <v/>
      </c>
      <c r="E1974" s="9" t="str">
        <f aca="false">IF(C1974="","",IFERROR(VLOOKUP(C1974,EQUIPOS!$B$3:$F$18,5,0),""))</f>
        <v/>
      </c>
      <c r="F1974" s="5" t="str">
        <f aca="false">IF(C1974="","",IFERROR(VLOOKUP(C1974,EQUIPOS!$B$3:$G$18,6,0),""))</f>
        <v/>
      </c>
      <c r="G1974" s="8"/>
      <c r="H1974" s="5"/>
      <c r="I1974" s="5"/>
      <c r="J1974" s="9"/>
      <c r="K1974" s="17" t="str">
        <f aca="false">IF(H1974="","",IFERROR(SUMIFS(BD_PLAN!$I$3:$I$312,BD_PLAN!$B$3:$B$312,E1974,BD_PLAN!$C$3:$C$312,INDEX(BD_CICLO!$F$3:$F$54,MATCH(E1974&amp;"|"&amp;H1974,BD_CICLO!$G$3:$G$54,0))),""))</f>
        <v/>
      </c>
      <c r="L1974" s="9"/>
      <c r="M1974" s="9"/>
      <c r="N1974" s="1" t="str">
        <f aca="false">IF(C1974="","",C1974&amp;"|"&amp;COUNTIF(C$3:C1974,C1974))</f>
        <v/>
      </c>
      <c r="O1974" s="1" t="str">
        <f aca="false">IF(OR(C1974="",M1974=""),"",C1974&amp;"|"&amp;COUNTIFS(C$3:C1974,C1974,M$3:M1974,"&lt;&gt;"))</f>
        <v/>
      </c>
    </row>
    <row r="1975" customFormat="false" ht="15" hidden="false" customHeight="false" outlineLevel="0" collapsed="false">
      <c r="B1975" s="7"/>
      <c r="C1975" s="5"/>
      <c r="D1975" s="9" t="str">
        <f aca="false">IF(C1975="","",IFERROR(VLOOKUP(C1975,EQUIPOS!$B$3:$C$18,2,0),"NO EXISTE"))</f>
        <v/>
      </c>
      <c r="E1975" s="9" t="str">
        <f aca="false">IF(C1975="","",IFERROR(VLOOKUP(C1975,EQUIPOS!$B$3:$F$18,5,0),""))</f>
        <v/>
      </c>
      <c r="F1975" s="5" t="str">
        <f aca="false">IF(C1975="","",IFERROR(VLOOKUP(C1975,EQUIPOS!$B$3:$G$18,6,0),""))</f>
        <v/>
      </c>
      <c r="G1975" s="8"/>
      <c r="H1975" s="5"/>
      <c r="I1975" s="5"/>
      <c r="J1975" s="9"/>
      <c r="K1975" s="17" t="str">
        <f aca="false">IF(H1975="","",IFERROR(SUMIFS(BD_PLAN!$I$3:$I$312,BD_PLAN!$B$3:$B$312,E1975,BD_PLAN!$C$3:$C$312,INDEX(BD_CICLO!$F$3:$F$54,MATCH(E1975&amp;"|"&amp;H1975,BD_CICLO!$G$3:$G$54,0))),""))</f>
        <v/>
      </c>
      <c r="L1975" s="9"/>
      <c r="M1975" s="9"/>
      <c r="N1975" s="1" t="str">
        <f aca="false">IF(C1975="","",C1975&amp;"|"&amp;COUNTIF(C$3:C1975,C1975))</f>
        <v/>
      </c>
      <c r="O1975" s="1" t="str">
        <f aca="false">IF(OR(C1975="",M1975=""),"",C1975&amp;"|"&amp;COUNTIFS(C$3:C1975,C1975,M$3:M1975,"&lt;&gt;"))</f>
        <v/>
      </c>
    </row>
    <row r="1976" customFormat="false" ht="15" hidden="false" customHeight="false" outlineLevel="0" collapsed="false">
      <c r="B1976" s="7"/>
      <c r="C1976" s="5"/>
      <c r="D1976" s="9" t="str">
        <f aca="false">IF(C1976="","",IFERROR(VLOOKUP(C1976,EQUIPOS!$B$3:$C$18,2,0),"NO EXISTE"))</f>
        <v/>
      </c>
      <c r="E1976" s="9" t="str">
        <f aca="false">IF(C1976="","",IFERROR(VLOOKUP(C1976,EQUIPOS!$B$3:$F$18,5,0),""))</f>
        <v/>
      </c>
      <c r="F1976" s="5" t="str">
        <f aca="false">IF(C1976="","",IFERROR(VLOOKUP(C1976,EQUIPOS!$B$3:$G$18,6,0),""))</f>
        <v/>
      </c>
      <c r="G1976" s="8"/>
      <c r="H1976" s="5"/>
      <c r="I1976" s="5"/>
      <c r="J1976" s="9"/>
      <c r="K1976" s="17" t="str">
        <f aca="false">IF(H1976="","",IFERROR(SUMIFS(BD_PLAN!$I$3:$I$312,BD_PLAN!$B$3:$B$312,E1976,BD_PLAN!$C$3:$C$312,INDEX(BD_CICLO!$F$3:$F$54,MATCH(E1976&amp;"|"&amp;H1976,BD_CICLO!$G$3:$G$54,0))),""))</f>
        <v/>
      </c>
      <c r="L1976" s="9"/>
      <c r="M1976" s="9"/>
      <c r="N1976" s="1" t="str">
        <f aca="false">IF(C1976="","",C1976&amp;"|"&amp;COUNTIF(C$3:C1976,C1976))</f>
        <v/>
      </c>
      <c r="O1976" s="1" t="str">
        <f aca="false">IF(OR(C1976="",M1976=""),"",C1976&amp;"|"&amp;COUNTIFS(C$3:C1976,C1976,M$3:M1976,"&lt;&gt;"))</f>
        <v/>
      </c>
    </row>
    <row r="1977" customFormat="false" ht="15" hidden="false" customHeight="false" outlineLevel="0" collapsed="false">
      <c r="B1977" s="7"/>
      <c r="C1977" s="5"/>
      <c r="D1977" s="9" t="str">
        <f aca="false">IF(C1977="","",IFERROR(VLOOKUP(C1977,EQUIPOS!$B$3:$C$18,2,0),"NO EXISTE"))</f>
        <v/>
      </c>
      <c r="E1977" s="9" t="str">
        <f aca="false">IF(C1977="","",IFERROR(VLOOKUP(C1977,EQUIPOS!$B$3:$F$18,5,0),""))</f>
        <v/>
      </c>
      <c r="F1977" s="5" t="str">
        <f aca="false">IF(C1977="","",IFERROR(VLOOKUP(C1977,EQUIPOS!$B$3:$G$18,6,0),""))</f>
        <v/>
      </c>
      <c r="G1977" s="8"/>
      <c r="H1977" s="5"/>
      <c r="I1977" s="5"/>
      <c r="J1977" s="9"/>
      <c r="K1977" s="17" t="str">
        <f aca="false">IF(H1977="","",IFERROR(SUMIFS(BD_PLAN!$I$3:$I$312,BD_PLAN!$B$3:$B$312,E1977,BD_PLAN!$C$3:$C$312,INDEX(BD_CICLO!$F$3:$F$54,MATCH(E1977&amp;"|"&amp;H1977,BD_CICLO!$G$3:$G$54,0))),""))</f>
        <v/>
      </c>
      <c r="L1977" s="9"/>
      <c r="M1977" s="9"/>
      <c r="N1977" s="1" t="str">
        <f aca="false">IF(C1977="","",C1977&amp;"|"&amp;COUNTIF(C$3:C1977,C1977))</f>
        <v/>
      </c>
      <c r="O1977" s="1" t="str">
        <f aca="false">IF(OR(C1977="",M1977=""),"",C1977&amp;"|"&amp;COUNTIFS(C$3:C1977,C1977,M$3:M1977,"&lt;&gt;"))</f>
        <v/>
      </c>
    </row>
    <row r="1978" customFormat="false" ht="15" hidden="false" customHeight="false" outlineLevel="0" collapsed="false">
      <c r="B1978" s="7"/>
      <c r="C1978" s="5"/>
      <c r="D1978" s="9" t="str">
        <f aca="false">IF(C1978="","",IFERROR(VLOOKUP(C1978,EQUIPOS!$B$3:$C$18,2,0),"NO EXISTE"))</f>
        <v/>
      </c>
      <c r="E1978" s="9" t="str">
        <f aca="false">IF(C1978="","",IFERROR(VLOOKUP(C1978,EQUIPOS!$B$3:$F$18,5,0),""))</f>
        <v/>
      </c>
      <c r="F1978" s="5" t="str">
        <f aca="false">IF(C1978="","",IFERROR(VLOOKUP(C1978,EQUIPOS!$B$3:$G$18,6,0),""))</f>
        <v/>
      </c>
      <c r="G1978" s="8"/>
      <c r="H1978" s="5"/>
      <c r="I1978" s="5"/>
      <c r="J1978" s="9"/>
      <c r="K1978" s="17" t="str">
        <f aca="false">IF(H1978="","",IFERROR(SUMIFS(BD_PLAN!$I$3:$I$312,BD_PLAN!$B$3:$B$312,E1978,BD_PLAN!$C$3:$C$312,INDEX(BD_CICLO!$F$3:$F$54,MATCH(E1978&amp;"|"&amp;H1978,BD_CICLO!$G$3:$G$54,0))),""))</f>
        <v/>
      </c>
      <c r="L1978" s="9"/>
      <c r="M1978" s="9"/>
      <c r="N1978" s="1" t="str">
        <f aca="false">IF(C1978="","",C1978&amp;"|"&amp;COUNTIF(C$3:C1978,C1978))</f>
        <v/>
      </c>
      <c r="O1978" s="1" t="str">
        <f aca="false">IF(OR(C1978="",M1978=""),"",C1978&amp;"|"&amp;COUNTIFS(C$3:C1978,C1978,M$3:M1978,"&lt;&gt;"))</f>
        <v/>
      </c>
    </row>
    <row r="1979" customFormat="false" ht="15" hidden="false" customHeight="false" outlineLevel="0" collapsed="false">
      <c r="B1979" s="7"/>
      <c r="C1979" s="5"/>
      <c r="D1979" s="9" t="str">
        <f aca="false">IF(C1979="","",IFERROR(VLOOKUP(C1979,EQUIPOS!$B$3:$C$18,2,0),"NO EXISTE"))</f>
        <v/>
      </c>
      <c r="E1979" s="9" t="str">
        <f aca="false">IF(C1979="","",IFERROR(VLOOKUP(C1979,EQUIPOS!$B$3:$F$18,5,0),""))</f>
        <v/>
      </c>
      <c r="F1979" s="5" t="str">
        <f aca="false">IF(C1979="","",IFERROR(VLOOKUP(C1979,EQUIPOS!$B$3:$G$18,6,0),""))</f>
        <v/>
      </c>
      <c r="G1979" s="8"/>
      <c r="H1979" s="5"/>
      <c r="I1979" s="5"/>
      <c r="J1979" s="9"/>
      <c r="K1979" s="17" t="str">
        <f aca="false">IF(H1979="","",IFERROR(SUMIFS(BD_PLAN!$I$3:$I$312,BD_PLAN!$B$3:$B$312,E1979,BD_PLAN!$C$3:$C$312,INDEX(BD_CICLO!$F$3:$F$54,MATCH(E1979&amp;"|"&amp;H1979,BD_CICLO!$G$3:$G$54,0))),""))</f>
        <v/>
      </c>
      <c r="L1979" s="9"/>
      <c r="M1979" s="9"/>
      <c r="N1979" s="1" t="str">
        <f aca="false">IF(C1979="","",C1979&amp;"|"&amp;COUNTIF(C$3:C1979,C1979))</f>
        <v/>
      </c>
      <c r="O1979" s="1" t="str">
        <f aca="false">IF(OR(C1979="",M1979=""),"",C1979&amp;"|"&amp;COUNTIFS(C$3:C1979,C1979,M$3:M1979,"&lt;&gt;"))</f>
        <v/>
      </c>
    </row>
    <row r="1980" customFormat="false" ht="15" hidden="false" customHeight="false" outlineLevel="0" collapsed="false">
      <c r="B1980" s="7"/>
      <c r="C1980" s="5"/>
      <c r="D1980" s="9" t="str">
        <f aca="false">IF(C1980="","",IFERROR(VLOOKUP(C1980,EQUIPOS!$B$3:$C$18,2,0),"NO EXISTE"))</f>
        <v/>
      </c>
      <c r="E1980" s="9" t="str">
        <f aca="false">IF(C1980="","",IFERROR(VLOOKUP(C1980,EQUIPOS!$B$3:$F$18,5,0),""))</f>
        <v/>
      </c>
      <c r="F1980" s="5" t="str">
        <f aca="false">IF(C1980="","",IFERROR(VLOOKUP(C1980,EQUIPOS!$B$3:$G$18,6,0),""))</f>
        <v/>
      </c>
      <c r="G1980" s="8"/>
      <c r="H1980" s="5"/>
      <c r="I1980" s="5"/>
      <c r="J1980" s="9"/>
      <c r="K1980" s="17" t="str">
        <f aca="false">IF(H1980="","",IFERROR(SUMIFS(BD_PLAN!$I$3:$I$312,BD_PLAN!$B$3:$B$312,E1980,BD_PLAN!$C$3:$C$312,INDEX(BD_CICLO!$F$3:$F$54,MATCH(E1980&amp;"|"&amp;H1980,BD_CICLO!$G$3:$G$54,0))),""))</f>
        <v/>
      </c>
      <c r="L1980" s="9"/>
      <c r="M1980" s="9"/>
      <c r="N1980" s="1" t="str">
        <f aca="false">IF(C1980="","",C1980&amp;"|"&amp;COUNTIF(C$3:C1980,C1980))</f>
        <v/>
      </c>
      <c r="O1980" s="1" t="str">
        <f aca="false">IF(OR(C1980="",M1980=""),"",C1980&amp;"|"&amp;COUNTIFS(C$3:C1980,C1980,M$3:M1980,"&lt;&gt;"))</f>
        <v/>
      </c>
    </row>
    <row r="1981" customFormat="false" ht="15" hidden="false" customHeight="false" outlineLevel="0" collapsed="false">
      <c r="B1981" s="7"/>
      <c r="C1981" s="5"/>
      <c r="D1981" s="9" t="str">
        <f aca="false">IF(C1981="","",IFERROR(VLOOKUP(C1981,EQUIPOS!$B$3:$C$18,2,0),"NO EXISTE"))</f>
        <v/>
      </c>
      <c r="E1981" s="9" t="str">
        <f aca="false">IF(C1981="","",IFERROR(VLOOKUP(C1981,EQUIPOS!$B$3:$F$18,5,0),""))</f>
        <v/>
      </c>
      <c r="F1981" s="5" t="str">
        <f aca="false">IF(C1981="","",IFERROR(VLOOKUP(C1981,EQUIPOS!$B$3:$G$18,6,0),""))</f>
        <v/>
      </c>
      <c r="G1981" s="8"/>
      <c r="H1981" s="5"/>
      <c r="I1981" s="5"/>
      <c r="J1981" s="9"/>
      <c r="K1981" s="17" t="str">
        <f aca="false">IF(H1981="","",IFERROR(SUMIFS(BD_PLAN!$I$3:$I$312,BD_PLAN!$B$3:$B$312,E1981,BD_PLAN!$C$3:$C$312,INDEX(BD_CICLO!$F$3:$F$54,MATCH(E1981&amp;"|"&amp;H1981,BD_CICLO!$G$3:$G$54,0))),""))</f>
        <v/>
      </c>
      <c r="L1981" s="9"/>
      <c r="M1981" s="9"/>
      <c r="N1981" s="1" t="str">
        <f aca="false">IF(C1981="","",C1981&amp;"|"&amp;COUNTIF(C$3:C1981,C1981))</f>
        <v/>
      </c>
      <c r="O1981" s="1" t="str">
        <f aca="false">IF(OR(C1981="",M1981=""),"",C1981&amp;"|"&amp;COUNTIFS(C$3:C1981,C1981,M$3:M1981,"&lt;&gt;"))</f>
        <v/>
      </c>
    </row>
    <row r="1982" customFormat="false" ht="15" hidden="false" customHeight="false" outlineLevel="0" collapsed="false">
      <c r="B1982" s="7"/>
      <c r="C1982" s="5"/>
      <c r="D1982" s="9" t="str">
        <f aca="false">IF(C1982="","",IFERROR(VLOOKUP(C1982,EQUIPOS!$B$3:$C$18,2,0),"NO EXISTE"))</f>
        <v/>
      </c>
      <c r="E1982" s="9" t="str">
        <f aca="false">IF(C1982="","",IFERROR(VLOOKUP(C1982,EQUIPOS!$B$3:$F$18,5,0),""))</f>
        <v/>
      </c>
      <c r="F1982" s="5" t="str">
        <f aca="false">IF(C1982="","",IFERROR(VLOOKUP(C1982,EQUIPOS!$B$3:$G$18,6,0),""))</f>
        <v/>
      </c>
      <c r="G1982" s="8"/>
      <c r="H1982" s="5"/>
      <c r="I1982" s="5"/>
      <c r="J1982" s="9"/>
      <c r="K1982" s="17" t="str">
        <f aca="false">IF(H1982="","",IFERROR(SUMIFS(BD_PLAN!$I$3:$I$312,BD_PLAN!$B$3:$B$312,E1982,BD_PLAN!$C$3:$C$312,INDEX(BD_CICLO!$F$3:$F$54,MATCH(E1982&amp;"|"&amp;H1982,BD_CICLO!$G$3:$G$54,0))),""))</f>
        <v/>
      </c>
      <c r="L1982" s="9"/>
      <c r="M1982" s="9"/>
      <c r="N1982" s="1" t="str">
        <f aca="false">IF(C1982="","",C1982&amp;"|"&amp;COUNTIF(C$3:C1982,C1982))</f>
        <v/>
      </c>
      <c r="O1982" s="1" t="str">
        <f aca="false">IF(OR(C1982="",M1982=""),"",C1982&amp;"|"&amp;COUNTIFS(C$3:C1982,C1982,M$3:M1982,"&lt;&gt;"))</f>
        <v/>
      </c>
    </row>
    <row r="1983" customFormat="false" ht="15" hidden="false" customHeight="false" outlineLevel="0" collapsed="false">
      <c r="B1983" s="7"/>
      <c r="C1983" s="5"/>
      <c r="D1983" s="9" t="str">
        <f aca="false">IF(C1983="","",IFERROR(VLOOKUP(C1983,EQUIPOS!$B$3:$C$18,2,0),"NO EXISTE"))</f>
        <v/>
      </c>
      <c r="E1983" s="9" t="str">
        <f aca="false">IF(C1983="","",IFERROR(VLOOKUP(C1983,EQUIPOS!$B$3:$F$18,5,0),""))</f>
        <v/>
      </c>
      <c r="F1983" s="5" t="str">
        <f aca="false">IF(C1983="","",IFERROR(VLOOKUP(C1983,EQUIPOS!$B$3:$G$18,6,0),""))</f>
        <v/>
      </c>
      <c r="G1983" s="8"/>
      <c r="H1983" s="5"/>
      <c r="I1983" s="5"/>
      <c r="J1983" s="9"/>
      <c r="K1983" s="17" t="str">
        <f aca="false">IF(H1983="","",IFERROR(SUMIFS(BD_PLAN!$I$3:$I$312,BD_PLAN!$B$3:$B$312,E1983,BD_PLAN!$C$3:$C$312,INDEX(BD_CICLO!$F$3:$F$54,MATCH(E1983&amp;"|"&amp;H1983,BD_CICLO!$G$3:$G$54,0))),""))</f>
        <v/>
      </c>
      <c r="L1983" s="9"/>
      <c r="M1983" s="9"/>
      <c r="N1983" s="1" t="str">
        <f aca="false">IF(C1983="","",C1983&amp;"|"&amp;COUNTIF(C$3:C1983,C1983))</f>
        <v/>
      </c>
      <c r="O1983" s="1" t="str">
        <f aca="false">IF(OR(C1983="",M1983=""),"",C1983&amp;"|"&amp;COUNTIFS(C$3:C1983,C1983,M$3:M1983,"&lt;&gt;"))</f>
        <v/>
      </c>
    </row>
    <row r="1984" customFormat="false" ht="15" hidden="false" customHeight="false" outlineLevel="0" collapsed="false">
      <c r="B1984" s="7"/>
      <c r="C1984" s="5"/>
      <c r="D1984" s="9" t="str">
        <f aca="false">IF(C1984="","",IFERROR(VLOOKUP(C1984,EQUIPOS!$B$3:$C$18,2,0),"NO EXISTE"))</f>
        <v/>
      </c>
      <c r="E1984" s="9" t="str">
        <f aca="false">IF(C1984="","",IFERROR(VLOOKUP(C1984,EQUIPOS!$B$3:$F$18,5,0),""))</f>
        <v/>
      </c>
      <c r="F1984" s="5" t="str">
        <f aca="false">IF(C1984="","",IFERROR(VLOOKUP(C1984,EQUIPOS!$B$3:$G$18,6,0),""))</f>
        <v/>
      </c>
      <c r="G1984" s="8"/>
      <c r="H1984" s="5"/>
      <c r="I1984" s="5"/>
      <c r="J1984" s="9"/>
      <c r="K1984" s="17" t="str">
        <f aca="false">IF(H1984="","",IFERROR(SUMIFS(BD_PLAN!$I$3:$I$312,BD_PLAN!$B$3:$B$312,E1984,BD_PLAN!$C$3:$C$312,INDEX(BD_CICLO!$F$3:$F$54,MATCH(E1984&amp;"|"&amp;H1984,BD_CICLO!$G$3:$G$54,0))),""))</f>
        <v/>
      </c>
      <c r="L1984" s="9"/>
      <c r="M1984" s="9"/>
      <c r="N1984" s="1" t="str">
        <f aca="false">IF(C1984="","",C1984&amp;"|"&amp;COUNTIF(C$3:C1984,C1984))</f>
        <v/>
      </c>
      <c r="O1984" s="1" t="str">
        <f aca="false">IF(OR(C1984="",M1984=""),"",C1984&amp;"|"&amp;COUNTIFS(C$3:C1984,C1984,M$3:M1984,"&lt;&gt;"))</f>
        <v/>
      </c>
    </row>
    <row r="1985" customFormat="false" ht="15" hidden="false" customHeight="false" outlineLevel="0" collapsed="false">
      <c r="B1985" s="7"/>
      <c r="C1985" s="5"/>
      <c r="D1985" s="9" t="str">
        <f aca="false">IF(C1985="","",IFERROR(VLOOKUP(C1985,EQUIPOS!$B$3:$C$18,2,0),"NO EXISTE"))</f>
        <v/>
      </c>
      <c r="E1985" s="9" t="str">
        <f aca="false">IF(C1985="","",IFERROR(VLOOKUP(C1985,EQUIPOS!$B$3:$F$18,5,0),""))</f>
        <v/>
      </c>
      <c r="F1985" s="5" t="str">
        <f aca="false">IF(C1985="","",IFERROR(VLOOKUP(C1985,EQUIPOS!$B$3:$G$18,6,0),""))</f>
        <v/>
      </c>
      <c r="G1985" s="8"/>
      <c r="H1985" s="5"/>
      <c r="I1985" s="5"/>
      <c r="J1985" s="9"/>
      <c r="K1985" s="17" t="str">
        <f aca="false">IF(H1985="","",IFERROR(SUMIFS(BD_PLAN!$I$3:$I$312,BD_PLAN!$B$3:$B$312,E1985,BD_PLAN!$C$3:$C$312,INDEX(BD_CICLO!$F$3:$F$54,MATCH(E1985&amp;"|"&amp;H1985,BD_CICLO!$G$3:$G$54,0))),""))</f>
        <v/>
      </c>
      <c r="L1985" s="9"/>
      <c r="M1985" s="9"/>
      <c r="N1985" s="1" t="str">
        <f aca="false">IF(C1985="","",C1985&amp;"|"&amp;COUNTIF(C$3:C1985,C1985))</f>
        <v/>
      </c>
      <c r="O1985" s="1" t="str">
        <f aca="false">IF(OR(C1985="",M1985=""),"",C1985&amp;"|"&amp;COUNTIFS(C$3:C1985,C1985,M$3:M1985,"&lt;&gt;"))</f>
        <v/>
      </c>
    </row>
    <row r="1986" customFormat="false" ht="15" hidden="false" customHeight="false" outlineLevel="0" collapsed="false">
      <c r="B1986" s="7"/>
      <c r="C1986" s="5"/>
      <c r="D1986" s="9" t="str">
        <f aca="false">IF(C1986="","",IFERROR(VLOOKUP(C1986,EQUIPOS!$B$3:$C$18,2,0),"NO EXISTE"))</f>
        <v/>
      </c>
      <c r="E1986" s="9" t="str">
        <f aca="false">IF(C1986="","",IFERROR(VLOOKUP(C1986,EQUIPOS!$B$3:$F$18,5,0),""))</f>
        <v/>
      </c>
      <c r="F1986" s="5" t="str">
        <f aca="false">IF(C1986="","",IFERROR(VLOOKUP(C1986,EQUIPOS!$B$3:$G$18,6,0),""))</f>
        <v/>
      </c>
      <c r="G1986" s="8"/>
      <c r="H1986" s="5"/>
      <c r="I1986" s="5"/>
      <c r="J1986" s="9"/>
      <c r="K1986" s="17" t="str">
        <f aca="false">IF(H1986="","",IFERROR(SUMIFS(BD_PLAN!$I$3:$I$312,BD_PLAN!$B$3:$B$312,E1986,BD_PLAN!$C$3:$C$312,INDEX(BD_CICLO!$F$3:$F$54,MATCH(E1986&amp;"|"&amp;H1986,BD_CICLO!$G$3:$G$54,0))),""))</f>
        <v/>
      </c>
      <c r="L1986" s="9"/>
      <c r="M1986" s="9"/>
      <c r="N1986" s="1" t="str">
        <f aca="false">IF(C1986="","",C1986&amp;"|"&amp;COUNTIF(C$3:C1986,C1986))</f>
        <v/>
      </c>
      <c r="O1986" s="1" t="str">
        <f aca="false">IF(OR(C1986="",M1986=""),"",C1986&amp;"|"&amp;COUNTIFS(C$3:C1986,C1986,M$3:M1986,"&lt;&gt;"))</f>
        <v/>
      </c>
    </row>
    <row r="1987" customFormat="false" ht="15" hidden="false" customHeight="false" outlineLevel="0" collapsed="false">
      <c r="B1987" s="7"/>
      <c r="C1987" s="5"/>
      <c r="D1987" s="9" t="str">
        <f aca="false">IF(C1987="","",IFERROR(VLOOKUP(C1987,EQUIPOS!$B$3:$C$18,2,0),"NO EXISTE"))</f>
        <v/>
      </c>
      <c r="E1987" s="9" t="str">
        <f aca="false">IF(C1987="","",IFERROR(VLOOKUP(C1987,EQUIPOS!$B$3:$F$18,5,0),""))</f>
        <v/>
      </c>
      <c r="F1987" s="5" t="str">
        <f aca="false">IF(C1987="","",IFERROR(VLOOKUP(C1987,EQUIPOS!$B$3:$G$18,6,0),""))</f>
        <v/>
      </c>
      <c r="G1987" s="8"/>
      <c r="H1987" s="5"/>
      <c r="I1987" s="5"/>
      <c r="J1987" s="9"/>
      <c r="K1987" s="17" t="str">
        <f aca="false">IF(H1987="","",IFERROR(SUMIFS(BD_PLAN!$I$3:$I$312,BD_PLAN!$B$3:$B$312,E1987,BD_PLAN!$C$3:$C$312,INDEX(BD_CICLO!$F$3:$F$54,MATCH(E1987&amp;"|"&amp;H1987,BD_CICLO!$G$3:$G$54,0))),""))</f>
        <v/>
      </c>
      <c r="L1987" s="9"/>
      <c r="M1987" s="9"/>
      <c r="N1987" s="1" t="str">
        <f aca="false">IF(C1987="","",C1987&amp;"|"&amp;COUNTIF(C$3:C1987,C1987))</f>
        <v/>
      </c>
      <c r="O1987" s="1" t="str">
        <f aca="false">IF(OR(C1987="",M1987=""),"",C1987&amp;"|"&amp;COUNTIFS(C$3:C1987,C1987,M$3:M1987,"&lt;&gt;"))</f>
        <v/>
      </c>
    </row>
    <row r="1988" customFormat="false" ht="15" hidden="false" customHeight="false" outlineLevel="0" collapsed="false">
      <c r="B1988" s="7"/>
      <c r="C1988" s="5"/>
      <c r="D1988" s="9" t="str">
        <f aca="false">IF(C1988="","",IFERROR(VLOOKUP(C1988,EQUIPOS!$B$3:$C$18,2,0),"NO EXISTE"))</f>
        <v/>
      </c>
      <c r="E1988" s="9" t="str">
        <f aca="false">IF(C1988="","",IFERROR(VLOOKUP(C1988,EQUIPOS!$B$3:$F$18,5,0),""))</f>
        <v/>
      </c>
      <c r="F1988" s="5" t="str">
        <f aca="false">IF(C1988="","",IFERROR(VLOOKUP(C1988,EQUIPOS!$B$3:$G$18,6,0),""))</f>
        <v/>
      </c>
      <c r="G1988" s="8"/>
      <c r="H1988" s="5"/>
      <c r="I1988" s="5"/>
      <c r="J1988" s="9"/>
      <c r="K1988" s="17" t="str">
        <f aca="false">IF(H1988="","",IFERROR(SUMIFS(BD_PLAN!$I$3:$I$312,BD_PLAN!$B$3:$B$312,E1988,BD_PLAN!$C$3:$C$312,INDEX(BD_CICLO!$F$3:$F$54,MATCH(E1988&amp;"|"&amp;H1988,BD_CICLO!$G$3:$G$54,0))),""))</f>
        <v/>
      </c>
      <c r="L1988" s="9"/>
      <c r="M1988" s="9"/>
      <c r="N1988" s="1" t="str">
        <f aca="false">IF(C1988="","",C1988&amp;"|"&amp;COUNTIF(C$3:C1988,C1988))</f>
        <v/>
      </c>
      <c r="O1988" s="1" t="str">
        <f aca="false">IF(OR(C1988="",M1988=""),"",C1988&amp;"|"&amp;COUNTIFS(C$3:C1988,C1988,M$3:M1988,"&lt;&gt;"))</f>
        <v/>
      </c>
    </row>
    <row r="1989" customFormat="false" ht="15" hidden="false" customHeight="false" outlineLevel="0" collapsed="false">
      <c r="B1989" s="7"/>
      <c r="C1989" s="5"/>
      <c r="D1989" s="9" t="str">
        <f aca="false">IF(C1989="","",IFERROR(VLOOKUP(C1989,EQUIPOS!$B$3:$C$18,2,0),"NO EXISTE"))</f>
        <v/>
      </c>
      <c r="E1989" s="9" t="str">
        <f aca="false">IF(C1989="","",IFERROR(VLOOKUP(C1989,EQUIPOS!$B$3:$F$18,5,0),""))</f>
        <v/>
      </c>
      <c r="F1989" s="5" t="str">
        <f aca="false">IF(C1989="","",IFERROR(VLOOKUP(C1989,EQUIPOS!$B$3:$G$18,6,0),""))</f>
        <v/>
      </c>
      <c r="G1989" s="8"/>
      <c r="H1989" s="5"/>
      <c r="I1989" s="5"/>
      <c r="J1989" s="9"/>
      <c r="K1989" s="17" t="str">
        <f aca="false">IF(H1989="","",IFERROR(SUMIFS(BD_PLAN!$I$3:$I$312,BD_PLAN!$B$3:$B$312,E1989,BD_PLAN!$C$3:$C$312,INDEX(BD_CICLO!$F$3:$F$54,MATCH(E1989&amp;"|"&amp;H1989,BD_CICLO!$G$3:$G$54,0))),""))</f>
        <v/>
      </c>
      <c r="L1989" s="9"/>
      <c r="M1989" s="9"/>
      <c r="N1989" s="1" t="str">
        <f aca="false">IF(C1989="","",C1989&amp;"|"&amp;COUNTIF(C$3:C1989,C1989))</f>
        <v/>
      </c>
      <c r="O1989" s="1" t="str">
        <f aca="false">IF(OR(C1989="",M1989=""),"",C1989&amp;"|"&amp;COUNTIFS(C$3:C1989,C1989,M$3:M1989,"&lt;&gt;"))</f>
        <v/>
      </c>
    </row>
    <row r="1990" customFormat="false" ht="15" hidden="false" customHeight="false" outlineLevel="0" collapsed="false">
      <c r="B1990" s="7"/>
      <c r="C1990" s="5"/>
      <c r="D1990" s="9" t="str">
        <f aca="false">IF(C1990="","",IFERROR(VLOOKUP(C1990,EQUIPOS!$B$3:$C$18,2,0),"NO EXISTE"))</f>
        <v/>
      </c>
      <c r="E1990" s="9" t="str">
        <f aca="false">IF(C1990="","",IFERROR(VLOOKUP(C1990,EQUIPOS!$B$3:$F$18,5,0),""))</f>
        <v/>
      </c>
      <c r="F1990" s="5" t="str">
        <f aca="false">IF(C1990="","",IFERROR(VLOOKUP(C1990,EQUIPOS!$B$3:$G$18,6,0),""))</f>
        <v/>
      </c>
      <c r="G1990" s="8"/>
      <c r="H1990" s="5"/>
      <c r="I1990" s="5"/>
      <c r="J1990" s="9"/>
      <c r="K1990" s="17" t="str">
        <f aca="false">IF(H1990="","",IFERROR(SUMIFS(BD_PLAN!$I$3:$I$312,BD_PLAN!$B$3:$B$312,E1990,BD_PLAN!$C$3:$C$312,INDEX(BD_CICLO!$F$3:$F$54,MATCH(E1990&amp;"|"&amp;H1990,BD_CICLO!$G$3:$G$54,0))),""))</f>
        <v/>
      </c>
      <c r="L1990" s="9"/>
      <c r="M1990" s="9"/>
      <c r="N1990" s="1" t="str">
        <f aca="false">IF(C1990="","",C1990&amp;"|"&amp;COUNTIF(C$3:C1990,C1990))</f>
        <v/>
      </c>
      <c r="O1990" s="1" t="str">
        <f aca="false">IF(OR(C1990="",M1990=""),"",C1990&amp;"|"&amp;COUNTIFS(C$3:C1990,C1990,M$3:M1990,"&lt;&gt;"))</f>
        <v/>
      </c>
    </row>
    <row r="1991" customFormat="false" ht="15" hidden="false" customHeight="false" outlineLevel="0" collapsed="false">
      <c r="B1991" s="7"/>
      <c r="C1991" s="5"/>
      <c r="D1991" s="9" t="str">
        <f aca="false">IF(C1991="","",IFERROR(VLOOKUP(C1991,EQUIPOS!$B$3:$C$18,2,0),"NO EXISTE"))</f>
        <v/>
      </c>
      <c r="E1991" s="9" t="str">
        <f aca="false">IF(C1991="","",IFERROR(VLOOKUP(C1991,EQUIPOS!$B$3:$F$18,5,0),""))</f>
        <v/>
      </c>
      <c r="F1991" s="5" t="str">
        <f aca="false">IF(C1991="","",IFERROR(VLOOKUP(C1991,EQUIPOS!$B$3:$G$18,6,0),""))</f>
        <v/>
      </c>
      <c r="G1991" s="8"/>
      <c r="H1991" s="5"/>
      <c r="I1991" s="5"/>
      <c r="J1991" s="9"/>
      <c r="K1991" s="17" t="str">
        <f aca="false">IF(H1991="","",IFERROR(SUMIFS(BD_PLAN!$I$3:$I$312,BD_PLAN!$B$3:$B$312,E1991,BD_PLAN!$C$3:$C$312,INDEX(BD_CICLO!$F$3:$F$54,MATCH(E1991&amp;"|"&amp;H1991,BD_CICLO!$G$3:$G$54,0))),""))</f>
        <v/>
      </c>
      <c r="L1991" s="9"/>
      <c r="M1991" s="9"/>
      <c r="N1991" s="1" t="str">
        <f aca="false">IF(C1991="","",C1991&amp;"|"&amp;COUNTIF(C$3:C1991,C1991))</f>
        <v/>
      </c>
      <c r="O1991" s="1" t="str">
        <f aca="false">IF(OR(C1991="",M1991=""),"",C1991&amp;"|"&amp;COUNTIFS(C$3:C1991,C1991,M$3:M1991,"&lt;&gt;"))</f>
        <v/>
      </c>
    </row>
    <row r="1992" customFormat="false" ht="15" hidden="false" customHeight="false" outlineLevel="0" collapsed="false">
      <c r="B1992" s="7"/>
      <c r="C1992" s="5"/>
      <c r="D1992" s="9" t="str">
        <f aca="false">IF(C1992="","",IFERROR(VLOOKUP(C1992,EQUIPOS!$B$3:$C$18,2,0),"NO EXISTE"))</f>
        <v/>
      </c>
      <c r="E1992" s="9" t="str">
        <f aca="false">IF(C1992="","",IFERROR(VLOOKUP(C1992,EQUIPOS!$B$3:$F$18,5,0),""))</f>
        <v/>
      </c>
      <c r="F1992" s="5" t="str">
        <f aca="false">IF(C1992="","",IFERROR(VLOOKUP(C1992,EQUIPOS!$B$3:$G$18,6,0),""))</f>
        <v/>
      </c>
      <c r="G1992" s="8"/>
      <c r="H1992" s="5"/>
      <c r="I1992" s="5"/>
      <c r="J1992" s="9"/>
      <c r="K1992" s="17" t="str">
        <f aca="false">IF(H1992="","",IFERROR(SUMIFS(BD_PLAN!$I$3:$I$312,BD_PLAN!$B$3:$B$312,E1992,BD_PLAN!$C$3:$C$312,INDEX(BD_CICLO!$F$3:$F$54,MATCH(E1992&amp;"|"&amp;H1992,BD_CICLO!$G$3:$G$54,0))),""))</f>
        <v/>
      </c>
      <c r="L1992" s="9"/>
      <c r="M1992" s="9"/>
      <c r="N1992" s="1" t="str">
        <f aca="false">IF(C1992="","",C1992&amp;"|"&amp;COUNTIF(C$3:C1992,C1992))</f>
        <v/>
      </c>
      <c r="O1992" s="1" t="str">
        <f aca="false">IF(OR(C1992="",M1992=""),"",C1992&amp;"|"&amp;COUNTIFS(C$3:C1992,C1992,M$3:M1992,"&lt;&gt;"))</f>
        <v/>
      </c>
    </row>
    <row r="1993" customFormat="false" ht="15" hidden="false" customHeight="false" outlineLevel="0" collapsed="false">
      <c r="B1993" s="7"/>
      <c r="C1993" s="5"/>
      <c r="D1993" s="9" t="str">
        <f aca="false">IF(C1993="","",IFERROR(VLOOKUP(C1993,EQUIPOS!$B$3:$C$18,2,0),"NO EXISTE"))</f>
        <v/>
      </c>
      <c r="E1993" s="9" t="str">
        <f aca="false">IF(C1993="","",IFERROR(VLOOKUP(C1993,EQUIPOS!$B$3:$F$18,5,0),""))</f>
        <v/>
      </c>
      <c r="F1993" s="5" t="str">
        <f aca="false">IF(C1993="","",IFERROR(VLOOKUP(C1993,EQUIPOS!$B$3:$G$18,6,0),""))</f>
        <v/>
      </c>
      <c r="G1993" s="8"/>
      <c r="H1993" s="5"/>
      <c r="I1993" s="5"/>
      <c r="J1993" s="9"/>
      <c r="K1993" s="17" t="str">
        <f aca="false">IF(H1993="","",IFERROR(SUMIFS(BD_PLAN!$I$3:$I$312,BD_PLAN!$B$3:$B$312,E1993,BD_PLAN!$C$3:$C$312,INDEX(BD_CICLO!$F$3:$F$54,MATCH(E1993&amp;"|"&amp;H1993,BD_CICLO!$G$3:$G$54,0))),""))</f>
        <v/>
      </c>
      <c r="L1993" s="9"/>
      <c r="M1993" s="9"/>
      <c r="N1993" s="1" t="str">
        <f aca="false">IF(C1993="","",C1993&amp;"|"&amp;COUNTIF(C$3:C1993,C1993))</f>
        <v/>
      </c>
      <c r="O1993" s="1" t="str">
        <f aca="false">IF(OR(C1993="",M1993=""),"",C1993&amp;"|"&amp;COUNTIFS(C$3:C1993,C1993,M$3:M1993,"&lt;&gt;"))</f>
        <v/>
      </c>
    </row>
    <row r="1994" customFormat="false" ht="15" hidden="false" customHeight="false" outlineLevel="0" collapsed="false">
      <c r="B1994" s="7"/>
      <c r="C1994" s="5"/>
      <c r="D1994" s="9" t="str">
        <f aca="false">IF(C1994="","",IFERROR(VLOOKUP(C1994,EQUIPOS!$B$3:$C$18,2,0),"NO EXISTE"))</f>
        <v/>
      </c>
      <c r="E1994" s="9" t="str">
        <f aca="false">IF(C1994="","",IFERROR(VLOOKUP(C1994,EQUIPOS!$B$3:$F$18,5,0),""))</f>
        <v/>
      </c>
      <c r="F1994" s="5" t="str">
        <f aca="false">IF(C1994="","",IFERROR(VLOOKUP(C1994,EQUIPOS!$B$3:$G$18,6,0),""))</f>
        <v/>
      </c>
      <c r="G1994" s="8"/>
      <c r="H1994" s="5"/>
      <c r="I1994" s="5"/>
      <c r="J1994" s="9"/>
      <c r="K1994" s="17" t="str">
        <f aca="false">IF(H1994="","",IFERROR(SUMIFS(BD_PLAN!$I$3:$I$312,BD_PLAN!$B$3:$B$312,E1994,BD_PLAN!$C$3:$C$312,INDEX(BD_CICLO!$F$3:$F$54,MATCH(E1994&amp;"|"&amp;H1994,BD_CICLO!$G$3:$G$54,0))),""))</f>
        <v/>
      </c>
      <c r="L1994" s="9"/>
      <c r="M1994" s="9"/>
      <c r="N1994" s="1" t="str">
        <f aca="false">IF(C1994="","",C1994&amp;"|"&amp;COUNTIF(C$3:C1994,C1994))</f>
        <v/>
      </c>
      <c r="O1994" s="1" t="str">
        <f aca="false">IF(OR(C1994="",M1994=""),"",C1994&amp;"|"&amp;COUNTIFS(C$3:C1994,C1994,M$3:M1994,"&lt;&gt;"))</f>
        <v/>
      </c>
    </row>
    <row r="1995" customFormat="false" ht="15" hidden="false" customHeight="false" outlineLevel="0" collapsed="false">
      <c r="B1995" s="7"/>
      <c r="C1995" s="5"/>
      <c r="D1995" s="9" t="str">
        <f aca="false">IF(C1995="","",IFERROR(VLOOKUP(C1995,EQUIPOS!$B$3:$C$18,2,0),"NO EXISTE"))</f>
        <v/>
      </c>
      <c r="E1995" s="9" t="str">
        <f aca="false">IF(C1995="","",IFERROR(VLOOKUP(C1995,EQUIPOS!$B$3:$F$18,5,0),""))</f>
        <v/>
      </c>
      <c r="F1995" s="5" t="str">
        <f aca="false">IF(C1995="","",IFERROR(VLOOKUP(C1995,EQUIPOS!$B$3:$G$18,6,0),""))</f>
        <v/>
      </c>
      <c r="G1995" s="8"/>
      <c r="H1995" s="5"/>
      <c r="I1995" s="5"/>
      <c r="J1995" s="9"/>
      <c r="K1995" s="17" t="str">
        <f aca="false">IF(H1995="","",IFERROR(SUMIFS(BD_PLAN!$I$3:$I$312,BD_PLAN!$B$3:$B$312,E1995,BD_PLAN!$C$3:$C$312,INDEX(BD_CICLO!$F$3:$F$54,MATCH(E1995&amp;"|"&amp;H1995,BD_CICLO!$G$3:$G$54,0))),""))</f>
        <v/>
      </c>
      <c r="L1995" s="9"/>
      <c r="M1995" s="9"/>
      <c r="N1995" s="1" t="str">
        <f aca="false">IF(C1995="","",C1995&amp;"|"&amp;COUNTIF(C$3:C1995,C1995))</f>
        <v/>
      </c>
      <c r="O1995" s="1" t="str">
        <f aca="false">IF(OR(C1995="",M1995=""),"",C1995&amp;"|"&amp;COUNTIFS(C$3:C1995,C1995,M$3:M1995,"&lt;&gt;"))</f>
        <v/>
      </c>
    </row>
    <row r="1996" customFormat="false" ht="15" hidden="false" customHeight="false" outlineLevel="0" collapsed="false">
      <c r="B1996" s="7"/>
      <c r="C1996" s="5"/>
      <c r="D1996" s="9" t="str">
        <f aca="false">IF(C1996="","",IFERROR(VLOOKUP(C1996,EQUIPOS!$B$3:$C$18,2,0),"NO EXISTE"))</f>
        <v/>
      </c>
      <c r="E1996" s="9" t="str">
        <f aca="false">IF(C1996="","",IFERROR(VLOOKUP(C1996,EQUIPOS!$B$3:$F$18,5,0),""))</f>
        <v/>
      </c>
      <c r="F1996" s="5" t="str">
        <f aca="false">IF(C1996="","",IFERROR(VLOOKUP(C1996,EQUIPOS!$B$3:$G$18,6,0),""))</f>
        <v/>
      </c>
      <c r="G1996" s="8"/>
      <c r="H1996" s="5"/>
      <c r="I1996" s="5"/>
      <c r="J1996" s="9"/>
      <c r="K1996" s="17" t="str">
        <f aca="false">IF(H1996="","",IFERROR(SUMIFS(BD_PLAN!$I$3:$I$312,BD_PLAN!$B$3:$B$312,E1996,BD_PLAN!$C$3:$C$312,INDEX(BD_CICLO!$F$3:$F$54,MATCH(E1996&amp;"|"&amp;H1996,BD_CICLO!$G$3:$G$54,0))),""))</f>
        <v/>
      </c>
      <c r="L1996" s="9"/>
      <c r="M1996" s="9"/>
      <c r="N1996" s="1" t="str">
        <f aca="false">IF(C1996="","",C1996&amp;"|"&amp;COUNTIF(C$3:C1996,C1996))</f>
        <v/>
      </c>
      <c r="O1996" s="1" t="str">
        <f aca="false">IF(OR(C1996="",M1996=""),"",C1996&amp;"|"&amp;COUNTIFS(C$3:C1996,C1996,M$3:M1996,"&lt;&gt;"))</f>
        <v/>
      </c>
    </row>
    <row r="1997" customFormat="false" ht="15" hidden="false" customHeight="false" outlineLevel="0" collapsed="false">
      <c r="B1997" s="7"/>
      <c r="C1997" s="5"/>
      <c r="D1997" s="9" t="str">
        <f aca="false">IF(C1997="","",IFERROR(VLOOKUP(C1997,EQUIPOS!$B$3:$C$18,2,0),"NO EXISTE"))</f>
        <v/>
      </c>
      <c r="E1997" s="9" t="str">
        <f aca="false">IF(C1997="","",IFERROR(VLOOKUP(C1997,EQUIPOS!$B$3:$F$18,5,0),""))</f>
        <v/>
      </c>
      <c r="F1997" s="5" t="str">
        <f aca="false">IF(C1997="","",IFERROR(VLOOKUP(C1997,EQUIPOS!$B$3:$G$18,6,0),""))</f>
        <v/>
      </c>
      <c r="G1997" s="8"/>
      <c r="H1997" s="5"/>
      <c r="I1997" s="5"/>
      <c r="J1997" s="9"/>
      <c r="K1997" s="17" t="str">
        <f aca="false">IF(H1997="","",IFERROR(SUMIFS(BD_PLAN!$I$3:$I$312,BD_PLAN!$B$3:$B$312,E1997,BD_PLAN!$C$3:$C$312,INDEX(BD_CICLO!$F$3:$F$54,MATCH(E1997&amp;"|"&amp;H1997,BD_CICLO!$G$3:$G$54,0))),""))</f>
        <v/>
      </c>
      <c r="L1997" s="9"/>
      <c r="M1997" s="9"/>
      <c r="N1997" s="1" t="str">
        <f aca="false">IF(C1997="","",C1997&amp;"|"&amp;COUNTIF(C$3:C1997,C1997))</f>
        <v/>
      </c>
      <c r="O1997" s="1" t="str">
        <f aca="false">IF(OR(C1997="",M1997=""),"",C1997&amp;"|"&amp;COUNTIFS(C$3:C1997,C1997,M$3:M1997,"&lt;&gt;"))</f>
        <v/>
      </c>
    </row>
    <row r="1998" customFormat="false" ht="15" hidden="false" customHeight="false" outlineLevel="0" collapsed="false">
      <c r="B1998" s="7"/>
      <c r="C1998" s="5"/>
      <c r="D1998" s="9" t="str">
        <f aca="false">IF(C1998="","",IFERROR(VLOOKUP(C1998,EQUIPOS!$B$3:$C$18,2,0),"NO EXISTE"))</f>
        <v/>
      </c>
      <c r="E1998" s="9" t="str">
        <f aca="false">IF(C1998="","",IFERROR(VLOOKUP(C1998,EQUIPOS!$B$3:$F$18,5,0),""))</f>
        <v/>
      </c>
      <c r="F1998" s="5" t="str">
        <f aca="false">IF(C1998="","",IFERROR(VLOOKUP(C1998,EQUIPOS!$B$3:$G$18,6,0),""))</f>
        <v/>
      </c>
      <c r="G1998" s="8"/>
      <c r="H1998" s="5"/>
      <c r="I1998" s="5"/>
      <c r="J1998" s="9"/>
      <c r="K1998" s="17" t="str">
        <f aca="false">IF(H1998="","",IFERROR(SUMIFS(BD_PLAN!$I$3:$I$312,BD_PLAN!$B$3:$B$312,E1998,BD_PLAN!$C$3:$C$312,INDEX(BD_CICLO!$F$3:$F$54,MATCH(E1998&amp;"|"&amp;H1998,BD_CICLO!$G$3:$G$54,0))),""))</f>
        <v/>
      </c>
      <c r="L1998" s="9"/>
      <c r="M1998" s="9"/>
      <c r="N1998" s="1" t="str">
        <f aca="false">IF(C1998="","",C1998&amp;"|"&amp;COUNTIF(C$3:C1998,C1998))</f>
        <v/>
      </c>
      <c r="O1998" s="1" t="str">
        <f aca="false">IF(OR(C1998="",M1998=""),"",C1998&amp;"|"&amp;COUNTIFS(C$3:C1998,C1998,M$3:M1998,"&lt;&gt;"))</f>
        <v/>
      </c>
    </row>
    <row r="1999" customFormat="false" ht="15" hidden="false" customHeight="false" outlineLevel="0" collapsed="false">
      <c r="B1999" s="7"/>
      <c r="C1999" s="5"/>
      <c r="D1999" s="9" t="str">
        <f aca="false">IF(C1999="","",IFERROR(VLOOKUP(C1999,EQUIPOS!$B$3:$C$18,2,0),"NO EXISTE"))</f>
        <v/>
      </c>
      <c r="E1999" s="9" t="str">
        <f aca="false">IF(C1999="","",IFERROR(VLOOKUP(C1999,EQUIPOS!$B$3:$F$18,5,0),""))</f>
        <v/>
      </c>
      <c r="F1999" s="5" t="str">
        <f aca="false">IF(C1999="","",IFERROR(VLOOKUP(C1999,EQUIPOS!$B$3:$G$18,6,0),""))</f>
        <v/>
      </c>
      <c r="G1999" s="8"/>
      <c r="H1999" s="5"/>
      <c r="I1999" s="5"/>
      <c r="J1999" s="9"/>
      <c r="K1999" s="17" t="str">
        <f aca="false">IF(H1999="","",IFERROR(SUMIFS(BD_PLAN!$I$3:$I$312,BD_PLAN!$B$3:$B$312,E1999,BD_PLAN!$C$3:$C$312,INDEX(BD_CICLO!$F$3:$F$54,MATCH(E1999&amp;"|"&amp;H1999,BD_CICLO!$G$3:$G$54,0))),""))</f>
        <v/>
      </c>
      <c r="L1999" s="9"/>
      <c r="M1999" s="9"/>
      <c r="N1999" s="1" t="str">
        <f aca="false">IF(C1999="","",C1999&amp;"|"&amp;COUNTIF(C$3:C1999,C1999))</f>
        <v/>
      </c>
      <c r="O1999" s="1" t="str">
        <f aca="false">IF(OR(C1999="",M1999=""),"",C1999&amp;"|"&amp;COUNTIFS(C$3:C1999,C1999,M$3:M1999,"&lt;&gt;"))</f>
        <v/>
      </c>
    </row>
    <row r="2000" customFormat="false" ht="15" hidden="false" customHeight="false" outlineLevel="0" collapsed="false">
      <c r="B2000" s="7"/>
      <c r="C2000" s="5"/>
      <c r="D2000" s="9" t="str">
        <f aca="false">IF(C2000="","",IFERROR(VLOOKUP(C2000,EQUIPOS!$B$3:$C$18,2,0),"NO EXISTE"))</f>
        <v/>
      </c>
      <c r="E2000" s="9" t="str">
        <f aca="false">IF(C2000="","",IFERROR(VLOOKUP(C2000,EQUIPOS!$B$3:$F$18,5,0),""))</f>
        <v/>
      </c>
      <c r="F2000" s="5" t="str">
        <f aca="false">IF(C2000="","",IFERROR(VLOOKUP(C2000,EQUIPOS!$B$3:$G$18,6,0),""))</f>
        <v/>
      </c>
      <c r="G2000" s="8"/>
      <c r="H2000" s="5"/>
      <c r="I2000" s="5"/>
      <c r="J2000" s="9"/>
      <c r="K2000" s="17" t="str">
        <f aca="false">IF(H2000="","",IFERROR(SUMIFS(BD_PLAN!$I$3:$I$312,BD_PLAN!$B$3:$B$312,E2000,BD_PLAN!$C$3:$C$312,INDEX(BD_CICLO!$F$3:$F$54,MATCH(E2000&amp;"|"&amp;H2000,BD_CICLO!$G$3:$G$54,0))),""))</f>
        <v/>
      </c>
      <c r="L2000" s="9"/>
      <c r="M2000" s="9"/>
      <c r="N2000" s="1" t="str">
        <f aca="false">IF(C2000="","",C2000&amp;"|"&amp;COUNTIF(C$3:C2000,C2000))</f>
        <v/>
      </c>
      <c r="O2000" s="1" t="str">
        <f aca="false">IF(OR(C2000="",M2000=""),"",C2000&amp;"|"&amp;COUNTIFS(C$3:C2000,C2000,M$3:M2000,"&lt;&gt;"))</f>
        <v/>
      </c>
    </row>
    <row r="2001" customFormat="false" ht="15" hidden="false" customHeight="false" outlineLevel="0" collapsed="false">
      <c r="B2001" s="7"/>
      <c r="C2001" s="5"/>
      <c r="D2001" s="9" t="str">
        <f aca="false">IF(C2001="","",IFERROR(VLOOKUP(C2001,EQUIPOS!$B$3:$C$18,2,0),"NO EXISTE"))</f>
        <v/>
      </c>
      <c r="E2001" s="9" t="str">
        <f aca="false">IF(C2001="","",IFERROR(VLOOKUP(C2001,EQUIPOS!$B$3:$F$18,5,0),""))</f>
        <v/>
      </c>
      <c r="F2001" s="5" t="str">
        <f aca="false">IF(C2001="","",IFERROR(VLOOKUP(C2001,EQUIPOS!$B$3:$G$18,6,0),""))</f>
        <v/>
      </c>
      <c r="G2001" s="8"/>
      <c r="H2001" s="5"/>
      <c r="I2001" s="5"/>
      <c r="J2001" s="9"/>
      <c r="K2001" s="17" t="str">
        <f aca="false">IF(H2001="","",IFERROR(SUMIFS(BD_PLAN!$I$3:$I$312,BD_PLAN!$B$3:$B$312,E2001,BD_PLAN!$C$3:$C$312,INDEX(BD_CICLO!$F$3:$F$54,MATCH(E2001&amp;"|"&amp;H2001,BD_CICLO!$G$3:$G$54,0))),""))</f>
        <v/>
      </c>
      <c r="L2001" s="9"/>
      <c r="M2001" s="9"/>
      <c r="N2001" s="1" t="str">
        <f aca="false">IF(C2001="","",C2001&amp;"|"&amp;COUNTIF(C$3:C2001,C2001))</f>
        <v/>
      </c>
      <c r="O2001" s="1" t="str">
        <f aca="false">IF(OR(C2001="",M2001=""),"",C2001&amp;"|"&amp;COUNTIFS(C$3:C2001,C2001,M$3:M2001,"&lt;&gt;"))</f>
        <v/>
      </c>
    </row>
    <row r="2002" customFormat="false" ht="15" hidden="false" customHeight="false" outlineLevel="0" collapsed="false">
      <c r="B2002" s="7"/>
      <c r="C2002" s="5"/>
      <c r="D2002" s="9" t="str">
        <f aca="false">IF(C2002="","",IFERROR(VLOOKUP(C2002,EQUIPOS!$B$3:$C$18,2,0),"NO EXISTE"))</f>
        <v/>
      </c>
      <c r="E2002" s="9" t="str">
        <f aca="false">IF(C2002="","",IFERROR(VLOOKUP(C2002,EQUIPOS!$B$3:$F$18,5,0),""))</f>
        <v/>
      </c>
      <c r="F2002" s="5" t="str">
        <f aca="false">IF(C2002="","",IFERROR(VLOOKUP(C2002,EQUIPOS!$B$3:$G$18,6,0),""))</f>
        <v/>
      </c>
      <c r="G2002" s="8"/>
      <c r="H2002" s="5"/>
      <c r="I2002" s="5"/>
      <c r="J2002" s="9"/>
      <c r="K2002" s="17" t="str">
        <f aca="false">IF(H2002="","",IFERROR(SUMIFS(BD_PLAN!$I$3:$I$312,BD_PLAN!$B$3:$B$312,E2002,BD_PLAN!$C$3:$C$312,INDEX(BD_CICLO!$F$3:$F$54,MATCH(E2002&amp;"|"&amp;H2002,BD_CICLO!$G$3:$G$54,0))),""))</f>
        <v/>
      </c>
      <c r="L2002" s="9"/>
      <c r="M2002" s="9"/>
      <c r="N2002" s="1" t="str">
        <f aca="false">IF(C2002="","",C2002&amp;"|"&amp;COUNTIF(C$3:C2002,C2002))</f>
        <v/>
      </c>
      <c r="O2002" s="1" t="str">
        <f aca="false">IF(OR(C2002="",M2002=""),"",C2002&amp;"|"&amp;COUNTIFS(C$3:C2002,C2002,M$3:M2002,"&lt;&gt;"))</f>
        <v/>
      </c>
    </row>
  </sheetData>
  <autoFilter ref="B2:M2002"/>
  <dataValidations count="3">
    <dataValidation allowBlank="true" errorStyle="stop" operator="between" showDropDown="false" showErrorMessage="false" showInputMessage="false" sqref="C3:C2002" type="list">
      <formula1>EQUIPOS!$B$3:$B$18</formula1>
      <formula2>0</formula2>
    </dataValidation>
    <dataValidation allowBlank="true" errorStyle="stop" operator="between" showDropDown="false" showErrorMessage="false" showInputMessage="false" sqref="H3:H2002" type="list">
      <formula1>OFFSET(BD_CICLO!$D$1,MATCH($E3,BD_CICLO!$B:$B,0)-1,0,COUNTIF(BD_CICLO!$B:$B,$E3),1)</formula1>
      <formula2>0</formula2>
    </dataValidation>
    <dataValidation allowBlank="true" errorStyle="stop" operator="greaterThan" showDropDown="false" showErrorMessage="false" showInputMessage="false" sqref="B3:B2002" type="date">
      <formula1>36526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T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"/>
    <col collapsed="false" customWidth="true" hidden="false" outlineLevel="0" max="3" min="3" style="0" width="58"/>
    <col collapsed="false" customWidth="true" hidden="false" outlineLevel="0" max="4" min="4" style="0" width="15"/>
    <col collapsed="false" customWidth="true" hidden="false" outlineLevel="0" max="5" min="5" style="0" width="11"/>
    <col collapsed="false" customWidth="true" hidden="false" outlineLevel="0" max="6" min="6" style="0" width="34"/>
    <col collapsed="false" customWidth="true" hidden="false" outlineLevel="0" max="8" min="7" style="0" width="10"/>
    <col collapsed="false" customWidth="true" hidden="false" outlineLevel="0" max="10" min="9" style="0" width="12"/>
    <col collapsed="false" customWidth="true" hidden="false" outlineLevel="0" max="11" min="11" style="0" width="22"/>
    <col collapsed="false" customWidth="true" hidden="false" outlineLevel="0" max="13" min="12" style="0" width="12"/>
    <col collapsed="false" customWidth="true" hidden="false" outlineLevel="0" max="14" min="14" style="0" width="22"/>
    <col collapsed="false" customWidth="true" hidden="false" outlineLevel="0" max="15" min="15" style="0" width="12"/>
    <col collapsed="false" customWidth="true" hidden="false" outlineLevel="0" max="16" min="16" style="0" width="10"/>
    <col collapsed="false" customWidth="true" hidden="false" outlineLevel="0" max="17" min="17" style="0" width="14"/>
    <col collapsed="false" customWidth="true" hidden="true" outlineLevel="0" max="18" min="18" style="0" width="9"/>
    <col collapsed="false" customWidth="true" hidden="true" outlineLevel="0" max="19" min="19" style="0" width="8"/>
    <col collapsed="false" customWidth="true" hidden="false" outlineLevel="0" max="20" min="20" style="0" width="70"/>
  </cols>
  <sheetData>
    <row r="2" customFormat="false" ht="23.85" hidden="false" customHeight="false" outlineLevel="0" collapsed="false">
      <c r="B2" s="3" t="s">
        <v>3</v>
      </c>
      <c r="C2" s="3" t="s">
        <v>27</v>
      </c>
      <c r="D2" s="3" t="s">
        <v>7</v>
      </c>
      <c r="E2" s="3" t="s">
        <v>11</v>
      </c>
      <c r="F2" s="3" t="s">
        <v>15</v>
      </c>
      <c r="G2" s="3" t="s">
        <v>4</v>
      </c>
      <c r="H2" s="3" t="s">
        <v>8</v>
      </c>
      <c r="I2" s="3" t="s">
        <v>12</v>
      </c>
      <c r="J2" s="3" t="s">
        <v>16</v>
      </c>
      <c r="K2" s="3" t="s">
        <v>59</v>
      </c>
      <c r="L2" s="3" t="s">
        <v>9</v>
      </c>
      <c r="M2" s="3" t="s">
        <v>13</v>
      </c>
      <c r="N2" s="3" t="s">
        <v>60</v>
      </c>
      <c r="O2" s="3" t="s">
        <v>10</v>
      </c>
      <c r="P2" s="3" t="s">
        <v>14</v>
      </c>
      <c r="Q2" s="3" t="s">
        <v>17</v>
      </c>
      <c r="R2" s="3" t="s">
        <v>61</v>
      </c>
      <c r="S2" s="3" t="s">
        <v>62</v>
      </c>
      <c r="T2" s="3" t="s">
        <v>63</v>
      </c>
    </row>
    <row r="3" customFormat="false" ht="15" hidden="false" customHeight="false" outlineLevel="0" collapsed="false">
      <c r="B3" s="5" t="s">
        <v>64</v>
      </c>
      <c r="C3" s="9" t="s">
        <v>65</v>
      </c>
      <c r="D3" s="5" t="s">
        <v>66</v>
      </c>
      <c r="E3" s="5" t="s">
        <v>67</v>
      </c>
      <c r="F3" s="9" t="s">
        <v>68</v>
      </c>
      <c r="G3" s="5" t="s">
        <v>69</v>
      </c>
      <c r="H3" s="5" t="n">
        <v>1000</v>
      </c>
      <c r="I3" s="8"/>
      <c r="J3" s="7"/>
      <c r="K3" s="5" t="str">
        <f aca="false">IF(R3=0,"SIN REGISTRO",INDEX(REGISTRO!H:H,R3))</f>
        <v>SIN REGISTRO</v>
      </c>
      <c r="L3" s="7" t="str">
        <f aca="false">IF(R3=0,"",INDEX(REGISTRO!B:B,R3))</f>
        <v/>
      </c>
      <c r="M3" s="8" t="str">
        <f aca="false">IF(OR(R3=0,G3="MESES"),"",INDEX(REGISTRO!G:G,R3))</f>
        <v/>
      </c>
      <c r="N3" s="5" t="str">
        <f aca="false">IFERROR(INDEX(BD_CICLO!$D$3:$D$54,MATCH(F3&amp;"|"&amp;(MOD(S3,COUNTIF(BD_CICLO!$B$3:$B$54,F3))+1),BD_CICLO!$H$3:$H$54,0)),"")</f>
        <v>PM1 - 1000 KM</v>
      </c>
      <c r="O3" s="8" t="str">
        <f aca="false">IF(R3=0,"",IF(G3="MESES",TEXT(EDATE(L3,H3),"dd/mm/yyyy"),M3+H3))</f>
        <v/>
      </c>
      <c r="P3" s="8" t="str">
        <f aca="true">IF(R3=0,"",IF(G3="MESES",EDATE(L3,H3)-TODAY(),O3-MAX(I3,M3)))</f>
        <v/>
      </c>
      <c r="Q3" s="5" t="str">
        <f aca="false">IF(R3=0,"SIN REGISTRO",IF(P3&lt;=0,"VENCIDO",IF(P3&lt;=IF(G3="MESES",15,H3*0.1),"PRÓXIMO","AL DÍA")))</f>
        <v>SIN REGISTRO</v>
      </c>
      <c r="R3" s="18" t="n">
        <f aca="false">IFERROR(MATCH(B3&amp;"|"&amp;COUNTIF(REGISTRO!$C$3:$C$2002,B3),REGISTRO!$N:$N,0),0)</f>
        <v>0</v>
      </c>
      <c r="S3" s="18" t="n">
        <f aca="false">IF(R3=0,0,IFERROR(INDEX(BD_CICLO!$C$3:$C$54,MATCH(F3&amp;"|"&amp;K3,BD_CICLO!$G$3:$G$54,0)),0))</f>
        <v>0</v>
      </c>
      <c r="T3" s="9" t="str">
        <f aca="false">B3&amp;" - "&amp;C3</f>
        <v>04101 - VL001- TRIMOTO MAVILA 1 - CAMPO</v>
      </c>
    </row>
    <row r="4" customFormat="false" ht="15" hidden="false" customHeight="false" outlineLevel="0" collapsed="false">
      <c r="B4" s="5" t="s">
        <v>70</v>
      </c>
      <c r="C4" s="9" t="s">
        <v>71</v>
      </c>
      <c r="D4" s="5" t="s">
        <v>72</v>
      </c>
      <c r="E4" s="5" t="s">
        <v>67</v>
      </c>
      <c r="F4" s="9" t="s">
        <v>68</v>
      </c>
      <c r="G4" s="5" t="s">
        <v>69</v>
      </c>
      <c r="H4" s="5" t="n">
        <v>1000</v>
      </c>
      <c r="I4" s="8"/>
      <c r="J4" s="7"/>
      <c r="K4" s="5" t="str">
        <f aca="false">IF(R4=0,"SIN REGISTRO",INDEX(REGISTRO!H:H,R4))</f>
        <v>SIN REGISTRO</v>
      </c>
      <c r="L4" s="7" t="str">
        <f aca="false">IF(R4=0,"",INDEX(REGISTRO!B:B,R4))</f>
        <v/>
      </c>
      <c r="M4" s="8" t="str">
        <f aca="false">IF(OR(R4=0,G4="MESES"),"",INDEX(REGISTRO!G:G,R4))</f>
        <v/>
      </c>
      <c r="N4" s="5" t="str">
        <f aca="false">IFERROR(INDEX(BD_CICLO!$D$3:$D$54,MATCH(F4&amp;"|"&amp;(MOD(S4,COUNTIF(BD_CICLO!$B$3:$B$54,F4))+1),BD_CICLO!$H$3:$H$54,0)),"")</f>
        <v>PM1 - 1000 KM</v>
      </c>
      <c r="O4" s="8" t="str">
        <f aca="false">IF(R4=0,"",IF(G4="MESES",TEXT(EDATE(L4,H4),"dd/mm/yyyy"),M4+H4))</f>
        <v/>
      </c>
      <c r="P4" s="8" t="str">
        <f aca="true">IF(R4=0,"",IF(G4="MESES",EDATE(L4,H4)-TODAY(),O4-MAX(I4,M4)))</f>
        <v/>
      </c>
      <c r="Q4" s="5" t="str">
        <f aca="false">IF(R4=0,"SIN REGISTRO",IF(P4&lt;=0,"VENCIDO",IF(P4&lt;=IF(G4="MESES",15,H4*0.1),"PRÓXIMO","AL DÍA")))</f>
        <v>SIN REGISTRO</v>
      </c>
      <c r="R4" s="18" t="n">
        <f aca="false">IFERROR(MATCH(B4&amp;"|"&amp;COUNTIF(REGISTRO!$C$3:$C$2002,B4),REGISTRO!$N:$N,0),0)</f>
        <v>0</v>
      </c>
      <c r="S4" s="18" t="n">
        <f aca="false">IF(R4=0,0,IFERROR(INDEX(BD_CICLO!$C$3:$C$54,MATCH(F4&amp;"|"&amp;K4,BD_CICLO!$G$3:$G$54,0)),0))</f>
        <v>0</v>
      </c>
      <c r="T4" s="9" t="str">
        <f aca="false">B4&amp;" - "&amp;C4</f>
        <v>04102 - VL002- TRIMOTO MAVILA 2 - CAMPO</v>
      </c>
    </row>
    <row r="5" customFormat="false" ht="15" hidden="false" customHeight="false" outlineLevel="0" collapsed="false">
      <c r="B5" s="5" t="s">
        <v>73</v>
      </c>
      <c r="C5" s="9" t="s">
        <v>74</v>
      </c>
      <c r="D5" s="5" t="s">
        <v>75</v>
      </c>
      <c r="E5" s="5" t="s">
        <v>67</v>
      </c>
      <c r="F5" s="9" t="s">
        <v>76</v>
      </c>
      <c r="G5" s="5" t="s">
        <v>69</v>
      </c>
      <c r="H5" s="5" t="n">
        <v>1000</v>
      </c>
      <c r="I5" s="8"/>
      <c r="J5" s="7"/>
      <c r="K5" s="5" t="str">
        <f aca="false">IF(R5=0,"SIN REGISTRO",INDEX(REGISTRO!H:H,R5))</f>
        <v>SIN REGISTRO</v>
      </c>
      <c r="L5" s="7" t="str">
        <f aca="false">IF(R5=0,"",INDEX(REGISTRO!B:B,R5))</f>
        <v/>
      </c>
      <c r="M5" s="8" t="str">
        <f aca="false">IF(OR(R5=0,G5="MESES"),"",INDEX(REGISTRO!G:G,R5))</f>
        <v/>
      </c>
      <c r="N5" s="5" t="str">
        <f aca="false">IFERROR(INDEX(BD_CICLO!$D$3:$D$54,MATCH(F5&amp;"|"&amp;(MOD(S5,COUNTIF(BD_CICLO!$B$3:$B$54,F5))+1),BD_CICLO!$H$3:$H$54,0)),"")</f>
        <v>PM1 - 1000 KM</v>
      </c>
      <c r="O5" s="8" t="str">
        <f aca="false">IF(R5=0,"",IF(G5="MESES",TEXT(EDATE(L5,H5),"dd/mm/yyyy"),M5+H5))</f>
        <v/>
      </c>
      <c r="P5" s="8" t="str">
        <f aca="true">IF(R5=0,"",IF(G5="MESES",EDATE(L5,H5)-TODAY(),O5-MAX(I5,M5)))</f>
        <v/>
      </c>
      <c r="Q5" s="5" t="str">
        <f aca="false">IF(R5=0,"SIN REGISTRO",IF(P5&lt;=0,"VENCIDO",IF(P5&lt;=IF(G5="MESES",15,H5*0.1),"PRÓXIMO","AL DÍA")))</f>
        <v>SIN REGISTRO</v>
      </c>
      <c r="R5" s="18" t="n">
        <f aca="false">IFERROR(MATCH(B5&amp;"|"&amp;COUNTIF(REGISTRO!$C$3:$C$2002,B5),REGISTRO!$N:$N,0),0)</f>
        <v>0</v>
      </c>
      <c r="S5" s="18" t="n">
        <f aca="false">IF(R5=0,0,IFERROR(INDEX(BD_CICLO!$C$3:$C$54,MATCH(F5&amp;"|"&amp;K5,BD_CICLO!$G$3:$G$54,0)),0))</f>
        <v>0</v>
      </c>
      <c r="T5" s="9" t="str">
        <f aca="false">B5&amp;" - "&amp;C5</f>
        <v>04103 - VL003- CUATRIMOTO HONDA TRX 250 N°1 - CAMPO</v>
      </c>
    </row>
    <row r="6" customFormat="false" ht="15" hidden="false" customHeight="false" outlineLevel="0" collapsed="false">
      <c r="B6" s="5" t="s">
        <v>77</v>
      </c>
      <c r="C6" s="9" t="s">
        <v>78</v>
      </c>
      <c r="D6" s="5" t="s">
        <v>20</v>
      </c>
      <c r="E6" s="5" t="s">
        <v>67</v>
      </c>
      <c r="F6" s="9" t="s">
        <v>79</v>
      </c>
      <c r="G6" s="5" t="s">
        <v>69</v>
      </c>
      <c r="H6" s="5" t="n">
        <v>1000</v>
      </c>
      <c r="I6" s="8"/>
      <c r="J6" s="7"/>
      <c r="K6" s="5" t="str">
        <f aca="false">IF(R6=0,"SIN REGISTRO",INDEX(REGISTRO!H:H,R6))</f>
        <v>SIN REGISTRO</v>
      </c>
      <c r="L6" s="7" t="str">
        <f aca="false">IF(R6=0,"",INDEX(REGISTRO!B:B,R6))</f>
        <v/>
      </c>
      <c r="M6" s="8" t="str">
        <f aca="false">IF(OR(R6=0,G6="MESES"),"",INDEX(REGISTRO!G:G,R6))</f>
        <v/>
      </c>
      <c r="N6" s="5" t="str">
        <f aca="false">IFERROR(INDEX(BD_CICLO!$D$3:$D$54,MATCH(F6&amp;"|"&amp;(MOD(S6,COUNTIF(BD_CICLO!$B$3:$B$54,F6))+1),BD_CICLO!$H$3:$H$54,0)),"")</f>
        <v>PM1 - 1000 KM</v>
      </c>
      <c r="O6" s="8" t="str">
        <f aca="false">IF(R6=0,"",IF(G6="MESES",TEXT(EDATE(L6,H6),"dd/mm/yyyy"),M6+H6))</f>
        <v/>
      </c>
      <c r="P6" s="8" t="str">
        <f aca="true">IF(R6=0,"",IF(G6="MESES",EDATE(L6,H6)-TODAY(),O6-MAX(I6,M6)))</f>
        <v/>
      </c>
      <c r="Q6" s="5" t="str">
        <f aca="false">IF(R6=0,"SIN REGISTRO",IF(P6&lt;=0,"VENCIDO",IF(P6&lt;=IF(G6="MESES",15,H6*0.1),"PRÓXIMO","AL DÍA")))</f>
        <v>SIN REGISTRO</v>
      </c>
      <c r="R6" s="18" t="n">
        <f aca="false">IFERROR(MATCH(B6&amp;"|"&amp;COUNTIF(REGISTRO!$C$3:$C$2002,B6),REGISTRO!$N:$N,0),0)</f>
        <v>0</v>
      </c>
      <c r="S6" s="18" t="n">
        <f aca="false">IF(R6=0,0,IFERROR(INDEX(BD_CICLO!$C$3:$C$54,MATCH(F6&amp;"|"&amp;K6,BD_CICLO!$G$3:$G$54,0)),0))</f>
        <v>0</v>
      </c>
      <c r="T6" s="9" t="str">
        <f aca="false">B6&amp;" - "&amp;C6</f>
        <v>04104 - VL004- CUATRIMOTO YAMAHA GRIZZLY 350 N°2 - PRODUCCION</v>
      </c>
    </row>
    <row r="7" customFormat="false" ht="15" hidden="false" customHeight="false" outlineLevel="0" collapsed="false">
      <c r="B7" s="5" t="s">
        <v>80</v>
      </c>
      <c r="C7" s="9" t="s">
        <v>81</v>
      </c>
      <c r="D7" s="5" t="s">
        <v>75</v>
      </c>
      <c r="E7" s="5" t="s">
        <v>67</v>
      </c>
      <c r="F7" s="9" t="s">
        <v>76</v>
      </c>
      <c r="G7" s="5" t="s">
        <v>69</v>
      </c>
      <c r="H7" s="5" t="n">
        <v>1000</v>
      </c>
      <c r="I7" s="8"/>
      <c r="J7" s="7"/>
      <c r="K7" s="5" t="str">
        <f aca="false">IF(R7=0,"SIN REGISTRO",INDEX(REGISTRO!H:H,R7))</f>
        <v>SIN REGISTRO</v>
      </c>
      <c r="L7" s="7" t="str">
        <f aca="false">IF(R7=0,"",INDEX(REGISTRO!B:B,R7))</f>
        <v/>
      </c>
      <c r="M7" s="8" t="str">
        <f aca="false">IF(OR(R7=0,G7="MESES"),"",INDEX(REGISTRO!G:G,R7))</f>
        <v/>
      </c>
      <c r="N7" s="5" t="str">
        <f aca="false">IFERROR(INDEX(BD_CICLO!$D$3:$D$54,MATCH(F7&amp;"|"&amp;(MOD(S7,COUNTIF(BD_CICLO!$B$3:$B$54,F7))+1),BD_CICLO!$H$3:$H$54,0)),"")</f>
        <v>PM1 - 1000 KM</v>
      </c>
      <c r="O7" s="8" t="str">
        <f aca="false">IF(R7=0,"",IF(G7="MESES",TEXT(EDATE(L7,H7),"dd/mm/yyyy"),M7+H7))</f>
        <v/>
      </c>
      <c r="P7" s="8" t="str">
        <f aca="true">IF(R7=0,"",IF(G7="MESES",EDATE(L7,H7)-TODAY(),O7-MAX(I7,M7)))</f>
        <v/>
      </c>
      <c r="Q7" s="5" t="str">
        <f aca="false">IF(R7=0,"SIN REGISTRO",IF(P7&lt;=0,"VENCIDO",IF(P7&lt;=IF(G7="MESES",15,H7*0.1),"PRÓXIMO","AL DÍA")))</f>
        <v>SIN REGISTRO</v>
      </c>
      <c r="R7" s="18" t="n">
        <f aca="false">IFERROR(MATCH(B7&amp;"|"&amp;COUNTIF(REGISTRO!$C$3:$C$2002,B7),REGISTRO!$N:$N,0),0)</f>
        <v>0</v>
      </c>
      <c r="S7" s="18" t="n">
        <f aca="false">IF(R7=0,0,IFERROR(INDEX(BD_CICLO!$C$3:$C$54,MATCH(F7&amp;"|"&amp;K7,BD_CICLO!$G$3:$G$54,0)),0))</f>
        <v>0</v>
      </c>
      <c r="T7" s="9" t="str">
        <f aca="false">B7&amp;" - "&amp;C7</f>
        <v>04105 - VL005- CUATRIMOTO HONDA TRX 250 N°3 - CAMPO</v>
      </c>
    </row>
    <row r="8" customFormat="false" ht="15" hidden="false" customHeight="false" outlineLevel="0" collapsed="false">
      <c r="B8" s="5" t="s">
        <v>82</v>
      </c>
      <c r="C8" s="9" t="s">
        <v>83</v>
      </c>
      <c r="D8" s="5" t="s">
        <v>72</v>
      </c>
      <c r="E8" s="5" t="s">
        <v>84</v>
      </c>
      <c r="F8" s="9" t="s">
        <v>85</v>
      </c>
      <c r="G8" s="5" t="s">
        <v>86</v>
      </c>
      <c r="H8" s="5" t="n">
        <v>250</v>
      </c>
      <c r="I8" s="8"/>
      <c r="J8" s="7"/>
      <c r="K8" s="5" t="str">
        <f aca="false">IF(R8=0,"SIN REGISTRO",INDEX(REGISTRO!H:H,R8))</f>
        <v>SIN REGISTRO</v>
      </c>
      <c r="L8" s="7" t="str">
        <f aca="false">IF(R8=0,"",INDEX(REGISTRO!B:B,R8))</f>
        <v/>
      </c>
      <c r="M8" s="8" t="str">
        <f aca="false">IF(OR(R8=0,G8="MESES"),"",INDEX(REGISTRO!G:G,R8))</f>
        <v/>
      </c>
      <c r="N8" s="5" t="str">
        <f aca="false">IFERROR(INDEX(BD_CICLO!$D$3:$D$54,MATCH(F8&amp;"|"&amp;(MOD(S8,COUNTIF(BD_CICLO!$B$3:$B$54,F8))+1),BD_CICLO!$H$3:$H$54,0)),"")</f>
        <v>PM1 - 250 HR</v>
      </c>
      <c r="O8" s="8" t="str">
        <f aca="false">IF(R8=0,"",IF(G8="MESES",TEXT(EDATE(L8,H8),"dd/mm/yyyy"),M8+H8))</f>
        <v/>
      </c>
      <c r="P8" s="8" t="str">
        <f aca="true">IF(R8=0,"",IF(G8="MESES",EDATE(L8,H8)-TODAY(),O8-MAX(I8,M8)))</f>
        <v/>
      </c>
      <c r="Q8" s="5" t="str">
        <f aca="false">IF(R8=0,"SIN REGISTRO",IF(P8&lt;=0,"VENCIDO",IF(P8&lt;=IF(G8="MESES",15,H8*0.1),"PRÓXIMO","AL DÍA")))</f>
        <v>SIN REGISTRO</v>
      </c>
      <c r="R8" s="18" t="n">
        <f aca="false">IFERROR(MATCH(B8&amp;"|"&amp;COUNTIF(REGISTRO!$C$3:$C$2002,B8),REGISTRO!$N:$N,0),0)</f>
        <v>0</v>
      </c>
      <c r="S8" s="18" t="n">
        <f aca="false">IF(R8=0,0,IFERROR(INDEX(BD_CICLO!$C$3:$C$54,MATCH(F8&amp;"|"&amp;K8,BD_CICLO!$G$3:$G$54,0)),0))</f>
        <v>0</v>
      </c>
      <c r="T8" s="9" t="str">
        <f aca="false">B8&amp;" - "&amp;C8</f>
        <v>05112 - IC 012- TRACTOR DE FUMIGACIÓN NEW HOLLAND TD90D - CAMPO</v>
      </c>
    </row>
    <row r="9" customFormat="false" ht="15" hidden="false" customHeight="false" outlineLevel="0" collapsed="false">
      <c r="B9" s="5" t="s">
        <v>87</v>
      </c>
      <c r="C9" s="9" t="s">
        <v>88</v>
      </c>
      <c r="D9" s="5" t="s">
        <v>89</v>
      </c>
      <c r="E9" s="5" t="s">
        <v>84</v>
      </c>
      <c r="F9" s="9" t="s">
        <v>90</v>
      </c>
      <c r="G9" s="5" t="s">
        <v>86</v>
      </c>
      <c r="H9" s="5" t="n">
        <v>100</v>
      </c>
      <c r="I9" s="8"/>
      <c r="J9" s="7"/>
      <c r="K9" s="5" t="str">
        <f aca="false">IF(R9=0,"SIN REGISTRO",INDEX(REGISTRO!H:H,R9))</f>
        <v>SIN REGISTRO</v>
      </c>
      <c r="L9" s="7" t="str">
        <f aca="false">IF(R9=0,"",INDEX(REGISTRO!B:B,R9))</f>
        <v/>
      </c>
      <c r="M9" s="8" t="str">
        <f aca="false">IF(OR(R9=0,G9="MESES"),"",INDEX(REGISTRO!G:G,R9))</f>
        <v/>
      </c>
      <c r="N9" s="5" t="str">
        <f aca="false">IFERROR(INDEX(BD_CICLO!$D$3:$D$54,MATCH(F9&amp;"|"&amp;(MOD(S9,COUNTIF(BD_CICLO!$B$3:$B$54,F9))+1),BD_CICLO!$H$3:$H$54,0)),"")</f>
        <v>PM1 - 100 HR</v>
      </c>
      <c r="O9" s="8" t="str">
        <f aca="false">IF(R9=0,"",IF(G9="MESES",TEXT(EDATE(L9,H9),"dd/mm/yyyy"),M9+H9))</f>
        <v/>
      </c>
      <c r="P9" s="8" t="str">
        <f aca="true">IF(R9=0,"",IF(G9="MESES",EDATE(L9,H9)-TODAY(),O9-MAX(I9,M9)))</f>
        <v/>
      </c>
      <c r="Q9" s="5" t="str">
        <f aca="false">IF(R9=0,"SIN REGISTRO",IF(P9&lt;=0,"VENCIDO",IF(P9&lt;=IF(G9="MESES",15,H9*0.1),"PRÓXIMO","AL DÍA")))</f>
        <v>SIN REGISTRO</v>
      </c>
      <c r="R9" s="18" t="n">
        <f aca="false">IFERROR(MATCH(B9&amp;"|"&amp;COUNTIF(REGISTRO!$C$3:$C$2002,B9),REGISTRO!$N:$N,0),0)</f>
        <v>0</v>
      </c>
      <c r="S9" s="18" t="n">
        <f aca="false">IF(R9=0,0,IFERROR(INDEX(BD_CICLO!$C$3:$C$54,MATCH(F9&amp;"|"&amp;K9,BD_CICLO!$G$3:$G$54,0)),0))</f>
        <v>0</v>
      </c>
      <c r="T9" s="9" t="str">
        <f aca="false">B9&amp;" - "&amp;C9</f>
        <v>05701 - MC 001- MEZCLADORA DE CONCRETO - PRODUCCION</v>
      </c>
    </row>
    <row r="10" customFormat="false" ht="15" hidden="false" customHeight="false" outlineLevel="0" collapsed="false">
      <c r="B10" s="5" t="s">
        <v>91</v>
      </c>
      <c r="C10" s="9" t="s">
        <v>92</v>
      </c>
      <c r="D10" s="5" t="s">
        <v>72</v>
      </c>
      <c r="E10" s="5" t="s">
        <v>84</v>
      </c>
      <c r="F10" s="9" t="s">
        <v>93</v>
      </c>
      <c r="G10" s="5" t="s">
        <v>86</v>
      </c>
      <c r="H10" s="5" t="n">
        <v>100</v>
      </c>
      <c r="I10" s="8"/>
      <c r="J10" s="7"/>
      <c r="K10" s="5" t="str">
        <f aca="false">IF(R10=0,"SIN REGISTRO",INDEX(REGISTRO!H:H,R10))</f>
        <v>SIN REGISTRO</v>
      </c>
      <c r="L10" s="7" t="str">
        <f aca="false">IF(R10=0,"",INDEX(REGISTRO!B:B,R10))</f>
        <v/>
      </c>
      <c r="M10" s="8" t="str">
        <f aca="false">IF(OR(R10=0,G10="MESES"),"",INDEX(REGISTRO!G:G,R10))</f>
        <v/>
      </c>
      <c r="N10" s="5" t="str">
        <f aca="false">IFERROR(INDEX(BD_CICLO!$D$3:$D$54,MATCH(F10&amp;"|"&amp;(MOD(S10,COUNTIF(BD_CICLO!$B$3:$B$54,F10))+1),BD_CICLO!$H$3:$H$54,0)),"")</f>
        <v>PM1 - 100 HR</v>
      </c>
      <c r="O10" s="8" t="str">
        <f aca="false">IF(R10=0,"",IF(G10="MESES",TEXT(EDATE(L10,H10),"dd/mm/yyyy"),M10+H10))</f>
        <v/>
      </c>
      <c r="P10" s="8" t="str">
        <f aca="true">IF(R10=0,"",IF(G10="MESES",EDATE(L10,H10)-TODAY(),O10-MAX(I10,M10)))</f>
        <v/>
      </c>
      <c r="Q10" s="5" t="str">
        <f aca="false">IF(R10=0,"SIN REGISTRO",IF(P10&lt;=0,"VENCIDO",IF(P10&lt;=IF(G10="MESES",15,H10*0.1),"PRÓXIMO","AL DÍA")))</f>
        <v>SIN REGISTRO</v>
      </c>
      <c r="R10" s="18" t="n">
        <f aca="false">IFERROR(MATCH(B10&amp;"|"&amp;COUNTIF(REGISTRO!$C$3:$C$2002,B10),REGISTRO!$N:$N,0),0)</f>
        <v>0</v>
      </c>
      <c r="S10" s="18" t="n">
        <f aca="false">IF(R10=0,0,IFERROR(INDEX(BD_CICLO!$C$3:$C$54,MATCH(F10&amp;"|"&amp;K10,BD_CICLO!$G$3:$G$54,0)),0))</f>
        <v>0</v>
      </c>
      <c r="T10" s="9" t="str">
        <f aca="false">B10&amp;" - "&amp;C10</f>
        <v>05702 - MC 002- MOTOR ESTACIONARIO HONDA GX 390 - 1 (SANIDAD) CAMPO</v>
      </c>
    </row>
    <row r="11" customFormat="false" ht="15" hidden="false" customHeight="false" outlineLevel="0" collapsed="false">
      <c r="B11" s="5" t="s">
        <v>94</v>
      </c>
      <c r="C11" s="9" t="s">
        <v>95</v>
      </c>
      <c r="D11" s="5" t="s">
        <v>72</v>
      </c>
      <c r="E11" s="5" t="s">
        <v>67</v>
      </c>
      <c r="F11" s="9" t="s">
        <v>96</v>
      </c>
      <c r="G11" s="5" t="s">
        <v>86</v>
      </c>
      <c r="H11" s="5" t="n">
        <v>100</v>
      </c>
      <c r="I11" s="8"/>
      <c r="J11" s="7"/>
      <c r="K11" s="5" t="str">
        <f aca="false">IF(R11=0,"SIN REGISTRO",INDEX(REGISTRO!H:H,R11))</f>
        <v>SIN REGISTRO</v>
      </c>
      <c r="L11" s="7" t="str">
        <f aca="false">IF(R11=0,"",INDEX(REGISTRO!B:B,R11))</f>
        <v/>
      </c>
      <c r="M11" s="8" t="str">
        <f aca="false">IF(OR(R11=0,G11="MESES"),"",INDEX(REGISTRO!G:G,R11))</f>
        <v/>
      </c>
      <c r="N11" s="5" t="str">
        <f aca="false">IFERROR(INDEX(BD_CICLO!$D$3:$D$54,MATCH(F11&amp;"|"&amp;(MOD(S11,COUNTIF(BD_CICLO!$B$3:$B$54,F11))+1),BD_CICLO!$H$3:$H$54,0)),"")</f>
        <v>PM1 - 100 HR</v>
      </c>
      <c r="O11" s="8" t="str">
        <f aca="false">IF(R11=0,"",IF(G11="MESES",TEXT(EDATE(L11,H11),"dd/mm/yyyy"),M11+H11))</f>
        <v/>
      </c>
      <c r="P11" s="8" t="str">
        <f aca="true">IF(R11=0,"",IF(G11="MESES",EDATE(L11,H11)-TODAY(),O11-MAX(I11,M11)))</f>
        <v/>
      </c>
      <c r="Q11" s="5" t="str">
        <f aca="false">IF(R11=0,"SIN REGISTRO",IF(P11&lt;=0,"VENCIDO",IF(P11&lt;=IF(G11="MESES",15,H11*0.1),"PRÓXIMO","AL DÍA")))</f>
        <v>SIN REGISTRO</v>
      </c>
      <c r="R11" s="18" t="n">
        <f aca="false">IFERROR(MATCH(B11&amp;"|"&amp;COUNTIF(REGISTRO!$C$3:$C$2002,B11),REGISTRO!$N:$N,0),0)</f>
        <v>0</v>
      </c>
      <c r="S11" s="18" t="n">
        <f aca="false">IF(R11=0,0,IFERROR(INDEX(BD_CICLO!$C$3:$C$54,MATCH(F11&amp;"|"&amp;K11,BD_CICLO!$G$3:$G$54,0)),0))</f>
        <v>0</v>
      </c>
      <c r="T11" s="9" t="str">
        <f aca="false">B11&amp;" - "&amp;C11</f>
        <v>05703 - MC 003- MOTOR ESTACIONARIO HONDA GX 160 - CAMPO</v>
      </c>
    </row>
    <row r="12" customFormat="false" ht="22.35" hidden="false" customHeight="false" outlineLevel="0" collapsed="false">
      <c r="B12" s="5" t="s">
        <v>97</v>
      </c>
      <c r="C12" s="9" t="s">
        <v>98</v>
      </c>
      <c r="D12" s="5" t="s">
        <v>89</v>
      </c>
      <c r="E12" s="5" t="s">
        <v>67</v>
      </c>
      <c r="F12" s="9" t="s">
        <v>99</v>
      </c>
      <c r="G12" s="5" t="s">
        <v>86</v>
      </c>
      <c r="H12" s="5" t="n">
        <v>50</v>
      </c>
      <c r="I12" s="8"/>
      <c r="J12" s="7"/>
      <c r="K12" s="5" t="str">
        <f aca="false">IF(R12=0,"SIN REGISTRO",INDEX(REGISTRO!H:H,R12))</f>
        <v>SIN REGISTRO</v>
      </c>
      <c r="L12" s="7" t="str">
        <f aca="false">IF(R12=0,"",INDEX(REGISTRO!B:B,R12))</f>
        <v/>
      </c>
      <c r="M12" s="8" t="str">
        <f aca="false">IF(OR(R12=0,G12="MESES"),"",INDEX(REGISTRO!G:G,R12))</f>
        <v/>
      </c>
      <c r="N12" s="5" t="str">
        <f aca="false">IFERROR(INDEX(BD_CICLO!$D$3:$D$54,MATCH(F12&amp;"|"&amp;(MOD(S12,COUNTIF(BD_CICLO!$B$3:$B$54,F12))+1),BD_CICLO!$H$3:$H$54,0)),"")</f>
        <v>PM1 - 50 HR</v>
      </c>
      <c r="O12" s="8" t="str">
        <f aca="false">IF(R12=0,"",IF(G12="MESES",TEXT(EDATE(L12,H12),"dd/mm/yyyy"),M12+H12))</f>
        <v/>
      </c>
      <c r="P12" s="8" t="str">
        <f aca="true">IF(R12=0,"",IF(G12="MESES",EDATE(L12,H12)-TODAY(),O12-MAX(I12,M12)))</f>
        <v/>
      </c>
      <c r="Q12" s="5" t="str">
        <f aca="false">IF(R12=0,"SIN REGISTRO",IF(P12&lt;=0,"VENCIDO",IF(P12&lt;=IF(G12="MESES",15,H12*0.1),"PRÓXIMO","AL DÍA")))</f>
        <v>SIN REGISTRO</v>
      </c>
      <c r="R12" s="18" t="n">
        <f aca="false">IFERROR(MATCH(B12&amp;"|"&amp;COUNTIF(REGISTRO!$C$3:$C$2002,B12),REGISTRO!$N:$N,0),0)</f>
        <v>0</v>
      </c>
      <c r="S12" s="18" t="n">
        <f aca="false">IF(R12=0,0,IFERROR(INDEX(BD_CICLO!$C$3:$C$54,MATCH(F12&amp;"|"&amp;K12,BD_CICLO!$G$3:$G$54,0)),0))</f>
        <v>0</v>
      </c>
      <c r="T12" s="9" t="str">
        <f aca="false">B12&amp;" - "&amp;C12</f>
        <v>05704 - MC 004- CORTA CESPED RONIX 4805</v>
      </c>
    </row>
    <row r="13" customFormat="false" ht="15" hidden="false" customHeight="false" outlineLevel="0" collapsed="false">
      <c r="B13" s="5" t="s">
        <v>100</v>
      </c>
      <c r="C13" s="9" t="s">
        <v>101</v>
      </c>
      <c r="D13" s="5" t="s">
        <v>72</v>
      </c>
      <c r="E13" s="5" t="s">
        <v>84</v>
      </c>
      <c r="F13" s="9" t="s">
        <v>93</v>
      </c>
      <c r="G13" s="5" t="s">
        <v>86</v>
      </c>
      <c r="H13" s="5" t="n">
        <v>100</v>
      </c>
      <c r="I13" s="8"/>
      <c r="J13" s="7"/>
      <c r="K13" s="5" t="str">
        <f aca="false">IF(R13=0,"SIN REGISTRO",INDEX(REGISTRO!H:H,R13))</f>
        <v>SIN REGISTRO</v>
      </c>
      <c r="L13" s="7" t="str">
        <f aca="false">IF(R13=0,"",INDEX(REGISTRO!B:B,R13))</f>
        <v/>
      </c>
      <c r="M13" s="8" t="str">
        <f aca="false">IF(OR(R13=0,G13="MESES"),"",INDEX(REGISTRO!G:G,R13))</f>
        <v/>
      </c>
      <c r="N13" s="5" t="str">
        <f aca="false">IFERROR(INDEX(BD_CICLO!$D$3:$D$54,MATCH(F13&amp;"|"&amp;(MOD(S13,COUNTIF(BD_CICLO!$B$3:$B$54,F13))+1),BD_CICLO!$H$3:$H$54,0)),"")</f>
        <v>PM1 - 100 HR</v>
      </c>
      <c r="O13" s="8" t="str">
        <f aca="false">IF(R13=0,"",IF(G13="MESES",TEXT(EDATE(L13,H13),"dd/mm/yyyy"),M13+H13))</f>
        <v/>
      </c>
      <c r="P13" s="8" t="str">
        <f aca="true">IF(R13=0,"",IF(G13="MESES",EDATE(L13,H13)-TODAY(),O13-MAX(I13,M13)))</f>
        <v/>
      </c>
      <c r="Q13" s="5" t="str">
        <f aca="false">IF(R13=0,"SIN REGISTRO",IF(P13&lt;=0,"VENCIDO",IF(P13&lt;=IF(G13="MESES",15,H13*0.1),"PRÓXIMO","AL DÍA")))</f>
        <v>SIN REGISTRO</v>
      </c>
      <c r="R13" s="18" t="n">
        <f aca="false">IFERROR(MATCH(B13&amp;"|"&amp;COUNTIF(REGISTRO!$C$3:$C$2002,B13),REGISTRO!$N:$N,0),0)</f>
        <v>0</v>
      </c>
      <c r="S13" s="18" t="n">
        <f aca="false">IF(R13=0,0,IFERROR(INDEX(BD_CICLO!$C$3:$C$54,MATCH(F13&amp;"|"&amp;K13,BD_CICLO!$G$3:$G$54,0)),0))</f>
        <v>0</v>
      </c>
      <c r="T13" s="9" t="str">
        <f aca="false">B13&amp;" - "&amp;C13</f>
        <v>05705 - MC 005- MOTOR ESTACIONARIO HONDA GX 390 - 2 (SANIDAD) CAMPO</v>
      </c>
    </row>
    <row r="14" customFormat="false" ht="22.35" hidden="false" customHeight="false" outlineLevel="0" collapsed="false">
      <c r="B14" s="5" t="s">
        <v>102</v>
      </c>
      <c r="C14" s="9" t="s">
        <v>103</v>
      </c>
      <c r="D14" s="5" t="s">
        <v>20</v>
      </c>
      <c r="E14" s="5" t="s">
        <v>104</v>
      </c>
      <c r="F14" s="9" t="s">
        <v>105</v>
      </c>
      <c r="G14" s="5" t="s">
        <v>86</v>
      </c>
      <c r="H14" s="5" t="n">
        <v>100</v>
      </c>
      <c r="I14" s="8"/>
      <c r="J14" s="7"/>
      <c r="K14" s="5" t="str">
        <f aca="false">IF(R14=0,"SIN REGISTRO",INDEX(REGISTRO!H:H,R14))</f>
        <v>SIN REGISTRO</v>
      </c>
      <c r="L14" s="7" t="str">
        <f aca="false">IF(R14=0,"",INDEX(REGISTRO!B:B,R14))</f>
        <v/>
      </c>
      <c r="M14" s="8" t="str">
        <f aca="false">IF(OR(R14=0,G14="MESES"),"",INDEX(REGISTRO!G:G,R14))</f>
        <v/>
      </c>
      <c r="N14" s="5" t="str">
        <f aca="false">IFERROR(INDEX(BD_CICLO!$D$3:$D$54,MATCH(F14&amp;"|"&amp;(MOD(S14,COUNTIF(BD_CICLO!$B$3:$B$54,F14))+1),BD_CICLO!$H$3:$H$54,0)),"")</f>
        <v>PM1 - 100 HR</v>
      </c>
      <c r="O14" s="8" t="str">
        <f aca="false">IF(R14=0,"",IF(G14="MESES",TEXT(EDATE(L14,H14),"dd/mm/yyyy"),M14+H14))</f>
        <v/>
      </c>
      <c r="P14" s="8" t="str">
        <f aca="true">IF(R14=0,"",IF(G14="MESES",EDATE(L14,H14)-TODAY(),O14-MAX(I14,M14)))</f>
        <v/>
      </c>
      <c r="Q14" s="5" t="str">
        <f aca="false">IF(R14=0,"SIN REGISTRO",IF(P14&lt;=0,"VENCIDO",IF(P14&lt;=IF(G14="MESES",15,H14*0.1),"PRÓXIMO","AL DÍA")))</f>
        <v>SIN REGISTRO</v>
      </c>
      <c r="R14" s="18" t="n">
        <f aca="false">IFERROR(MATCH(B14&amp;"|"&amp;COUNTIF(REGISTRO!$C$3:$C$2002,B14),REGISTRO!$N:$N,0),0)</f>
        <v>0</v>
      </c>
      <c r="S14" s="18" t="n">
        <f aca="false">IF(R14=0,0,IFERROR(INDEX(BD_CICLO!$C$3:$C$54,MATCH(F14&amp;"|"&amp;K14,BD_CICLO!$G$3:$G$54,0)),0))</f>
        <v>0</v>
      </c>
      <c r="T14" s="9" t="str">
        <f aca="false">B14&amp;" - "&amp;C14</f>
        <v>05706 - MC 006- GENERADOR DE ENERGIA HONDA EG 6500 CXS - PRODUCCION</v>
      </c>
    </row>
    <row r="15" customFormat="false" ht="15" hidden="false" customHeight="false" outlineLevel="0" collapsed="false">
      <c r="B15" s="5" t="s">
        <v>106</v>
      </c>
      <c r="C15" s="9" t="s">
        <v>107</v>
      </c>
      <c r="D15" s="5" t="s">
        <v>72</v>
      </c>
      <c r="E15" s="5" t="s">
        <v>104</v>
      </c>
      <c r="F15" s="9" t="s">
        <v>108</v>
      </c>
      <c r="G15" s="5" t="s">
        <v>86</v>
      </c>
      <c r="H15" s="5" t="n">
        <v>50</v>
      </c>
      <c r="I15" s="8"/>
      <c r="J15" s="7"/>
      <c r="K15" s="5" t="str">
        <f aca="false">IF(R15=0,"SIN REGISTRO",INDEX(REGISTRO!H:H,R15))</f>
        <v>SIN REGISTRO</v>
      </c>
      <c r="L15" s="7" t="str">
        <f aca="false">IF(R15=0,"",INDEX(REGISTRO!B:B,R15))</f>
        <v/>
      </c>
      <c r="M15" s="8" t="str">
        <f aca="false">IF(OR(R15=0,G15="MESES"),"",INDEX(REGISTRO!G:G,R15))</f>
        <v/>
      </c>
      <c r="N15" s="5" t="str">
        <f aca="false">IFERROR(INDEX(BD_CICLO!$D$3:$D$54,MATCH(F15&amp;"|"&amp;(MOD(S15,COUNTIF(BD_CICLO!$B$3:$B$54,F15))+1),BD_CICLO!$H$3:$H$54,0)),"")</f>
        <v>PM1 - 50 HR</v>
      </c>
      <c r="O15" s="8" t="str">
        <f aca="false">IF(R15=0,"",IF(G15="MESES",TEXT(EDATE(L15,H15),"dd/mm/yyyy"),M15+H15))</f>
        <v/>
      </c>
      <c r="P15" s="8" t="str">
        <f aca="true">IF(R15=0,"",IF(G15="MESES",EDATE(L15,H15)-TODAY(),O15-MAX(I15,M15)))</f>
        <v/>
      </c>
      <c r="Q15" s="5" t="str">
        <f aca="false">IF(R15=0,"SIN REGISTRO",IF(P15&lt;=0,"VENCIDO",IF(P15&lt;=IF(G15="MESES",15,H15*0.1),"PRÓXIMO","AL DÍA")))</f>
        <v>SIN REGISTRO</v>
      </c>
      <c r="R15" s="18" t="n">
        <f aca="false">IFERROR(MATCH(B15&amp;"|"&amp;COUNTIF(REGISTRO!$C$3:$C$2002,B15),REGISTRO!$N:$N,0),0)</f>
        <v>0</v>
      </c>
      <c r="S15" s="18" t="n">
        <f aca="false">IF(R15=0,0,IFERROR(INDEX(BD_CICLO!$C$3:$C$54,MATCH(F15&amp;"|"&amp;K15,BD_CICLO!$G$3:$G$54,0)),0))</f>
        <v>0</v>
      </c>
      <c r="T15" s="9" t="str">
        <f aca="false">B15&amp;" - "&amp;C15</f>
        <v>05708 - MC 008- ATOMIZADORA MASTER 452 X 15 LTS</v>
      </c>
    </row>
    <row r="16" customFormat="false" ht="15" hidden="false" customHeight="false" outlineLevel="0" collapsed="false">
      <c r="B16" s="5" t="s">
        <v>109</v>
      </c>
      <c r="C16" s="9" t="s">
        <v>110</v>
      </c>
      <c r="D16" s="5" t="s">
        <v>72</v>
      </c>
      <c r="E16" s="5" t="s">
        <v>104</v>
      </c>
      <c r="F16" s="9" t="s">
        <v>111</v>
      </c>
      <c r="G16" s="5" t="s">
        <v>86</v>
      </c>
      <c r="H16" s="5" t="n">
        <v>50</v>
      </c>
      <c r="I16" s="8"/>
      <c r="J16" s="7"/>
      <c r="K16" s="5" t="str">
        <f aca="false">IF(R16=0,"SIN REGISTRO",INDEX(REGISTRO!H:H,R16))</f>
        <v>SIN REGISTRO</v>
      </c>
      <c r="L16" s="7" t="str">
        <f aca="false">IF(R16=0,"",INDEX(REGISTRO!B:B,R16))</f>
        <v/>
      </c>
      <c r="M16" s="8" t="str">
        <f aca="false">IF(OR(R16=0,G16="MESES"),"",INDEX(REGISTRO!G:G,R16))</f>
        <v/>
      </c>
      <c r="N16" s="5" t="str">
        <f aca="false">IFERROR(INDEX(BD_CICLO!$D$3:$D$54,MATCH(F16&amp;"|"&amp;(MOD(S16,COUNTIF(BD_CICLO!$B$3:$B$54,F16))+1),BD_CICLO!$H$3:$H$54,0)),"")</f>
        <v>PM1 - 50 HR</v>
      </c>
      <c r="O16" s="8" t="str">
        <f aca="false">IF(R16=0,"",IF(G16="MESES",TEXT(EDATE(L16,H16),"dd/mm/yyyy"),M16+H16))</f>
        <v/>
      </c>
      <c r="P16" s="8" t="str">
        <f aca="true">IF(R16=0,"",IF(G16="MESES",EDATE(L16,H16)-TODAY(),O16-MAX(I16,M16)))</f>
        <v/>
      </c>
      <c r="Q16" s="5" t="str">
        <f aca="false">IF(R16=0,"SIN REGISTRO",IF(P16&lt;=0,"VENCIDO",IF(P16&lt;=IF(G16="MESES",15,H16*0.1),"PRÓXIMO","AL DÍA")))</f>
        <v>SIN REGISTRO</v>
      </c>
      <c r="R16" s="18" t="n">
        <f aca="false">IFERROR(MATCH(B16&amp;"|"&amp;COUNTIF(REGISTRO!$C$3:$C$2002,B16),REGISTRO!$N:$N,0),0)</f>
        <v>0</v>
      </c>
      <c r="S16" s="18" t="n">
        <f aca="false">IF(R16=0,0,IFERROR(INDEX(BD_CICLO!$C$3:$C$54,MATCH(F16&amp;"|"&amp;K16,BD_CICLO!$G$3:$G$54,0)),0))</f>
        <v>0</v>
      </c>
      <c r="T16" s="9" t="str">
        <f aca="false">B16&amp;" - "&amp;C16</f>
        <v>05709 - MC 009- ATOMIZADORA CIFARELLI M1200 17 LT - N°2</v>
      </c>
    </row>
    <row r="17" customFormat="false" ht="15" hidden="false" customHeight="false" outlineLevel="0" collapsed="false">
      <c r="B17" s="5" t="s">
        <v>112</v>
      </c>
      <c r="C17" s="9" t="s">
        <v>113</v>
      </c>
      <c r="D17" s="5" t="s">
        <v>20</v>
      </c>
      <c r="E17" s="5" t="s">
        <v>67</v>
      </c>
      <c r="F17" s="9" t="s">
        <v>114</v>
      </c>
      <c r="G17" s="5" t="s">
        <v>115</v>
      </c>
      <c r="H17" s="5" t="n">
        <v>3</v>
      </c>
      <c r="I17" s="8"/>
      <c r="J17" s="7"/>
      <c r="K17" s="5" t="str">
        <f aca="false">IF(R17=0,"SIN REGISTRO",INDEX(REGISTRO!H:H,R17))</f>
        <v>SIN REGISTRO</v>
      </c>
      <c r="L17" s="7" t="str">
        <f aca="false">IF(R17=0,"",INDEX(REGISTRO!B:B,R17))</f>
        <v/>
      </c>
      <c r="M17" s="8" t="str">
        <f aca="false">IF(OR(R17=0,G17="MESES"),"",INDEX(REGISTRO!G:G,R17))</f>
        <v/>
      </c>
      <c r="N17" s="5" t="str">
        <f aca="false">IFERROR(INDEX(BD_CICLO!$D$3:$D$54,MATCH(F17&amp;"|"&amp;(MOD(S17,COUNTIF(BD_CICLO!$B$3:$B$54,F17))+1),BD_CICLO!$H$3:$H$54,0)),"")</f>
        <v>PM1 - 3 MESES</v>
      </c>
      <c r="O17" s="8" t="str">
        <f aca="false">IF(R17=0,"",IF(G17="MESES",TEXT(EDATE(L17,H17),"dd/mm/yyyy"),M17+H17))</f>
        <v/>
      </c>
      <c r="P17" s="8" t="str">
        <f aca="true">IF(R17=0,"",IF(G17="MESES",EDATE(L17,H17)-TODAY(),O17-MAX(I17,M17)))</f>
        <v/>
      </c>
      <c r="Q17" s="5" t="str">
        <f aca="false">IF(R17=0,"SIN REGISTRO",IF(P17&lt;=0,"VENCIDO",IF(P17&lt;=IF(G17="MESES",15,H17*0.1),"PRÓXIMO","AL DÍA")))</f>
        <v>SIN REGISTRO</v>
      </c>
      <c r="R17" s="18" t="n">
        <f aca="false">IFERROR(MATCH(B17&amp;"|"&amp;COUNTIF(REGISTRO!$C$3:$C$2002,B17),REGISTRO!$N:$N,0),0)</f>
        <v>0</v>
      </c>
      <c r="S17" s="18" t="n">
        <f aca="false">IF(R17=0,0,IFERROR(INDEX(BD_CICLO!$C$3:$C$54,MATCH(F17&amp;"|"&amp;K17,BD_CICLO!$G$3:$G$54,0)),0))</f>
        <v>0</v>
      </c>
      <c r="T17" s="9" t="str">
        <f aca="false">B17&amp;" - "&amp;C17</f>
        <v>05801 - ML 001- COMPRESOR DE AIRE 50 LT - PACKING</v>
      </c>
    </row>
    <row r="18" customFormat="false" ht="15" hidden="false" customHeight="false" outlineLevel="0" collapsed="false">
      <c r="B18" s="5" t="s">
        <v>116</v>
      </c>
      <c r="C18" s="9" t="s">
        <v>117</v>
      </c>
      <c r="D18" s="5" t="s">
        <v>20</v>
      </c>
      <c r="E18" s="5" t="s">
        <v>67</v>
      </c>
      <c r="F18" s="9" t="s">
        <v>118</v>
      </c>
      <c r="G18" s="5" t="s">
        <v>115</v>
      </c>
      <c r="H18" s="5" t="n">
        <v>3</v>
      </c>
      <c r="I18" s="8"/>
      <c r="J18" s="7"/>
      <c r="K18" s="5" t="str">
        <f aca="false">IF(R18=0,"SIN REGISTRO",INDEX(REGISTRO!H:H,R18))</f>
        <v>SIN REGISTRO</v>
      </c>
      <c r="L18" s="7" t="str">
        <f aca="false">IF(R18=0,"",INDEX(REGISTRO!B:B,R18))</f>
        <v/>
      </c>
      <c r="M18" s="8" t="str">
        <f aca="false">IF(OR(R18=0,G18="MESES"),"",INDEX(REGISTRO!G:G,R18))</f>
        <v/>
      </c>
      <c r="N18" s="5" t="str">
        <f aca="false">IFERROR(INDEX(BD_CICLO!$D$3:$D$54,MATCH(F18&amp;"|"&amp;(MOD(S18,COUNTIF(BD_CICLO!$B$3:$B$54,F18))+1),BD_CICLO!$H$3:$H$54,0)),"")</f>
        <v>PM1 - 3 MESES</v>
      </c>
      <c r="O18" s="8" t="str">
        <f aca="false">IF(R18=0,"",IF(G18="MESES",TEXT(EDATE(L18,H18),"dd/mm/yyyy"),M18+H18))</f>
        <v/>
      </c>
      <c r="P18" s="8" t="str">
        <f aca="true">IF(R18=0,"",IF(G18="MESES",EDATE(L18,H18)-TODAY(),O18-MAX(I18,M18)))</f>
        <v/>
      </c>
      <c r="Q18" s="5" t="str">
        <f aca="false">IF(R18=0,"SIN REGISTRO",IF(P18&lt;=0,"VENCIDO",IF(P18&lt;=IF(G18="MESES",15,H18*0.1),"PRÓXIMO","AL DÍA")))</f>
        <v>SIN REGISTRO</v>
      </c>
      <c r="R18" s="18" t="n">
        <f aca="false">IFERROR(MATCH(B18&amp;"|"&amp;COUNTIF(REGISTRO!$C$3:$C$2002,B18),REGISTRO!$N:$N,0),0)</f>
        <v>0</v>
      </c>
      <c r="S18" s="18" t="n">
        <f aca="false">IF(R18=0,0,IFERROR(INDEX(BD_CICLO!$C$3:$C$54,MATCH(F18&amp;"|"&amp;K18,BD_CICLO!$G$3:$G$54,0)),0))</f>
        <v>0</v>
      </c>
      <c r="T18" s="9" t="str">
        <f aca="false">B18&amp;" - "&amp;C18</f>
        <v>05802 - ML 002- COMPRESOR DE AIRE 227 LT - MTO Y OPER</v>
      </c>
    </row>
  </sheetData>
  <conditionalFormatting sqref="O3:O18">
    <cfRule type="expression" priority="2" aboveAverage="0" equalAverage="0" bottom="0" percent="0" rank="0" text="" dxfId="9">
      <formula>$G3="MESES"</formula>
    </cfRule>
  </conditionalFormatting>
  <conditionalFormatting sqref="Q3:Q18">
    <cfRule type="expression" priority="3" aboveAverage="0" equalAverage="0" bottom="0" percent="0" rank="0" text="" dxfId="0">
      <formula>Q3="VENCIDO"</formula>
    </cfRule>
    <cfRule type="expression" priority="4" aboveAverage="0" equalAverage="0" bottom="0" percent="0" rank="0" text="" dxfId="1">
      <formula>Q3="PRÓXIMO"</formula>
    </cfRule>
    <cfRule type="expression" priority="5" aboveAverage="0" equalAverage="0" bottom="0" percent="0" rank="0" text="" dxfId="2">
      <formula>Q3="AL DÍA"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2"/>
    <col collapsed="false" customWidth="true" hidden="false" outlineLevel="0" max="3" min="3" style="0" width="10"/>
    <col collapsed="false" customWidth="true" hidden="false" outlineLevel="0" max="4" min="4" style="0" width="12"/>
  </cols>
  <sheetData>
    <row r="2" customFormat="false" ht="15" hidden="false" customHeight="false" outlineLevel="0" collapsed="false">
      <c r="B2" s="3" t="s">
        <v>27</v>
      </c>
      <c r="C2" s="3" t="s">
        <v>29</v>
      </c>
      <c r="D2" s="3" t="s">
        <v>30</v>
      </c>
    </row>
    <row r="3" customFormat="false" ht="15" hidden="false" customHeight="false" outlineLevel="0" collapsed="false">
      <c r="B3" s="9" t="s">
        <v>119</v>
      </c>
      <c r="C3" s="5" t="s">
        <v>120</v>
      </c>
      <c r="D3" s="17" t="n">
        <v>25</v>
      </c>
    </row>
    <row r="4" customFormat="false" ht="15" hidden="false" customHeight="false" outlineLevel="0" collapsed="false">
      <c r="B4" s="9" t="s">
        <v>121</v>
      </c>
      <c r="C4" s="5" t="s">
        <v>120</v>
      </c>
      <c r="D4" s="17" t="n">
        <v>25</v>
      </c>
    </row>
    <row r="5" customFormat="false" ht="15" hidden="false" customHeight="false" outlineLevel="0" collapsed="false">
      <c r="B5" s="9" t="s">
        <v>122</v>
      </c>
      <c r="C5" s="5" t="s">
        <v>123</v>
      </c>
      <c r="D5" s="17" t="n">
        <v>68</v>
      </c>
    </row>
    <row r="6" customFormat="false" ht="15" hidden="false" customHeight="false" outlineLevel="0" collapsed="false">
      <c r="B6" s="9" t="s">
        <v>124</v>
      </c>
      <c r="C6" s="5" t="s">
        <v>120</v>
      </c>
      <c r="D6" s="17" t="n">
        <v>25</v>
      </c>
    </row>
    <row r="7" customFormat="false" ht="15" hidden="false" customHeight="false" outlineLevel="0" collapsed="false">
      <c r="B7" s="9" t="s">
        <v>125</v>
      </c>
      <c r="C7" s="5" t="s">
        <v>123</v>
      </c>
      <c r="D7" s="17" t="n">
        <v>75.64</v>
      </c>
    </row>
    <row r="8" customFormat="false" ht="15" hidden="false" customHeight="false" outlineLevel="0" collapsed="false">
      <c r="B8" s="9" t="s">
        <v>126</v>
      </c>
      <c r="C8" s="5" t="s">
        <v>123</v>
      </c>
      <c r="D8" s="17" t="n">
        <v>75.64</v>
      </c>
    </row>
    <row r="9" customFormat="false" ht="15" hidden="false" customHeight="false" outlineLevel="0" collapsed="false">
      <c r="B9" s="9" t="s">
        <v>127</v>
      </c>
      <c r="C9" s="5" t="s">
        <v>120</v>
      </c>
      <c r="D9" s="17" t="n">
        <v>20</v>
      </c>
    </row>
    <row r="10" customFormat="false" ht="15" hidden="false" customHeight="false" outlineLevel="0" collapsed="false">
      <c r="B10" s="9" t="s">
        <v>128</v>
      </c>
      <c r="C10" s="5" t="s">
        <v>120</v>
      </c>
      <c r="D10" s="17" t="n">
        <v>25</v>
      </c>
    </row>
    <row r="11" customFormat="false" ht="15" hidden="false" customHeight="false" outlineLevel="0" collapsed="false">
      <c r="B11" s="9" t="s">
        <v>129</v>
      </c>
      <c r="C11" s="5" t="s">
        <v>120</v>
      </c>
      <c r="D11" s="17" t="n">
        <v>70</v>
      </c>
    </row>
    <row r="12" customFormat="false" ht="15" hidden="false" customHeight="false" outlineLevel="0" collapsed="false">
      <c r="B12" s="9" t="s">
        <v>130</v>
      </c>
      <c r="C12" s="5" t="s">
        <v>120</v>
      </c>
      <c r="D12" s="17" t="n">
        <v>30</v>
      </c>
    </row>
    <row r="13" customFormat="false" ht="15" hidden="false" customHeight="false" outlineLevel="0" collapsed="false">
      <c r="B13" s="9" t="s">
        <v>131</v>
      </c>
      <c r="C13" s="5" t="s">
        <v>123</v>
      </c>
      <c r="D13" s="17" t="n">
        <v>84</v>
      </c>
    </row>
    <row r="14" customFormat="false" ht="15" hidden="false" customHeight="false" outlineLevel="0" collapsed="false">
      <c r="B14" s="9" t="s">
        <v>132</v>
      </c>
      <c r="C14" s="5" t="s">
        <v>45</v>
      </c>
      <c r="D14" s="17" t="n">
        <v>2</v>
      </c>
    </row>
    <row r="15" customFormat="false" ht="15" hidden="false" customHeight="false" outlineLevel="0" collapsed="false">
      <c r="B15" s="9" t="s">
        <v>133</v>
      </c>
      <c r="C15" s="5" t="s">
        <v>45</v>
      </c>
      <c r="D15" s="17" t="n">
        <v>2</v>
      </c>
    </row>
    <row r="16" customFormat="false" ht="15" hidden="false" customHeight="false" outlineLevel="0" collapsed="false">
      <c r="B16" s="9" t="s">
        <v>134</v>
      </c>
      <c r="C16" s="5" t="s">
        <v>45</v>
      </c>
      <c r="D16" s="17" t="n">
        <v>12</v>
      </c>
    </row>
    <row r="17" customFormat="false" ht="15" hidden="false" customHeight="false" outlineLevel="0" collapsed="false">
      <c r="B17" s="9" t="s">
        <v>135</v>
      </c>
      <c r="C17" s="5" t="s">
        <v>45</v>
      </c>
      <c r="D17" s="17" t="n">
        <v>12</v>
      </c>
    </row>
    <row r="18" customFormat="false" ht="15" hidden="false" customHeight="false" outlineLevel="0" collapsed="false">
      <c r="B18" s="9" t="s">
        <v>136</v>
      </c>
      <c r="C18" s="5" t="s">
        <v>45</v>
      </c>
      <c r="D18" s="17" t="n">
        <v>12</v>
      </c>
    </row>
    <row r="19" customFormat="false" ht="15" hidden="false" customHeight="false" outlineLevel="0" collapsed="false">
      <c r="B19" s="9" t="s">
        <v>137</v>
      </c>
      <c r="C19" s="5" t="s">
        <v>45</v>
      </c>
      <c r="D19" s="17" t="n">
        <v>12</v>
      </c>
    </row>
    <row r="20" customFormat="false" ht="15" hidden="false" customHeight="false" outlineLevel="0" collapsed="false">
      <c r="B20" s="9" t="s">
        <v>138</v>
      </c>
      <c r="C20" s="5" t="s">
        <v>45</v>
      </c>
      <c r="D20" s="17" t="n">
        <v>18</v>
      </c>
    </row>
    <row r="21" customFormat="false" ht="15" hidden="false" customHeight="false" outlineLevel="0" collapsed="false">
      <c r="B21" s="9" t="s">
        <v>139</v>
      </c>
      <c r="C21" s="5" t="s">
        <v>45</v>
      </c>
      <c r="D21" s="17" t="n">
        <v>18</v>
      </c>
    </row>
    <row r="22" customFormat="false" ht="15" hidden="false" customHeight="false" outlineLevel="0" collapsed="false">
      <c r="B22" s="9" t="s">
        <v>140</v>
      </c>
      <c r="C22" s="5" t="s">
        <v>45</v>
      </c>
      <c r="D22" s="17" t="n">
        <v>10</v>
      </c>
    </row>
    <row r="23" customFormat="false" ht="15" hidden="false" customHeight="false" outlineLevel="0" collapsed="false">
      <c r="B23" s="9" t="s">
        <v>141</v>
      </c>
      <c r="C23" s="5" t="s">
        <v>45</v>
      </c>
      <c r="D23" s="17" t="n">
        <v>12</v>
      </c>
    </row>
    <row r="24" customFormat="false" ht="15" hidden="false" customHeight="false" outlineLevel="0" collapsed="false">
      <c r="B24" s="9" t="s">
        <v>142</v>
      </c>
      <c r="C24" s="5" t="s">
        <v>45</v>
      </c>
      <c r="D24" s="17" t="n">
        <v>25</v>
      </c>
    </row>
    <row r="25" customFormat="false" ht="15" hidden="false" customHeight="false" outlineLevel="0" collapsed="false">
      <c r="B25" s="9" t="s">
        <v>143</v>
      </c>
      <c r="C25" s="5" t="s">
        <v>45</v>
      </c>
      <c r="D25" s="17" t="n">
        <v>35</v>
      </c>
    </row>
    <row r="26" customFormat="false" ht="15" hidden="false" customHeight="false" outlineLevel="0" collapsed="false">
      <c r="B26" s="9" t="s">
        <v>144</v>
      </c>
      <c r="C26" s="5" t="s">
        <v>45</v>
      </c>
      <c r="D26" s="17" t="n">
        <v>70</v>
      </c>
    </row>
    <row r="27" customFormat="false" ht="15" hidden="false" customHeight="false" outlineLevel="0" collapsed="false">
      <c r="B27" s="9" t="s">
        <v>145</v>
      </c>
      <c r="C27" s="5" t="s">
        <v>45</v>
      </c>
      <c r="D27" s="17" t="n">
        <v>180</v>
      </c>
    </row>
    <row r="28" customFormat="false" ht="15" hidden="false" customHeight="false" outlineLevel="0" collapsed="false">
      <c r="B28" s="9" t="s">
        <v>146</v>
      </c>
      <c r="C28" s="5" t="s">
        <v>45</v>
      </c>
      <c r="D28" s="17" t="n">
        <v>150</v>
      </c>
    </row>
    <row r="29" customFormat="false" ht="15" hidden="false" customHeight="false" outlineLevel="0" collapsed="false">
      <c r="B29" s="9" t="s">
        <v>147</v>
      </c>
      <c r="C29" s="5" t="s">
        <v>45</v>
      </c>
      <c r="D29" s="17" t="n">
        <v>125</v>
      </c>
    </row>
    <row r="30" customFormat="false" ht="15" hidden="false" customHeight="false" outlineLevel="0" collapsed="false">
      <c r="B30" s="9" t="s">
        <v>148</v>
      </c>
      <c r="C30" s="5" t="s">
        <v>45</v>
      </c>
      <c r="D30" s="17" t="n">
        <v>35</v>
      </c>
    </row>
    <row r="31" customFormat="false" ht="15" hidden="false" customHeight="false" outlineLevel="0" collapsed="false">
      <c r="B31" s="9" t="s">
        <v>149</v>
      </c>
      <c r="C31" s="5" t="s">
        <v>45</v>
      </c>
      <c r="D31" s="17" t="n">
        <v>25</v>
      </c>
    </row>
    <row r="32" customFormat="false" ht="15" hidden="false" customHeight="false" outlineLevel="0" collapsed="false">
      <c r="B32" s="9" t="s">
        <v>150</v>
      </c>
      <c r="C32" s="5" t="s">
        <v>45</v>
      </c>
      <c r="D32" s="17" t="n">
        <v>20</v>
      </c>
    </row>
    <row r="33" customFormat="false" ht="15" hidden="false" customHeight="false" outlineLevel="0" collapsed="false">
      <c r="B33" s="9" t="s">
        <v>151</v>
      </c>
      <c r="C33" s="5" t="s">
        <v>45</v>
      </c>
      <c r="D33" s="17" t="n">
        <v>10</v>
      </c>
    </row>
    <row r="34" customFormat="false" ht="15" hidden="false" customHeight="false" outlineLevel="0" collapsed="false">
      <c r="B34" s="9" t="s">
        <v>152</v>
      </c>
      <c r="C34" s="5" t="s">
        <v>45</v>
      </c>
      <c r="D34" s="17" t="n">
        <v>80</v>
      </c>
    </row>
    <row r="35" customFormat="false" ht="15" hidden="false" customHeight="false" outlineLevel="0" collapsed="false">
      <c r="B35" s="9" t="s">
        <v>153</v>
      </c>
      <c r="C35" s="5" t="s">
        <v>45</v>
      </c>
      <c r="D35" s="17" t="n">
        <v>100</v>
      </c>
    </row>
    <row r="36" customFormat="false" ht="15" hidden="false" customHeight="false" outlineLevel="0" collapsed="false">
      <c r="B36" s="9" t="s">
        <v>154</v>
      </c>
      <c r="C36" s="5" t="s">
        <v>45</v>
      </c>
      <c r="D36" s="17" t="n">
        <v>45</v>
      </c>
    </row>
    <row r="37" customFormat="false" ht="15" hidden="false" customHeight="false" outlineLevel="0" collapsed="false">
      <c r="B37" s="9" t="s">
        <v>155</v>
      </c>
      <c r="C37" s="5" t="s">
        <v>45</v>
      </c>
      <c r="D37" s="17" t="n">
        <v>35</v>
      </c>
    </row>
    <row r="38" customFormat="false" ht="15" hidden="false" customHeight="false" outlineLevel="0" collapsed="false">
      <c r="B38" s="9" t="s">
        <v>156</v>
      </c>
      <c r="C38" s="5" t="s">
        <v>45</v>
      </c>
      <c r="D38" s="17" t="n">
        <v>45</v>
      </c>
    </row>
    <row r="39" customFormat="false" ht="15" hidden="false" customHeight="false" outlineLevel="0" collapsed="false">
      <c r="B39" s="9" t="s">
        <v>157</v>
      </c>
      <c r="C39" s="5" t="s">
        <v>45</v>
      </c>
      <c r="D39" s="17" t="n">
        <v>25</v>
      </c>
    </row>
    <row r="40" customFormat="false" ht="15" hidden="false" customHeight="false" outlineLevel="0" collapsed="false">
      <c r="B40" s="9" t="s">
        <v>158</v>
      </c>
      <c r="C40" s="5" t="s">
        <v>45</v>
      </c>
      <c r="D40" s="17" t="n">
        <v>30</v>
      </c>
    </row>
    <row r="41" customFormat="false" ht="15" hidden="false" customHeight="false" outlineLevel="0" collapsed="false">
      <c r="B41" s="9" t="s">
        <v>159</v>
      </c>
      <c r="C41" s="5" t="s">
        <v>45</v>
      </c>
      <c r="D41" s="17" t="n">
        <v>20</v>
      </c>
    </row>
    <row r="42" customFormat="false" ht="15" hidden="false" customHeight="false" outlineLevel="0" collapsed="false">
      <c r="B42" s="9" t="s">
        <v>160</v>
      </c>
      <c r="C42" s="5" t="s">
        <v>45</v>
      </c>
      <c r="D42" s="17" t="n">
        <v>20</v>
      </c>
    </row>
    <row r="43" customFormat="false" ht="15" hidden="false" customHeight="false" outlineLevel="0" collapsed="false">
      <c r="B43" s="9" t="s">
        <v>161</v>
      </c>
      <c r="C43" s="5" t="s">
        <v>45</v>
      </c>
      <c r="D43" s="17" t="n">
        <v>8</v>
      </c>
    </row>
    <row r="44" customFormat="false" ht="15" hidden="false" customHeight="false" outlineLevel="0" collapsed="false">
      <c r="B44" s="9" t="s">
        <v>162</v>
      </c>
      <c r="C44" s="5" t="s">
        <v>45</v>
      </c>
      <c r="D44" s="17" t="n">
        <v>8</v>
      </c>
    </row>
    <row r="45" customFormat="false" ht="15" hidden="false" customHeight="false" outlineLevel="0" collapsed="false">
      <c r="B45" s="9" t="s">
        <v>163</v>
      </c>
      <c r="C45" s="5" t="s">
        <v>45</v>
      </c>
      <c r="D45" s="17" t="n">
        <v>8</v>
      </c>
    </row>
    <row r="46" customFormat="false" ht="15" hidden="false" customHeight="false" outlineLevel="0" collapsed="false">
      <c r="B46" s="9" t="s">
        <v>164</v>
      </c>
      <c r="C46" s="5" t="s">
        <v>45</v>
      </c>
      <c r="D46" s="17" t="n">
        <v>8</v>
      </c>
    </row>
    <row r="47" customFormat="false" ht="15" hidden="false" customHeight="false" outlineLevel="0" collapsed="false">
      <c r="B47" s="9" t="s">
        <v>165</v>
      </c>
      <c r="C47" s="5" t="s">
        <v>45</v>
      </c>
      <c r="D47" s="17" t="n">
        <v>180</v>
      </c>
    </row>
    <row r="48" customFormat="false" ht="15" hidden="false" customHeight="false" outlineLevel="0" collapsed="false">
      <c r="B48" s="9" t="s">
        <v>166</v>
      </c>
      <c r="C48" s="5" t="s">
        <v>45</v>
      </c>
      <c r="D48" s="17" t="n">
        <v>20</v>
      </c>
    </row>
    <row r="49" customFormat="false" ht="15" hidden="false" customHeight="false" outlineLevel="0" collapsed="false">
      <c r="B49" s="9" t="s">
        <v>167</v>
      </c>
      <c r="C49" s="5" t="s">
        <v>168</v>
      </c>
      <c r="D49" s="17" t="n">
        <v>24</v>
      </c>
    </row>
    <row r="50" customFormat="false" ht="15" hidden="false" customHeight="false" outlineLevel="0" collapsed="false">
      <c r="B50" s="9" t="s">
        <v>169</v>
      </c>
      <c r="C50" s="5" t="s">
        <v>170</v>
      </c>
      <c r="D50" s="17" t="n">
        <v>15</v>
      </c>
    </row>
    <row r="51" customFormat="false" ht="15" hidden="false" customHeight="false" outlineLevel="0" collapsed="false">
      <c r="B51" s="9" t="s">
        <v>171</v>
      </c>
      <c r="C51" s="5" t="s">
        <v>170</v>
      </c>
      <c r="D51" s="17" t="n">
        <v>20</v>
      </c>
    </row>
    <row r="52" customFormat="false" ht="15" hidden="false" customHeight="false" outlineLevel="0" collapsed="false">
      <c r="B52" s="9" t="s">
        <v>172</v>
      </c>
      <c r="C52" s="5" t="s">
        <v>45</v>
      </c>
      <c r="D52" s="17" t="n">
        <v>15</v>
      </c>
    </row>
    <row r="53" customFormat="false" ht="15" hidden="false" customHeight="false" outlineLevel="0" collapsed="false">
      <c r="B53" s="9" t="s">
        <v>173</v>
      </c>
      <c r="C53" s="5" t="s">
        <v>45</v>
      </c>
      <c r="D53" s="17" t="n">
        <v>15</v>
      </c>
    </row>
    <row r="54" customFormat="false" ht="15" hidden="false" customHeight="false" outlineLevel="0" collapsed="false">
      <c r="B54" s="9" t="s">
        <v>174</v>
      </c>
      <c r="C54" s="5" t="s">
        <v>170</v>
      </c>
      <c r="D54" s="17" t="n">
        <v>15</v>
      </c>
    </row>
    <row r="55" customFormat="false" ht="15" hidden="false" customHeight="false" outlineLevel="0" collapsed="false">
      <c r="B55" s="9" t="s">
        <v>175</v>
      </c>
      <c r="C55" s="5" t="s">
        <v>120</v>
      </c>
      <c r="D55" s="17" t="n">
        <v>53.14</v>
      </c>
    </row>
    <row r="56" customFormat="false" ht="15" hidden="false" customHeight="false" outlineLevel="0" collapsed="false">
      <c r="B56" s="9" t="s">
        <v>176</v>
      </c>
      <c r="C56" s="5" t="s">
        <v>120</v>
      </c>
      <c r="D56" s="17" t="n">
        <v>13.53</v>
      </c>
    </row>
    <row r="57" customFormat="false" ht="15" hidden="false" customHeight="false" outlineLevel="0" collapsed="false">
      <c r="B57" s="9" t="s">
        <v>177</v>
      </c>
      <c r="C57" s="5" t="s">
        <v>178</v>
      </c>
      <c r="D57" s="17" t="n">
        <v>4.5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3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4" min="3" style="0" width="22"/>
    <col collapsed="false" customWidth="true" hidden="false" outlineLevel="0" max="5" min="5" style="0" width="46"/>
    <col collapsed="false" customWidth="true" hidden="false" outlineLevel="0" max="7" min="6" style="0" width="10"/>
    <col collapsed="false" customWidth="true" hidden="false" outlineLevel="0" max="9" min="8" style="0" width="12"/>
    <col collapsed="false" customWidth="true" hidden="true" outlineLevel="0" max="11" min="10" style="0" width="13"/>
  </cols>
  <sheetData>
    <row r="2" customFormat="false" ht="23.85" hidden="false" customHeight="false" outlineLevel="0" collapsed="false">
      <c r="B2" s="3" t="s">
        <v>15</v>
      </c>
      <c r="C2" s="3" t="s">
        <v>20</v>
      </c>
      <c r="D2" s="3" t="s">
        <v>26</v>
      </c>
      <c r="E2" s="3" t="s">
        <v>27</v>
      </c>
      <c r="F2" s="3" t="s">
        <v>28</v>
      </c>
      <c r="G2" s="3" t="s">
        <v>29</v>
      </c>
      <c r="H2" s="3" t="s">
        <v>30</v>
      </c>
      <c r="I2" s="3" t="s">
        <v>31</v>
      </c>
    </row>
    <row r="3" customFormat="false" ht="15" hidden="false" customHeight="false" outlineLevel="0" collapsed="false">
      <c r="B3" s="9" t="s">
        <v>68</v>
      </c>
      <c r="C3" s="5" t="s">
        <v>36</v>
      </c>
      <c r="D3" s="5" t="s">
        <v>179</v>
      </c>
      <c r="E3" s="9" t="s">
        <v>127</v>
      </c>
      <c r="F3" s="5" t="n">
        <v>1.5</v>
      </c>
      <c r="G3" s="5" t="s">
        <v>120</v>
      </c>
      <c r="H3" s="17" t="n">
        <f aca="false">IFERROR(INDEX(MATERIALES!$D$3:$D$57,MATCH(E3,MATERIALES!$B$3:$B$57,0)),"")</f>
        <v>20</v>
      </c>
      <c r="I3" s="17" t="n">
        <f aca="false">IF(H3="","",F3*H3)</f>
        <v>30</v>
      </c>
      <c r="J3" s="19" t="s">
        <v>180</v>
      </c>
      <c r="K3" s="19" t="s">
        <v>181</v>
      </c>
    </row>
    <row r="4" customFormat="false" ht="15" hidden="false" customHeight="false" outlineLevel="0" collapsed="false">
      <c r="B4" s="9" t="s">
        <v>68</v>
      </c>
      <c r="C4" s="5" t="s">
        <v>36</v>
      </c>
      <c r="D4" s="5" t="s">
        <v>179</v>
      </c>
      <c r="E4" s="9" t="s">
        <v>132</v>
      </c>
      <c r="F4" s="5" t="n">
        <v>1</v>
      </c>
      <c r="G4" s="5" t="s">
        <v>45</v>
      </c>
      <c r="H4" s="17" t="n">
        <f aca="false">IFERROR(INDEX(MATERIALES!$D$3:$D$57,MATCH(E4,MATERIALES!$B$3:$B$57,0)),"")</f>
        <v>2</v>
      </c>
      <c r="I4" s="17" t="n">
        <f aca="false">IF(H4="","",F4*H4)</f>
        <v>2</v>
      </c>
      <c r="J4" s="19" t="s">
        <v>182</v>
      </c>
      <c r="K4" s="19" t="s">
        <v>183</v>
      </c>
    </row>
    <row r="5" customFormat="false" ht="15" hidden="false" customHeight="false" outlineLevel="0" collapsed="false">
      <c r="B5" s="9" t="s">
        <v>68</v>
      </c>
      <c r="C5" s="5" t="s">
        <v>36</v>
      </c>
      <c r="D5" s="5" t="s">
        <v>184</v>
      </c>
      <c r="E5" s="9" t="s">
        <v>169</v>
      </c>
      <c r="F5" s="5" t="n">
        <v>0.5</v>
      </c>
      <c r="G5" s="5" t="s">
        <v>170</v>
      </c>
      <c r="H5" s="17" t="n">
        <f aca="false">IFERROR(INDEX(MATERIALES!$D$3:$D$57,MATCH(E5,MATERIALES!$B$3:$B$57,0)),"")</f>
        <v>15</v>
      </c>
      <c r="I5" s="17" t="n">
        <f aca="false">IF(H5="","",F5*H5)</f>
        <v>7.5</v>
      </c>
      <c r="J5" s="19" t="s">
        <v>185</v>
      </c>
      <c r="K5" s="19" t="s">
        <v>186</v>
      </c>
    </row>
    <row r="6" customFormat="false" ht="15" hidden="false" customHeight="false" outlineLevel="0" collapsed="false">
      <c r="B6" s="9" t="s">
        <v>68</v>
      </c>
      <c r="C6" s="5" t="s">
        <v>36</v>
      </c>
      <c r="D6" s="5" t="s">
        <v>187</v>
      </c>
      <c r="E6" s="9" t="s">
        <v>177</v>
      </c>
      <c r="F6" s="5" t="n">
        <v>0.5</v>
      </c>
      <c r="G6" s="5" t="s">
        <v>178</v>
      </c>
      <c r="H6" s="17" t="n">
        <f aca="false">IFERROR(INDEX(MATERIALES!$D$3:$D$57,MATCH(E6,MATERIALES!$B$3:$B$57,0)),"")</f>
        <v>4.5</v>
      </c>
      <c r="I6" s="17" t="n">
        <f aca="false">IF(H6="","",F6*H6)</f>
        <v>2.25</v>
      </c>
      <c r="J6" s="19" t="s">
        <v>188</v>
      </c>
      <c r="K6" s="19" t="s">
        <v>189</v>
      </c>
    </row>
    <row r="7" customFormat="false" ht="15" hidden="false" customHeight="false" outlineLevel="0" collapsed="false">
      <c r="B7" s="9" t="s">
        <v>68</v>
      </c>
      <c r="C7" s="5" t="s">
        <v>36</v>
      </c>
      <c r="D7" s="5" t="s">
        <v>187</v>
      </c>
      <c r="E7" s="9" t="s">
        <v>167</v>
      </c>
      <c r="F7" s="5" t="n">
        <v>0.25</v>
      </c>
      <c r="G7" s="5" t="s">
        <v>168</v>
      </c>
      <c r="H7" s="17" t="n">
        <f aca="false">IFERROR(INDEX(MATERIALES!$D$3:$D$57,MATCH(E7,MATERIALES!$B$3:$B$57,0)),"")</f>
        <v>24</v>
      </c>
      <c r="I7" s="17" t="n">
        <f aca="false">IF(H7="","",F7*H7)</f>
        <v>6</v>
      </c>
      <c r="J7" s="19" t="s">
        <v>190</v>
      </c>
      <c r="K7" s="19" t="s">
        <v>191</v>
      </c>
    </row>
    <row r="8" customFormat="false" ht="15" hidden="false" customHeight="false" outlineLevel="0" collapsed="false">
      <c r="B8" s="9" t="s">
        <v>68</v>
      </c>
      <c r="C8" s="5" t="s">
        <v>36</v>
      </c>
      <c r="D8" s="5" t="s">
        <v>192</v>
      </c>
      <c r="E8" s="9" t="s">
        <v>172</v>
      </c>
      <c r="F8" s="5" t="n">
        <v>0.5</v>
      </c>
      <c r="G8" s="5" t="s">
        <v>45</v>
      </c>
      <c r="H8" s="17" t="n">
        <f aca="false">IFERROR(INDEX(MATERIALES!$D$3:$D$57,MATCH(E8,MATERIALES!$B$3:$B$57,0)),"")</f>
        <v>15</v>
      </c>
      <c r="I8" s="17" t="n">
        <f aca="false">IF(H8="","",F8*H8)</f>
        <v>7.5</v>
      </c>
      <c r="J8" s="19" t="s">
        <v>193</v>
      </c>
      <c r="K8" s="19" t="s">
        <v>194</v>
      </c>
    </row>
    <row r="9" customFormat="false" ht="15" hidden="false" customHeight="false" outlineLevel="0" collapsed="false">
      <c r="B9" s="9" t="s">
        <v>68</v>
      </c>
      <c r="C9" s="5" t="s">
        <v>195</v>
      </c>
      <c r="D9" s="5" t="s">
        <v>179</v>
      </c>
      <c r="E9" s="9" t="s">
        <v>127</v>
      </c>
      <c r="F9" s="5" t="n">
        <v>1.5</v>
      </c>
      <c r="G9" s="5" t="s">
        <v>120</v>
      </c>
      <c r="H9" s="17" t="n">
        <f aca="false">IFERROR(INDEX(MATERIALES!$D$3:$D$57,MATCH(E9,MATERIALES!$B$3:$B$57,0)),"")</f>
        <v>20</v>
      </c>
      <c r="I9" s="17" t="n">
        <f aca="false">IF(H9="","",F9*H9)</f>
        <v>30</v>
      </c>
      <c r="J9" s="19" t="s">
        <v>196</v>
      </c>
      <c r="K9" s="19" t="s">
        <v>197</v>
      </c>
    </row>
    <row r="10" customFormat="false" ht="15" hidden="false" customHeight="false" outlineLevel="0" collapsed="false">
      <c r="B10" s="9" t="s">
        <v>68</v>
      </c>
      <c r="C10" s="5" t="s">
        <v>195</v>
      </c>
      <c r="D10" s="5" t="s">
        <v>179</v>
      </c>
      <c r="E10" s="9" t="s">
        <v>132</v>
      </c>
      <c r="F10" s="5" t="n">
        <v>1</v>
      </c>
      <c r="G10" s="5" t="s">
        <v>45</v>
      </c>
      <c r="H10" s="17" t="n">
        <f aca="false">IFERROR(INDEX(MATERIALES!$D$3:$D$57,MATCH(E10,MATERIALES!$B$3:$B$57,0)),"")</f>
        <v>2</v>
      </c>
      <c r="I10" s="17" t="n">
        <f aca="false">IF(H10="","",F10*H10)</f>
        <v>2</v>
      </c>
      <c r="J10" s="19" t="s">
        <v>198</v>
      </c>
      <c r="K10" s="19" t="s">
        <v>199</v>
      </c>
    </row>
    <row r="11" customFormat="false" ht="15" hidden="false" customHeight="false" outlineLevel="0" collapsed="false">
      <c r="B11" s="9" t="s">
        <v>68</v>
      </c>
      <c r="C11" s="5" t="s">
        <v>195</v>
      </c>
      <c r="D11" s="5" t="s">
        <v>192</v>
      </c>
      <c r="E11" s="9" t="s">
        <v>164</v>
      </c>
      <c r="F11" s="5" t="n">
        <v>1</v>
      </c>
      <c r="G11" s="5" t="s">
        <v>45</v>
      </c>
      <c r="H11" s="17" t="n">
        <f aca="false">IFERROR(INDEX(MATERIALES!$D$3:$D$57,MATCH(E11,MATERIALES!$B$3:$B$57,0)),"")</f>
        <v>8</v>
      </c>
      <c r="I11" s="17" t="n">
        <f aca="false">IF(H11="","",F11*H11)</f>
        <v>8</v>
      </c>
      <c r="J11" s="19" t="s">
        <v>200</v>
      </c>
      <c r="K11" s="19" t="s">
        <v>201</v>
      </c>
    </row>
    <row r="12" customFormat="false" ht="15" hidden="false" customHeight="false" outlineLevel="0" collapsed="false">
      <c r="B12" s="9" t="s">
        <v>68</v>
      </c>
      <c r="C12" s="5" t="s">
        <v>195</v>
      </c>
      <c r="D12" s="5" t="s">
        <v>192</v>
      </c>
      <c r="E12" s="9" t="s">
        <v>172</v>
      </c>
      <c r="F12" s="5" t="n">
        <v>0.5</v>
      </c>
      <c r="G12" s="5" t="s">
        <v>45</v>
      </c>
      <c r="H12" s="17" t="n">
        <f aca="false">IFERROR(INDEX(MATERIALES!$D$3:$D$57,MATCH(E12,MATERIALES!$B$3:$B$57,0)),"")</f>
        <v>15</v>
      </c>
      <c r="I12" s="17" t="n">
        <f aca="false">IF(H12="","",F12*H12)</f>
        <v>7.5</v>
      </c>
      <c r="J12" s="19" t="s">
        <v>202</v>
      </c>
      <c r="K12" s="19" t="s">
        <v>203</v>
      </c>
    </row>
    <row r="13" customFormat="false" ht="15" hidden="false" customHeight="false" outlineLevel="0" collapsed="false">
      <c r="B13" s="9" t="s">
        <v>68</v>
      </c>
      <c r="C13" s="5" t="s">
        <v>195</v>
      </c>
      <c r="D13" s="5" t="s">
        <v>184</v>
      </c>
      <c r="E13" s="9" t="s">
        <v>169</v>
      </c>
      <c r="F13" s="5" t="n">
        <v>0.5</v>
      </c>
      <c r="G13" s="5" t="s">
        <v>170</v>
      </c>
      <c r="H13" s="17" t="n">
        <f aca="false">IFERROR(INDEX(MATERIALES!$D$3:$D$57,MATCH(E13,MATERIALES!$B$3:$B$57,0)),"")</f>
        <v>15</v>
      </c>
      <c r="I13" s="17" t="n">
        <f aca="false">IF(H13="","",F13*H13)</f>
        <v>7.5</v>
      </c>
      <c r="J13" s="19" t="s">
        <v>204</v>
      </c>
      <c r="K13" s="19" t="s">
        <v>205</v>
      </c>
    </row>
    <row r="14" customFormat="false" ht="15" hidden="false" customHeight="false" outlineLevel="0" collapsed="false">
      <c r="B14" s="9" t="s">
        <v>68</v>
      </c>
      <c r="C14" s="5" t="s">
        <v>195</v>
      </c>
      <c r="D14" s="5" t="s">
        <v>187</v>
      </c>
      <c r="E14" s="9" t="s">
        <v>177</v>
      </c>
      <c r="F14" s="5" t="n">
        <v>0.5</v>
      </c>
      <c r="G14" s="5" t="s">
        <v>178</v>
      </c>
      <c r="H14" s="17" t="n">
        <f aca="false">IFERROR(INDEX(MATERIALES!$D$3:$D$57,MATCH(E14,MATERIALES!$B$3:$B$57,0)),"")</f>
        <v>4.5</v>
      </c>
      <c r="I14" s="17" t="n">
        <f aca="false">IF(H14="","",F14*H14)</f>
        <v>2.25</v>
      </c>
      <c r="J14" s="19" t="s">
        <v>206</v>
      </c>
      <c r="K14" s="19" t="s">
        <v>207</v>
      </c>
    </row>
    <row r="15" customFormat="false" ht="15" hidden="false" customHeight="false" outlineLevel="0" collapsed="false">
      <c r="B15" s="9" t="s">
        <v>68</v>
      </c>
      <c r="C15" s="5" t="s">
        <v>195</v>
      </c>
      <c r="D15" s="5" t="s">
        <v>187</v>
      </c>
      <c r="E15" s="9" t="s">
        <v>167</v>
      </c>
      <c r="F15" s="5" t="n">
        <v>0.25</v>
      </c>
      <c r="G15" s="5" t="s">
        <v>168</v>
      </c>
      <c r="H15" s="17" t="n">
        <f aca="false">IFERROR(INDEX(MATERIALES!$D$3:$D$57,MATCH(E15,MATERIALES!$B$3:$B$57,0)),"")</f>
        <v>24</v>
      </c>
      <c r="I15" s="17" t="n">
        <f aca="false">IF(H15="","",F15*H15)</f>
        <v>6</v>
      </c>
      <c r="J15" s="19" t="s">
        <v>208</v>
      </c>
      <c r="K15" s="19" t="s">
        <v>209</v>
      </c>
    </row>
    <row r="16" customFormat="false" ht="15" hidden="false" customHeight="false" outlineLevel="0" collapsed="false">
      <c r="B16" s="9" t="s">
        <v>68</v>
      </c>
      <c r="C16" s="5" t="s">
        <v>210</v>
      </c>
      <c r="D16" s="5" t="s">
        <v>179</v>
      </c>
      <c r="E16" s="9" t="s">
        <v>127</v>
      </c>
      <c r="F16" s="5" t="n">
        <v>1.5</v>
      </c>
      <c r="G16" s="5" t="s">
        <v>120</v>
      </c>
      <c r="H16" s="17" t="n">
        <f aca="false">IFERROR(INDEX(MATERIALES!$D$3:$D$57,MATCH(E16,MATERIALES!$B$3:$B$57,0)),"")</f>
        <v>20</v>
      </c>
      <c r="I16" s="17" t="n">
        <f aca="false">IF(H16="","",F16*H16)</f>
        <v>30</v>
      </c>
      <c r="J16" s="19" t="s">
        <v>211</v>
      </c>
      <c r="K16" s="19" t="s">
        <v>212</v>
      </c>
    </row>
    <row r="17" customFormat="false" ht="15" hidden="false" customHeight="false" outlineLevel="0" collapsed="false">
      <c r="B17" s="9" t="s">
        <v>68</v>
      </c>
      <c r="C17" s="5" t="s">
        <v>210</v>
      </c>
      <c r="D17" s="5" t="s">
        <v>179</v>
      </c>
      <c r="E17" s="9" t="s">
        <v>132</v>
      </c>
      <c r="F17" s="5" t="n">
        <v>1</v>
      </c>
      <c r="G17" s="5" t="s">
        <v>45</v>
      </c>
      <c r="H17" s="17" t="n">
        <f aca="false">IFERROR(INDEX(MATERIALES!$D$3:$D$57,MATCH(E17,MATERIALES!$B$3:$B$57,0)),"")</f>
        <v>2</v>
      </c>
      <c r="I17" s="17" t="n">
        <f aca="false">IF(H17="","",F17*H17)</f>
        <v>2</v>
      </c>
      <c r="J17" s="19" t="s">
        <v>213</v>
      </c>
      <c r="K17" s="19" t="s">
        <v>214</v>
      </c>
    </row>
    <row r="18" customFormat="false" ht="15" hidden="false" customHeight="false" outlineLevel="0" collapsed="false">
      <c r="B18" s="9" t="s">
        <v>68</v>
      </c>
      <c r="C18" s="5" t="s">
        <v>210</v>
      </c>
      <c r="D18" s="5" t="s">
        <v>184</v>
      </c>
      <c r="E18" s="9" t="s">
        <v>169</v>
      </c>
      <c r="F18" s="5" t="n">
        <v>0.5</v>
      </c>
      <c r="G18" s="5" t="s">
        <v>170</v>
      </c>
      <c r="H18" s="17" t="n">
        <f aca="false">IFERROR(INDEX(MATERIALES!$D$3:$D$57,MATCH(E18,MATERIALES!$B$3:$B$57,0)),"")</f>
        <v>15</v>
      </c>
      <c r="I18" s="17" t="n">
        <f aca="false">IF(H18="","",F18*H18)</f>
        <v>7.5</v>
      </c>
      <c r="J18" s="19" t="s">
        <v>215</v>
      </c>
      <c r="K18" s="19" t="s">
        <v>216</v>
      </c>
    </row>
    <row r="19" customFormat="false" ht="15" hidden="false" customHeight="false" outlineLevel="0" collapsed="false">
      <c r="B19" s="9" t="s">
        <v>68</v>
      </c>
      <c r="C19" s="5" t="s">
        <v>210</v>
      </c>
      <c r="D19" s="5" t="s">
        <v>187</v>
      </c>
      <c r="E19" s="9" t="s">
        <v>177</v>
      </c>
      <c r="F19" s="5" t="n">
        <v>0.5</v>
      </c>
      <c r="G19" s="5" t="s">
        <v>178</v>
      </c>
      <c r="H19" s="17" t="n">
        <f aca="false">IFERROR(INDEX(MATERIALES!$D$3:$D$57,MATCH(E19,MATERIALES!$B$3:$B$57,0)),"")</f>
        <v>4.5</v>
      </c>
      <c r="I19" s="17" t="n">
        <f aca="false">IF(H19="","",F19*H19)</f>
        <v>2.25</v>
      </c>
      <c r="J19" s="19" t="s">
        <v>217</v>
      </c>
      <c r="K19" s="19" t="s">
        <v>218</v>
      </c>
    </row>
    <row r="20" customFormat="false" ht="15" hidden="false" customHeight="false" outlineLevel="0" collapsed="false">
      <c r="B20" s="9" t="s">
        <v>68</v>
      </c>
      <c r="C20" s="5" t="s">
        <v>210</v>
      </c>
      <c r="D20" s="5" t="s">
        <v>187</v>
      </c>
      <c r="E20" s="9" t="s">
        <v>167</v>
      </c>
      <c r="F20" s="5" t="n">
        <v>0.25</v>
      </c>
      <c r="G20" s="5" t="s">
        <v>168</v>
      </c>
      <c r="H20" s="17" t="n">
        <f aca="false">IFERROR(INDEX(MATERIALES!$D$3:$D$57,MATCH(E20,MATERIALES!$B$3:$B$57,0)),"")</f>
        <v>24</v>
      </c>
      <c r="I20" s="17" t="n">
        <f aca="false">IF(H20="","",F20*H20)</f>
        <v>6</v>
      </c>
      <c r="J20" s="19" t="s">
        <v>219</v>
      </c>
      <c r="K20" s="19" t="s">
        <v>220</v>
      </c>
    </row>
    <row r="21" customFormat="false" ht="15" hidden="false" customHeight="false" outlineLevel="0" collapsed="false">
      <c r="B21" s="9" t="s">
        <v>68</v>
      </c>
      <c r="C21" s="5" t="s">
        <v>210</v>
      </c>
      <c r="D21" s="5" t="s">
        <v>192</v>
      </c>
      <c r="E21" s="9" t="s">
        <v>172</v>
      </c>
      <c r="F21" s="5" t="n">
        <v>0.5</v>
      </c>
      <c r="G21" s="5" t="s">
        <v>45</v>
      </c>
      <c r="H21" s="17" t="n">
        <f aca="false">IFERROR(INDEX(MATERIALES!$D$3:$D$57,MATCH(E21,MATERIALES!$B$3:$B$57,0)),"")</f>
        <v>15</v>
      </c>
      <c r="I21" s="17" t="n">
        <f aca="false">IF(H21="","",F21*H21)</f>
        <v>7.5</v>
      </c>
      <c r="J21" s="19" t="s">
        <v>221</v>
      </c>
      <c r="K21" s="19" t="s">
        <v>222</v>
      </c>
    </row>
    <row r="22" customFormat="false" ht="15" hidden="false" customHeight="false" outlineLevel="0" collapsed="false">
      <c r="B22" s="9" t="s">
        <v>68</v>
      </c>
      <c r="C22" s="5" t="s">
        <v>223</v>
      </c>
      <c r="D22" s="5" t="s">
        <v>179</v>
      </c>
      <c r="E22" s="9" t="s">
        <v>127</v>
      </c>
      <c r="F22" s="5" t="n">
        <v>1.5</v>
      </c>
      <c r="G22" s="5" t="s">
        <v>120</v>
      </c>
      <c r="H22" s="17" t="n">
        <f aca="false">IFERROR(INDEX(MATERIALES!$D$3:$D$57,MATCH(E22,MATERIALES!$B$3:$B$57,0)),"")</f>
        <v>20</v>
      </c>
      <c r="I22" s="17" t="n">
        <f aca="false">IF(H22="","",F22*H22)</f>
        <v>30</v>
      </c>
      <c r="J22" s="19" t="s">
        <v>224</v>
      </c>
      <c r="K22" s="19" t="s">
        <v>225</v>
      </c>
    </row>
    <row r="23" customFormat="false" ht="15" hidden="false" customHeight="false" outlineLevel="0" collapsed="false">
      <c r="B23" s="9" t="s">
        <v>68</v>
      </c>
      <c r="C23" s="5" t="s">
        <v>223</v>
      </c>
      <c r="D23" s="5" t="s">
        <v>179</v>
      </c>
      <c r="E23" s="9" t="s">
        <v>132</v>
      </c>
      <c r="F23" s="5" t="n">
        <v>1</v>
      </c>
      <c r="G23" s="5" t="s">
        <v>45</v>
      </c>
      <c r="H23" s="17" t="n">
        <f aca="false">IFERROR(INDEX(MATERIALES!$D$3:$D$57,MATCH(E23,MATERIALES!$B$3:$B$57,0)),"")</f>
        <v>2</v>
      </c>
      <c r="I23" s="17" t="n">
        <f aca="false">IF(H23="","",F23*H23)</f>
        <v>2</v>
      </c>
      <c r="J23" s="19" t="s">
        <v>226</v>
      </c>
      <c r="K23" s="19" t="s">
        <v>227</v>
      </c>
    </row>
    <row r="24" customFormat="false" ht="15" hidden="false" customHeight="false" outlineLevel="0" collapsed="false">
      <c r="B24" s="9" t="s">
        <v>68</v>
      </c>
      <c r="C24" s="5" t="s">
        <v>223</v>
      </c>
      <c r="D24" s="5" t="s">
        <v>192</v>
      </c>
      <c r="E24" s="9" t="s">
        <v>164</v>
      </c>
      <c r="F24" s="5" t="n">
        <v>1</v>
      </c>
      <c r="G24" s="5" t="s">
        <v>45</v>
      </c>
      <c r="H24" s="17" t="n">
        <f aca="false">IFERROR(INDEX(MATERIALES!$D$3:$D$57,MATCH(E24,MATERIALES!$B$3:$B$57,0)),"")</f>
        <v>8</v>
      </c>
      <c r="I24" s="17" t="n">
        <f aca="false">IF(H24="","",F24*H24)</f>
        <v>8</v>
      </c>
      <c r="J24" s="19" t="s">
        <v>228</v>
      </c>
      <c r="K24" s="19" t="s">
        <v>229</v>
      </c>
    </row>
    <row r="25" customFormat="false" ht="15" hidden="false" customHeight="false" outlineLevel="0" collapsed="false">
      <c r="B25" s="9" t="s">
        <v>68</v>
      </c>
      <c r="C25" s="5" t="s">
        <v>223</v>
      </c>
      <c r="D25" s="5" t="s">
        <v>192</v>
      </c>
      <c r="E25" s="9" t="s">
        <v>172</v>
      </c>
      <c r="F25" s="5" t="n">
        <v>0.5</v>
      </c>
      <c r="G25" s="5" t="s">
        <v>45</v>
      </c>
      <c r="H25" s="17" t="n">
        <f aca="false">IFERROR(INDEX(MATERIALES!$D$3:$D$57,MATCH(E25,MATERIALES!$B$3:$B$57,0)),"")</f>
        <v>15</v>
      </c>
      <c r="I25" s="17" t="n">
        <f aca="false">IF(H25="","",F25*H25)</f>
        <v>7.5</v>
      </c>
      <c r="J25" s="19" t="s">
        <v>230</v>
      </c>
      <c r="K25" s="19" t="s">
        <v>231</v>
      </c>
    </row>
    <row r="26" customFormat="false" ht="15" hidden="false" customHeight="false" outlineLevel="0" collapsed="false">
      <c r="B26" s="9" t="s">
        <v>68</v>
      </c>
      <c r="C26" s="5" t="s">
        <v>223</v>
      </c>
      <c r="D26" s="5" t="s">
        <v>232</v>
      </c>
      <c r="E26" s="9" t="s">
        <v>158</v>
      </c>
      <c r="F26" s="5" t="n">
        <v>1</v>
      </c>
      <c r="G26" s="5" t="s">
        <v>45</v>
      </c>
      <c r="H26" s="17" t="n">
        <f aca="false">IFERROR(INDEX(MATERIALES!$D$3:$D$57,MATCH(E26,MATERIALES!$B$3:$B$57,0)),"")</f>
        <v>30</v>
      </c>
      <c r="I26" s="17" t="n">
        <f aca="false">IF(H26="","",F26*H26)</f>
        <v>30</v>
      </c>
      <c r="J26" s="19" t="s">
        <v>233</v>
      </c>
      <c r="K26" s="19" t="s">
        <v>234</v>
      </c>
    </row>
    <row r="27" customFormat="false" ht="15" hidden="false" customHeight="false" outlineLevel="0" collapsed="false">
      <c r="B27" s="9" t="s">
        <v>68</v>
      </c>
      <c r="C27" s="5" t="s">
        <v>223</v>
      </c>
      <c r="D27" s="5" t="s">
        <v>235</v>
      </c>
      <c r="E27" s="9" t="s">
        <v>136</v>
      </c>
      <c r="F27" s="5" t="n">
        <v>1</v>
      </c>
      <c r="G27" s="5" t="s">
        <v>45</v>
      </c>
      <c r="H27" s="17" t="n">
        <f aca="false">IFERROR(INDEX(MATERIALES!$D$3:$D$57,MATCH(E27,MATERIALES!$B$3:$B$57,0)),"")</f>
        <v>12</v>
      </c>
      <c r="I27" s="17" t="n">
        <f aca="false">IF(H27="","",F27*H27)</f>
        <v>12</v>
      </c>
      <c r="J27" s="19" t="s">
        <v>236</v>
      </c>
      <c r="K27" s="19" t="s">
        <v>237</v>
      </c>
    </row>
    <row r="28" customFormat="false" ht="15" hidden="false" customHeight="false" outlineLevel="0" collapsed="false">
      <c r="B28" s="9" t="s">
        <v>68</v>
      </c>
      <c r="C28" s="5" t="s">
        <v>223</v>
      </c>
      <c r="D28" s="5" t="s">
        <v>184</v>
      </c>
      <c r="E28" s="9" t="s">
        <v>169</v>
      </c>
      <c r="F28" s="5" t="n">
        <v>0.5</v>
      </c>
      <c r="G28" s="5" t="s">
        <v>170</v>
      </c>
      <c r="H28" s="17" t="n">
        <f aca="false">IFERROR(INDEX(MATERIALES!$D$3:$D$57,MATCH(E28,MATERIALES!$B$3:$B$57,0)),"")</f>
        <v>15</v>
      </c>
      <c r="I28" s="17" t="n">
        <f aca="false">IF(H28="","",F28*H28)</f>
        <v>7.5</v>
      </c>
      <c r="J28" s="19" t="s">
        <v>238</v>
      </c>
      <c r="K28" s="19" t="s">
        <v>239</v>
      </c>
    </row>
    <row r="29" customFormat="false" ht="15" hidden="false" customHeight="false" outlineLevel="0" collapsed="false">
      <c r="B29" s="9" t="s">
        <v>68</v>
      </c>
      <c r="C29" s="5" t="s">
        <v>223</v>
      </c>
      <c r="D29" s="5" t="s">
        <v>187</v>
      </c>
      <c r="E29" s="9" t="s">
        <v>177</v>
      </c>
      <c r="F29" s="5" t="n">
        <v>0.5</v>
      </c>
      <c r="G29" s="5" t="s">
        <v>178</v>
      </c>
      <c r="H29" s="17" t="n">
        <f aca="false">IFERROR(INDEX(MATERIALES!$D$3:$D$57,MATCH(E29,MATERIALES!$B$3:$B$57,0)),"")</f>
        <v>4.5</v>
      </c>
      <c r="I29" s="17" t="n">
        <f aca="false">IF(H29="","",F29*H29)</f>
        <v>2.25</v>
      </c>
      <c r="J29" s="19" t="s">
        <v>240</v>
      </c>
      <c r="K29" s="19" t="s">
        <v>241</v>
      </c>
    </row>
    <row r="30" customFormat="false" ht="15" hidden="false" customHeight="false" outlineLevel="0" collapsed="false">
      <c r="B30" s="9" t="s">
        <v>68</v>
      </c>
      <c r="C30" s="5" t="s">
        <v>223</v>
      </c>
      <c r="D30" s="5" t="s">
        <v>187</v>
      </c>
      <c r="E30" s="9" t="s">
        <v>167</v>
      </c>
      <c r="F30" s="5" t="n">
        <v>0.25</v>
      </c>
      <c r="G30" s="5" t="s">
        <v>168</v>
      </c>
      <c r="H30" s="17" t="n">
        <f aca="false">IFERROR(INDEX(MATERIALES!$D$3:$D$57,MATCH(E30,MATERIALES!$B$3:$B$57,0)),"")</f>
        <v>24</v>
      </c>
      <c r="I30" s="17" t="n">
        <f aca="false">IF(H30="","",F30*H30)</f>
        <v>6</v>
      </c>
      <c r="J30" s="19" t="s">
        <v>242</v>
      </c>
      <c r="K30" s="19" t="s">
        <v>243</v>
      </c>
    </row>
    <row r="31" customFormat="false" ht="15" hidden="false" customHeight="false" outlineLevel="0" collapsed="false">
      <c r="B31" s="9" t="s">
        <v>68</v>
      </c>
      <c r="C31" s="5" t="s">
        <v>244</v>
      </c>
      <c r="D31" s="5" t="s">
        <v>179</v>
      </c>
      <c r="E31" s="9" t="s">
        <v>127</v>
      </c>
      <c r="F31" s="5" t="n">
        <v>1.5</v>
      </c>
      <c r="G31" s="5" t="s">
        <v>120</v>
      </c>
      <c r="H31" s="17" t="n">
        <f aca="false">IFERROR(INDEX(MATERIALES!$D$3:$D$57,MATCH(E31,MATERIALES!$B$3:$B$57,0)),"")</f>
        <v>20</v>
      </c>
      <c r="I31" s="17" t="n">
        <f aca="false">IF(H31="","",F31*H31)</f>
        <v>30</v>
      </c>
      <c r="J31" s="19" t="s">
        <v>245</v>
      </c>
      <c r="K31" s="19" t="s">
        <v>246</v>
      </c>
    </row>
    <row r="32" customFormat="false" ht="15" hidden="false" customHeight="false" outlineLevel="0" collapsed="false">
      <c r="B32" s="9" t="s">
        <v>68</v>
      </c>
      <c r="C32" s="5" t="s">
        <v>244</v>
      </c>
      <c r="D32" s="5" t="s">
        <v>179</v>
      </c>
      <c r="E32" s="9" t="s">
        <v>132</v>
      </c>
      <c r="F32" s="5" t="n">
        <v>1</v>
      </c>
      <c r="G32" s="5" t="s">
        <v>45</v>
      </c>
      <c r="H32" s="17" t="n">
        <f aca="false">IFERROR(INDEX(MATERIALES!$D$3:$D$57,MATCH(E32,MATERIALES!$B$3:$B$57,0)),"")</f>
        <v>2</v>
      </c>
      <c r="I32" s="17" t="n">
        <f aca="false">IF(H32="","",F32*H32)</f>
        <v>2</v>
      </c>
      <c r="J32" s="19" t="s">
        <v>247</v>
      </c>
      <c r="K32" s="19" t="s">
        <v>248</v>
      </c>
    </row>
    <row r="33" customFormat="false" ht="15" hidden="false" customHeight="false" outlineLevel="0" collapsed="false">
      <c r="B33" s="9" t="s">
        <v>68</v>
      </c>
      <c r="C33" s="5" t="s">
        <v>244</v>
      </c>
      <c r="D33" s="5" t="s">
        <v>184</v>
      </c>
      <c r="E33" s="9" t="s">
        <v>169</v>
      </c>
      <c r="F33" s="5" t="n">
        <v>0.5</v>
      </c>
      <c r="G33" s="5" t="s">
        <v>170</v>
      </c>
      <c r="H33" s="17" t="n">
        <f aca="false">IFERROR(INDEX(MATERIALES!$D$3:$D$57,MATCH(E33,MATERIALES!$B$3:$B$57,0)),"")</f>
        <v>15</v>
      </c>
      <c r="I33" s="17" t="n">
        <f aca="false">IF(H33="","",F33*H33)</f>
        <v>7.5</v>
      </c>
      <c r="J33" s="19" t="s">
        <v>249</v>
      </c>
      <c r="K33" s="19" t="s">
        <v>250</v>
      </c>
    </row>
    <row r="34" customFormat="false" ht="15" hidden="false" customHeight="false" outlineLevel="0" collapsed="false">
      <c r="B34" s="9" t="s">
        <v>68</v>
      </c>
      <c r="C34" s="5" t="s">
        <v>244</v>
      </c>
      <c r="D34" s="5" t="s">
        <v>187</v>
      </c>
      <c r="E34" s="9" t="s">
        <v>177</v>
      </c>
      <c r="F34" s="5" t="n">
        <v>0.5</v>
      </c>
      <c r="G34" s="5" t="s">
        <v>178</v>
      </c>
      <c r="H34" s="17" t="n">
        <f aca="false">IFERROR(INDEX(MATERIALES!$D$3:$D$57,MATCH(E34,MATERIALES!$B$3:$B$57,0)),"")</f>
        <v>4.5</v>
      </c>
      <c r="I34" s="17" t="n">
        <f aca="false">IF(H34="","",F34*H34)</f>
        <v>2.25</v>
      </c>
      <c r="J34" s="19" t="s">
        <v>251</v>
      </c>
      <c r="K34" s="19" t="s">
        <v>252</v>
      </c>
    </row>
    <row r="35" customFormat="false" ht="15" hidden="false" customHeight="false" outlineLevel="0" collapsed="false">
      <c r="B35" s="9" t="s">
        <v>68</v>
      </c>
      <c r="C35" s="5" t="s">
        <v>244</v>
      </c>
      <c r="D35" s="5" t="s">
        <v>187</v>
      </c>
      <c r="E35" s="9" t="s">
        <v>167</v>
      </c>
      <c r="F35" s="5" t="n">
        <v>0.25</v>
      </c>
      <c r="G35" s="5" t="s">
        <v>168</v>
      </c>
      <c r="H35" s="17" t="n">
        <f aca="false">IFERROR(INDEX(MATERIALES!$D$3:$D$57,MATCH(E35,MATERIALES!$B$3:$B$57,0)),"")</f>
        <v>24</v>
      </c>
      <c r="I35" s="17" t="n">
        <f aca="false">IF(H35="","",F35*H35)</f>
        <v>6</v>
      </c>
      <c r="J35" s="19" t="s">
        <v>253</v>
      </c>
      <c r="K35" s="19" t="s">
        <v>254</v>
      </c>
    </row>
    <row r="36" customFormat="false" ht="15" hidden="false" customHeight="false" outlineLevel="0" collapsed="false">
      <c r="B36" s="9" t="s">
        <v>68</v>
      </c>
      <c r="C36" s="5" t="s">
        <v>244</v>
      </c>
      <c r="D36" s="5" t="s">
        <v>192</v>
      </c>
      <c r="E36" s="9" t="s">
        <v>172</v>
      </c>
      <c r="F36" s="5" t="n">
        <v>0.5</v>
      </c>
      <c r="G36" s="5" t="s">
        <v>45</v>
      </c>
      <c r="H36" s="17" t="n">
        <f aca="false">IFERROR(INDEX(MATERIALES!$D$3:$D$57,MATCH(E36,MATERIALES!$B$3:$B$57,0)),"")</f>
        <v>15</v>
      </c>
      <c r="I36" s="17" t="n">
        <f aca="false">IF(H36="","",F36*H36)</f>
        <v>7.5</v>
      </c>
      <c r="J36" s="19" t="s">
        <v>255</v>
      </c>
      <c r="K36" s="19" t="s">
        <v>256</v>
      </c>
    </row>
    <row r="37" customFormat="false" ht="15" hidden="false" customHeight="false" outlineLevel="0" collapsed="false">
      <c r="B37" s="9" t="s">
        <v>68</v>
      </c>
      <c r="C37" s="5" t="s">
        <v>257</v>
      </c>
      <c r="D37" s="5" t="s">
        <v>179</v>
      </c>
      <c r="E37" s="9" t="s">
        <v>127</v>
      </c>
      <c r="F37" s="5" t="n">
        <v>1.5</v>
      </c>
      <c r="G37" s="5" t="s">
        <v>120</v>
      </c>
      <c r="H37" s="17" t="n">
        <f aca="false">IFERROR(INDEX(MATERIALES!$D$3:$D$57,MATCH(E37,MATERIALES!$B$3:$B$57,0)),"")</f>
        <v>20</v>
      </c>
      <c r="I37" s="17" t="n">
        <f aca="false">IF(H37="","",F37*H37)</f>
        <v>30</v>
      </c>
      <c r="J37" s="19" t="s">
        <v>258</v>
      </c>
      <c r="K37" s="19" t="s">
        <v>259</v>
      </c>
    </row>
    <row r="38" customFormat="false" ht="15" hidden="false" customHeight="false" outlineLevel="0" collapsed="false">
      <c r="B38" s="9" t="s">
        <v>68</v>
      </c>
      <c r="C38" s="5" t="s">
        <v>257</v>
      </c>
      <c r="D38" s="5" t="s">
        <v>179</v>
      </c>
      <c r="E38" s="9" t="s">
        <v>132</v>
      </c>
      <c r="F38" s="5" t="n">
        <v>1</v>
      </c>
      <c r="G38" s="5" t="s">
        <v>45</v>
      </c>
      <c r="H38" s="17" t="n">
        <f aca="false">IFERROR(INDEX(MATERIALES!$D$3:$D$57,MATCH(E38,MATERIALES!$B$3:$B$57,0)),"")</f>
        <v>2</v>
      </c>
      <c r="I38" s="17" t="n">
        <f aca="false">IF(H38="","",F38*H38)</f>
        <v>2</v>
      </c>
      <c r="J38" s="19" t="s">
        <v>260</v>
      </c>
      <c r="K38" s="19" t="s">
        <v>261</v>
      </c>
    </row>
    <row r="39" customFormat="false" ht="15" hidden="false" customHeight="false" outlineLevel="0" collapsed="false">
      <c r="B39" s="9" t="s">
        <v>68</v>
      </c>
      <c r="C39" s="5" t="s">
        <v>257</v>
      </c>
      <c r="D39" s="5" t="s">
        <v>192</v>
      </c>
      <c r="E39" s="9" t="s">
        <v>164</v>
      </c>
      <c r="F39" s="5" t="n">
        <v>1</v>
      </c>
      <c r="G39" s="5" t="s">
        <v>45</v>
      </c>
      <c r="H39" s="17" t="n">
        <f aca="false">IFERROR(INDEX(MATERIALES!$D$3:$D$57,MATCH(E39,MATERIALES!$B$3:$B$57,0)),"")</f>
        <v>8</v>
      </c>
      <c r="I39" s="17" t="n">
        <f aca="false">IF(H39="","",F39*H39)</f>
        <v>8</v>
      </c>
      <c r="J39" s="19" t="s">
        <v>262</v>
      </c>
      <c r="K39" s="19" t="s">
        <v>263</v>
      </c>
    </row>
    <row r="40" customFormat="false" ht="15" hidden="false" customHeight="false" outlineLevel="0" collapsed="false">
      <c r="B40" s="9" t="s">
        <v>68</v>
      </c>
      <c r="C40" s="5" t="s">
        <v>257</v>
      </c>
      <c r="D40" s="5" t="s">
        <v>192</v>
      </c>
      <c r="E40" s="9" t="s">
        <v>172</v>
      </c>
      <c r="F40" s="5" t="n">
        <v>0.5</v>
      </c>
      <c r="G40" s="5" t="s">
        <v>45</v>
      </c>
      <c r="H40" s="17" t="n">
        <f aca="false">IFERROR(INDEX(MATERIALES!$D$3:$D$57,MATCH(E40,MATERIALES!$B$3:$B$57,0)),"")</f>
        <v>15</v>
      </c>
      <c r="I40" s="17" t="n">
        <f aca="false">IF(H40="","",F40*H40)</f>
        <v>7.5</v>
      </c>
      <c r="J40" s="19" t="s">
        <v>264</v>
      </c>
      <c r="K40" s="19" t="s">
        <v>265</v>
      </c>
    </row>
    <row r="41" customFormat="false" ht="15" hidden="false" customHeight="false" outlineLevel="0" collapsed="false">
      <c r="B41" s="9" t="s">
        <v>68</v>
      </c>
      <c r="C41" s="5" t="s">
        <v>257</v>
      </c>
      <c r="D41" s="5" t="s">
        <v>232</v>
      </c>
      <c r="E41" s="9" t="s">
        <v>158</v>
      </c>
      <c r="F41" s="5" t="n">
        <v>1</v>
      </c>
      <c r="G41" s="5" t="s">
        <v>45</v>
      </c>
      <c r="H41" s="17" t="n">
        <f aca="false">IFERROR(INDEX(MATERIALES!$D$3:$D$57,MATCH(E41,MATERIALES!$B$3:$B$57,0)),"")</f>
        <v>30</v>
      </c>
      <c r="I41" s="17" t="n">
        <f aca="false">IF(H41="","",F41*H41)</f>
        <v>30</v>
      </c>
      <c r="J41" s="19" t="s">
        <v>266</v>
      </c>
      <c r="K41" s="19" t="s">
        <v>267</v>
      </c>
    </row>
    <row r="42" customFormat="false" ht="15" hidden="false" customHeight="false" outlineLevel="0" collapsed="false">
      <c r="B42" s="9" t="s">
        <v>68</v>
      </c>
      <c r="C42" s="5" t="s">
        <v>257</v>
      </c>
      <c r="D42" s="5" t="s">
        <v>235</v>
      </c>
      <c r="E42" s="9" t="s">
        <v>136</v>
      </c>
      <c r="F42" s="5" t="n">
        <v>1</v>
      </c>
      <c r="G42" s="5" t="s">
        <v>45</v>
      </c>
      <c r="H42" s="17" t="n">
        <f aca="false">IFERROR(INDEX(MATERIALES!$D$3:$D$57,MATCH(E42,MATERIALES!$B$3:$B$57,0)),"")</f>
        <v>12</v>
      </c>
      <c r="I42" s="17" t="n">
        <f aca="false">IF(H42="","",F42*H42)</f>
        <v>12</v>
      </c>
      <c r="J42" s="19" t="s">
        <v>268</v>
      </c>
      <c r="K42" s="19" t="s">
        <v>269</v>
      </c>
    </row>
    <row r="43" customFormat="false" ht="15" hidden="false" customHeight="false" outlineLevel="0" collapsed="false">
      <c r="B43" s="9" t="s">
        <v>68</v>
      </c>
      <c r="C43" s="5" t="s">
        <v>257</v>
      </c>
      <c r="D43" s="5" t="s">
        <v>270</v>
      </c>
      <c r="E43" s="9" t="s">
        <v>124</v>
      </c>
      <c r="F43" s="5" t="n">
        <v>1</v>
      </c>
      <c r="G43" s="5" t="s">
        <v>120</v>
      </c>
      <c r="H43" s="17" t="n">
        <f aca="false">IFERROR(INDEX(MATERIALES!$D$3:$D$57,MATCH(E43,MATERIALES!$B$3:$B$57,0)),"")</f>
        <v>25</v>
      </c>
      <c r="I43" s="17" t="n">
        <f aca="false">IF(H43="","",F43*H43)</f>
        <v>25</v>
      </c>
      <c r="J43" s="19" t="s">
        <v>271</v>
      </c>
      <c r="K43" s="19" t="s">
        <v>272</v>
      </c>
    </row>
    <row r="44" customFormat="false" ht="15" hidden="false" customHeight="false" outlineLevel="0" collapsed="false">
      <c r="B44" s="9" t="s">
        <v>68</v>
      </c>
      <c r="C44" s="5" t="s">
        <v>257</v>
      </c>
      <c r="D44" s="5" t="s">
        <v>184</v>
      </c>
      <c r="E44" s="9" t="s">
        <v>169</v>
      </c>
      <c r="F44" s="5" t="n">
        <v>0.5</v>
      </c>
      <c r="G44" s="5" t="s">
        <v>170</v>
      </c>
      <c r="H44" s="17" t="n">
        <f aca="false">IFERROR(INDEX(MATERIALES!$D$3:$D$57,MATCH(E44,MATERIALES!$B$3:$B$57,0)),"")</f>
        <v>15</v>
      </c>
      <c r="I44" s="17" t="n">
        <f aca="false">IF(H44="","",F44*H44)</f>
        <v>7.5</v>
      </c>
      <c r="J44" s="19" t="s">
        <v>273</v>
      </c>
      <c r="K44" s="19" t="s">
        <v>274</v>
      </c>
    </row>
    <row r="45" customFormat="false" ht="15" hidden="false" customHeight="false" outlineLevel="0" collapsed="false">
      <c r="B45" s="9" t="s">
        <v>68</v>
      </c>
      <c r="C45" s="5" t="s">
        <v>257</v>
      </c>
      <c r="D45" s="5" t="s">
        <v>187</v>
      </c>
      <c r="E45" s="9" t="s">
        <v>177</v>
      </c>
      <c r="F45" s="5" t="n">
        <v>0.5</v>
      </c>
      <c r="G45" s="5" t="s">
        <v>178</v>
      </c>
      <c r="H45" s="17" t="n">
        <f aca="false">IFERROR(INDEX(MATERIALES!$D$3:$D$57,MATCH(E45,MATERIALES!$B$3:$B$57,0)),"")</f>
        <v>4.5</v>
      </c>
      <c r="I45" s="17" t="n">
        <f aca="false">IF(H45="","",F45*H45)</f>
        <v>2.25</v>
      </c>
      <c r="J45" s="19" t="s">
        <v>275</v>
      </c>
      <c r="K45" s="19" t="s">
        <v>276</v>
      </c>
    </row>
    <row r="46" customFormat="false" ht="15" hidden="false" customHeight="false" outlineLevel="0" collapsed="false">
      <c r="B46" s="9" t="s">
        <v>68</v>
      </c>
      <c r="C46" s="5" t="s">
        <v>257</v>
      </c>
      <c r="D46" s="5" t="s">
        <v>187</v>
      </c>
      <c r="E46" s="9" t="s">
        <v>167</v>
      </c>
      <c r="F46" s="5" t="n">
        <v>0.25</v>
      </c>
      <c r="G46" s="5" t="s">
        <v>168</v>
      </c>
      <c r="H46" s="17" t="n">
        <f aca="false">IFERROR(INDEX(MATERIALES!$D$3:$D$57,MATCH(E46,MATERIALES!$B$3:$B$57,0)),"")</f>
        <v>24</v>
      </c>
      <c r="I46" s="17" t="n">
        <f aca="false">IF(H46="","",F46*H46)</f>
        <v>6</v>
      </c>
      <c r="J46" s="19" t="s">
        <v>277</v>
      </c>
      <c r="K46" s="19" t="s">
        <v>278</v>
      </c>
    </row>
    <row r="47" customFormat="false" ht="15" hidden="false" customHeight="false" outlineLevel="0" collapsed="false">
      <c r="B47" s="9" t="s">
        <v>76</v>
      </c>
      <c r="C47" s="5" t="s">
        <v>36</v>
      </c>
      <c r="D47" s="5" t="s">
        <v>179</v>
      </c>
      <c r="E47" s="9" t="s">
        <v>129</v>
      </c>
      <c r="F47" s="5" t="n">
        <v>2</v>
      </c>
      <c r="G47" s="5" t="s">
        <v>120</v>
      </c>
      <c r="H47" s="17" t="n">
        <f aca="false">IFERROR(INDEX(MATERIALES!$D$3:$D$57,MATCH(E47,MATERIALES!$B$3:$B$57,0)),"")</f>
        <v>70</v>
      </c>
      <c r="I47" s="17" t="n">
        <f aca="false">IF(H47="","",F47*H47)</f>
        <v>140</v>
      </c>
      <c r="J47" s="19" t="s">
        <v>279</v>
      </c>
      <c r="K47" s="19" t="s">
        <v>280</v>
      </c>
    </row>
    <row r="48" customFormat="false" ht="15" hidden="false" customHeight="false" outlineLevel="0" collapsed="false">
      <c r="B48" s="9" t="s">
        <v>76</v>
      </c>
      <c r="C48" s="5" t="s">
        <v>36</v>
      </c>
      <c r="D48" s="5" t="s">
        <v>179</v>
      </c>
      <c r="E48" s="9" t="s">
        <v>133</v>
      </c>
      <c r="F48" s="5" t="n">
        <v>1</v>
      </c>
      <c r="G48" s="5" t="s">
        <v>45</v>
      </c>
      <c r="H48" s="17" t="n">
        <f aca="false">IFERROR(INDEX(MATERIALES!$D$3:$D$57,MATCH(E48,MATERIALES!$B$3:$B$57,0)),"")</f>
        <v>2</v>
      </c>
      <c r="I48" s="17" t="n">
        <f aca="false">IF(H48="","",F48*H48)</f>
        <v>2</v>
      </c>
      <c r="J48" s="19" t="s">
        <v>281</v>
      </c>
      <c r="K48" s="19" t="s">
        <v>282</v>
      </c>
    </row>
    <row r="49" customFormat="false" ht="15" hidden="false" customHeight="false" outlineLevel="0" collapsed="false">
      <c r="B49" s="9" t="s">
        <v>76</v>
      </c>
      <c r="C49" s="5" t="s">
        <v>36</v>
      </c>
      <c r="D49" s="5" t="s">
        <v>184</v>
      </c>
      <c r="E49" s="9" t="s">
        <v>169</v>
      </c>
      <c r="F49" s="5" t="n">
        <v>0.25</v>
      </c>
      <c r="G49" s="5" t="s">
        <v>170</v>
      </c>
      <c r="H49" s="17" t="n">
        <f aca="false">IFERROR(INDEX(MATERIALES!$D$3:$D$57,MATCH(E49,MATERIALES!$B$3:$B$57,0)),"")</f>
        <v>15</v>
      </c>
      <c r="I49" s="17" t="n">
        <f aca="false">IF(H49="","",F49*H49)</f>
        <v>3.75</v>
      </c>
      <c r="J49" s="19" t="s">
        <v>283</v>
      </c>
      <c r="K49" s="19" t="s">
        <v>284</v>
      </c>
    </row>
    <row r="50" customFormat="false" ht="15" hidden="false" customHeight="false" outlineLevel="0" collapsed="false">
      <c r="B50" s="9" t="s">
        <v>76</v>
      </c>
      <c r="C50" s="5" t="s">
        <v>36</v>
      </c>
      <c r="D50" s="5" t="s">
        <v>187</v>
      </c>
      <c r="E50" s="9" t="s">
        <v>177</v>
      </c>
      <c r="F50" s="5" t="n">
        <v>0.5</v>
      </c>
      <c r="G50" s="5" t="s">
        <v>178</v>
      </c>
      <c r="H50" s="17" t="n">
        <f aca="false">IFERROR(INDEX(MATERIALES!$D$3:$D$57,MATCH(E50,MATERIALES!$B$3:$B$57,0)),"")</f>
        <v>4.5</v>
      </c>
      <c r="I50" s="17" t="n">
        <f aca="false">IF(H50="","",F50*H50)</f>
        <v>2.25</v>
      </c>
      <c r="J50" s="19" t="s">
        <v>285</v>
      </c>
      <c r="K50" s="19" t="s">
        <v>286</v>
      </c>
    </row>
    <row r="51" customFormat="false" ht="15" hidden="false" customHeight="false" outlineLevel="0" collapsed="false">
      <c r="B51" s="9" t="s">
        <v>76</v>
      </c>
      <c r="C51" s="5" t="s">
        <v>36</v>
      </c>
      <c r="D51" s="5" t="s">
        <v>187</v>
      </c>
      <c r="E51" s="9" t="s">
        <v>167</v>
      </c>
      <c r="F51" s="5" t="n">
        <v>0.25</v>
      </c>
      <c r="G51" s="5" t="s">
        <v>168</v>
      </c>
      <c r="H51" s="17" t="n">
        <f aca="false">IFERROR(INDEX(MATERIALES!$D$3:$D$57,MATCH(E51,MATERIALES!$B$3:$B$57,0)),"")</f>
        <v>24</v>
      </c>
      <c r="I51" s="17" t="n">
        <f aca="false">IF(H51="","",F51*H51)</f>
        <v>6</v>
      </c>
      <c r="J51" s="19" t="s">
        <v>287</v>
      </c>
      <c r="K51" s="19" t="s">
        <v>288</v>
      </c>
    </row>
    <row r="52" customFormat="false" ht="15" hidden="false" customHeight="false" outlineLevel="0" collapsed="false">
      <c r="B52" s="9" t="s">
        <v>76</v>
      </c>
      <c r="C52" s="5" t="s">
        <v>36</v>
      </c>
      <c r="D52" s="5" t="s">
        <v>192</v>
      </c>
      <c r="E52" s="9" t="s">
        <v>172</v>
      </c>
      <c r="F52" s="5" t="n">
        <v>0.5</v>
      </c>
      <c r="G52" s="5" t="s">
        <v>45</v>
      </c>
      <c r="H52" s="17" t="n">
        <f aca="false">IFERROR(INDEX(MATERIALES!$D$3:$D$57,MATCH(E52,MATERIALES!$B$3:$B$57,0)),"")</f>
        <v>15</v>
      </c>
      <c r="I52" s="17" t="n">
        <f aca="false">IF(H52="","",F52*H52)</f>
        <v>7.5</v>
      </c>
      <c r="J52" s="19" t="s">
        <v>289</v>
      </c>
      <c r="K52" s="19" t="s">
        <v>290</v>
      </c>
    </row>
    <row r="53" customFormat="false" ht="15" hidden="false" customHeight="false" outlineLevel="0" collapsed="false">
      <c r="B53" s="9" t="s">
        <v>76</v>
      </c>
      <c r="C53" s="5" t="s">
        <v>195</v>
      </c>
      <c r="D53" s="5" t="s">
        <v>179</v>
      </c>
      <c r="E53" s="9" t="s">
        <v>129</v>
      </c>
      <c r="F53" s="5" t="n">
        <v>2</v>
      </c>
      <c r="G53" s="5" t="s">
        <v>120</v>
      </c>
      <c r="H53" s="17" t="n">
        <f aca="false">IFERROR(INDEX(MATERIALES!$D$3:$D$57,MATCH(E53,MATERIALES!$B$3:$B$57,0)),"")</f>
        <v>70</v>
      </c>
      <c r="I53" s="17" t="n">
        <f aca="false">IF(H53="","",F53*H53)</f>
        <v>140</v>
      </c>
      <c r="J53" s="19" t="s">
        <v>291</v>
      </c>
      <c r="K53" s="19" t="s">
        <v>292</v>
      </c>
    </row>
    <row r="54" customFormat="false" ht="15" hidden="false" customHeight="false" outlineLevel="0" collapsed="false">
      <c r="B54" s="9" t="s">
        <v>76</v>
      </c>
      <c r="C54" s="5" t="s">
        <v>195</v>
      </c>
      <c r="D54" s="5" t="s">
        <v>179</v>
      </c>
      <c r="E54" s="9" t="s">
        <v>133</v>
      </c>
      <c r="F54" s="5" t="n">
        <v>1</v>
      </c>
      <c r="G54" s="5" t="s">
        <v>45</v>
      </c>
      <c r="H54" s="17" t="n">
        <f aca="false">IFERROR(INDEX(MATERIALES!$D$3:$D$57,MATCH(E54,MATERIALES!$B$3:$B$57,0)),"")</f>
        <v>2</v>
      </c>
      <c r="I54" s="17" t="n">
        <f aca="false">IF(H54="","",F54*H54)</f>
        <v>2</v>
      </c>
      <c r="J54" s="19" t="s">
        <v>293</v>
      </c>
      <c r="K54" s="19" t="s">
        <v>294</v>
      </c>
    </row>
    <row r="55" customFormat="false" ht="15" hidden="false" customHeight="false" outlineLevel="0" collapsed="false">
      <c r="B55" s="9" t="s">
        <v>76</v>
      </c>
      <c r="C55" s="5" t="s">
        <v>195</v>
      </c>
      <c r="D55" s="5" t="s">
        <v>179</v>
      </c>
      <c r="E55" s="9" t="s">
        <v>142</v>
      </c>
      <c r="F55" s="5" t="n">
        <v>1</v>
      </c>
      <c r="G55" s="5" t="s">
        <v>45</v>
      </c>
      <c r="H55" s="17" t="n">
        <f aca="false">IFERROR(INDEX(MATERIALES!$D$3:$D$57,MATCH(E55,MATERIALES!$B$3:$B$57,0)),"")</f>
        <v>25</v>
      </c>
      <c r="I55" s="17" t="n">
        <f aca="false">IF(H55="","",F55*H55)</f>
        <v>25</v>
      </c>
      <c r="J55" s="19" t="s">
        <v>295</v>
      </c>
      <c r="K55" s="19" t="s">
        <v>296</v>
      </c>
    </row>
    <row r="56" customFormat="false" ht="15" hidden="false" customHeight="false" outlineLevel="0" collapsed="false">
      <c r="B56" s="9" t="s">
        <v>76</v>
      </c>
      <c r="C56" s="5" t="s">
        <v>195</v>
      </c>
      <c r="D56" s="5" t="s">
        <v>192</v>
      </c>
      <c r="E56" s="9" t="s">
        <v>164</v>
      </c>
      <c r="F56" s="5" t="n">
        <v>1</v>
      </c>
      <c r="G56" s="5" t="s">
        <v>45</v>
      </c>
      <c r="H56" s="17" t="n">
        <f aca="false">IFERROR(INDEX(MATERIALES!$D$3:$D$57,MATCH(E56,MATERIALES!$B$3:$B$57,0)),"")</f>
        <v>8</v>
      </c>
      <c r="I56" s="17" t="n">
        <f aca="false">IF(H56="","",F56*H56)</f>
        <v>8</v>
      </c>
      <c r="J56" s="19" t="s">
        <v>297</v>
      </c>
      <c r="K56" s="19" t="s">
        <v>298</v>
      </c>
    </row>
    <row r="57" customFormat="false" ht="15" hidden="false" customHeight="false" outlineLevel="0" collapsed="false">
      <c r="B57" s="9" t="s">
        <v>76</v>
      </c>
      <c r="C57" s="5" t="s">
        <v>195</v>
      </c>
      <c r="D57" s="5" t="s">
        <v>192</v>
      </c>
      <c r="E57" s="9" t="s">
        <v>172</v>
      </c>
      <c r="F57" s="5" t="n">
        <v>0.5</v>
      </c>
      <c r="G57" s="5" t="s">
        <v>45</v>
      </c>
      <c r="H57" s="17" t="n">
        <f aca="false">IFERROR(INDEX(MATERIALES!$D$3:$D$57,MATCH(E57,MATERIALES!$B$3:$B$57,0)),"")</f>
        <v>15</v>
      </c>
      <c r="I57" s="17" t="n">
        <f aca="false">IF(H57="","",F57*H57)</f>
        <v>7.5</v>
      </c>
      <c r="J57" s="19" t="s">
        <v>299</v>
      </c>
      <c r="K57" s="19" t="s">
        <v>300</v>
      </c>
    </row>
    <row r="58" customFormat="false" ht="15" hidden="false" customHeight="false" outlineLevel="0" collapsed="false">
      <c r="B58" s="9" t="s">
        <v>76</v>
      </c>
      <c r="C58" s="5" t="s">
        <v>195</v>
      </c>
      <c r="D58" s="5" t="s">
        <v>184</v>
      </c>
      <c r="E58" s="9" t="s">
        <v>169</v>
      </c>
      <c r="F58" s="5" t="n">
        <v>0.25</v>
      </c>
      <c r="G58" s="5" t="s">
        <v>170</v>
      </c>
      <c r="H58" s="17" t="n">
        <f aca="false">IFERROR(INDEX(MATERIALES!$D$3:$D$57,MATCH(E58,MATERIALES!$B$3:$B$57,0)),"")</f>
        <v>15</v>
      </c>
      <c r="I58" s="17" t="n">
        <f aca="false">IF(H58="","",F58*H58)</f>
        <v>3.75</v>
      </c>
      <c r="J58" s="19" t="s">
        <v>301</v>
      </c>
      <c r="K58" s="19" t="s">
        <v>302</v>
      </c>
    </row>
    <row r="59" customFormat="false" ht="15" hidden="false" customHeight="false" outlineLevel="0" collapsed="false">
      <c r="B59" s="9" t="s">
        <v>76</v>
      </c>
      <c r="C59" s="5" t="s">
        <v>195</v>
      </c>
      <c r="D59" s="5" t="s">
        <v>187</v>
      </c>
      <c r="E59" s="9" t="s">
        <v>177</v>
      </c>
      <c r="F59" s="5" t="n">
        <v>0.5</v>
      </c>
      <c r="G59" s="5" t="s">
        <v>178</v>
      </c>
      <c r="H59" s="17" t="n">
        <f aca="false">IFERROR(INDEX(MATERIALES!$D$3:$D$57,MATCH(E59,MATERIALES!$B$3:$B$57,0)),"")</f>
        <v>4.5</v>
      </c>
      <c r="I59" s="17" t="n">
        <f aca="false">IF(H59="","",F59*H59)</f>
        <v>2.25</v>
      </c>
      <c r="J59" s="19" t="s">
        <v>303</v>
      </c>
      <c r="K59" s="19" t="s">
        <v>304</v>
      </c>
    </row>
    <row r="60" customFormat="false" ht="15" hidden="false" customHeight="false" outlineLevel="0" collapsed="false">
      <c r="B60" s="9" t="s">
        <v>76</v>
      </c>
      <c r="C60" s="5" t="s">
        <v>195</v>
      </c>
      <c r="D60" s="5" t="s">
        <v>187</v>
      </c>
      <c r="E60" s="9" t="s">
        <v>167</v>
      </c>
      <c r="F60" s="5" t="n">
        <v>0.25</v>
      </c>
      <c r="G60" s="5" t="s">
        <v>168</v>
      </c>
      <c r="H60" s="17" t="n">
        <f aca="false">IFERROR(INDEX(MATERIALES!$D$3:$D$57,MATCH(E60,MATERIALES!$B$3:$B$57,0)),"")</f>
        <v>24</v>
      </c>
      <c r="I60" s="17" t="n">
        <f aca="false">IF(H60="","",F60*H60)</f>
        <v>6</v>
      </c>
      <c r="J60" s="19" t="s">
        <v>305</v>
      </c>
      <c r="K60" s="19" t="s">
        <v>306</v>
      </c>
    </row>
    <row r="61" customFormat="false" ht="15" hidden="false" customHeight="false" outlineLevel="0" collapsed="false">
      <c r="B61" s="9" t="s">
        <v>76</v>
      </c>
      <c r="C61" s="5" t="s">
        <v>210</v>
      </c>
      <c r="D61" s="5" t="s">
        <v>179</v>
      </c>
      <c r="E61" s="9" t="s">
        <v>129</v>
      </c>
      <c r="F61" s="5" t="n">
        <v>2</v>
      </c>
      <c r="G61" s="5" t="s">
        <v>120</v>
      </c>
      <c r="H61" s="17" t="n">
        <f aca="false">IFERROR(INDEX(MATERIALES!$D$3:$D$57,MATCH(E61,MATERIALES!$B$3:$B$57,0)),"")</f>
        <v>70</v>
      </c>
      <c r="I61" s="17" t="n">
        <f aca="false">IF(H61="","",F61*H61)</f>
        <v>140</v>
      </c>
      <c r="J61" s="19" t="s">
        <v>307</v>
      </c>
      <c r="K61" s="19" t="s">
        <v>308</v>
      </c>
    </row>
    <row r="62" customFormat="false" ht="15" hidden="false" customHeight="false" outlineLevel="0" collapsed="false">
      <c r="B62" s="9" t="s">
        <v>76</v>
      </c>
      <c r="C62" s="5" t="s">
        <v>210</v>
      </c>
      <c r="D62" s="5" t="s">
        <v>179</v>
      </c>
      <c r="E62" s="9" t="s">
        <v>133</v>
      </c>
      <c r="F62" s="5" t="n">
        <v>1</v>
      </c>
      <c r="G62" s="5" t="s">
        <v>45</v>
      </c>
      <c r="H62" s="17" t="n">
        <f aca="false">IFERROR(INDEX(MATERIALES!$D$3:$D$57,MATCH(E62,MATERIALES!$B$3:$B$57,0)),"")</f>
        <v>2</v>
      </c>
      <c r="I62" s="17" t="n">
        <f aca="false">IF(H62="","",F62*H62)</f>
        <v>2</v>
      </c>
      <c r="J62" s="19" t="s">
        <v>309</v>
      </c>
      <c r="K62" s="19" t="s">
        <v>310</v>
      </c>
    </row>
    <row r="63" customFormat="false" ht="15" hidden="false" customHeight="false" outlineLevel="0" collapsed="false">
      <c r="B63" s="9" t="s">
        <v>76</v>
      </c>
      <c r="C63" s="5" t="s">
        <v>210</v>
      </c>
      <c r="D63" s="5" t="s">
        <v>184</v>
      </c>
      <c r="E63" s="9" t="s">
        <v>169</v>
      </c>
      <c r="F63" s="5" t="n">
        <v>0.25</v>
      </c>
      <c r="G63" s="5" t="s">
        <v>170</v>
      </c>
      <c r="H63" s="17" t="n">
        <f aca="false">IFERROR(INDEX(MATERIALES!$D$3:$D$57,MATCH(E63,MATERIALES!$B$3:$B$57,0)),"")</f>
        <v>15</v>
      </c>
      <c r="I63" s="17" t="n">
        <f aca="false">IF(H63="","",F63*H63)</f>
        <v>3.75</v>
      </c>
      <c r="J63" s="19" t="s">
        <v>311</v>
      </c>
      <c r="K63" s="19" t="s">
        <v>312</v>
      </c>
    </row>
    <row r="64" customFormat="false" ht="15" hidden="false" customHeight="false" outlineLevel="0" collapsed="false">
      <c r="B64" s="9" t="s">
        <v>76</v>
      </c>
      <c r="C64" s="5" t="s">
        <v>210</v>
      </c>
      <c r="D64" s="5" t="s">
        <v>187</v>
      </c>
      <c r="E64" s="9" t="s">
        <v>177</v>
      </c>
      <c r="F64" s="5" t="n">
        <v>0.5</v>
      </c>
      <c r="G64" s="5" t="s">
        <v>178</v>
      </c>
      <c r="H64" s="17" t="n">
        <f aca="false">IFERROR(INDEX(MATERIALES!$D$3:$D$57,MATCH(E64,MATERIALES!$B$3:$B$57,0)),"")</f>
        <v>4.5</v>
      </c>
      <c r="I64" s="17" t="n">
        <f aca="false">IF(H64="","",F64*H64)</f>
        <v>2.25</v>
      </c>
      <c r="J64" s="19" t="s">
        <v>313</v>
      </c>
      <c r="K64" s="19" t="s">
        <v>314</v>
      </c>
    </row>
    <row r="65" customFormat="false" ht="15" hidden="false" customHeight="false" outlineLevel="0" collapsed="false">
      <c r="B65" s="9" t="s">
        <v>76</v>
      </c>
      <c r="C65" s="5" t="s">
        <v>210</v>
      </c>
      <c r="D65" s="5" t="s">
        <v>187</v>
      </c>
      <c r="E65" s="9" t="s">
        <v>167</v>
      </c>
      <c r="F65" s="5" t="n">
        <v>0.25</v>
      </c>
      <c r="G65" s="5" t="s">
        <v>168</v>
      </c>
      <c r="H65" s="17" t="n">
        <f aca="false">IFERROR(INDEX(MATERIALES!$D$3:$D$57,MATCH(E65,MATERIALES!$B$3:$B$57,0)),"")</f>
        <v>24</v>
      </c>
      <c r="I65" s="17" t="n">
        <f aca="false">IF(H65="","",F65*H65)</f>
        <v>6</v>
      </c>
      <c r="J65" s="19" t="s">
        <v>315</v>
      </c>
      <c r="K65" s="19" t="s">
        <v>316</v>
      </c>
    </row>
    <row r="66" customFormat="false" ht="15" hidden="false" customHeight="false" outlineLevel="0" collapsed="false">
      <c r="B66" s="9" t="s">
        <v>76</v>
      </c>
      <c r="C66" s="5" t="s">
        <v>210</v>
      </c>
      <c r="D66" s="5" t="s">
        <v>192</v>
      </c>
      <c r="E66" s="9" t="s">
        <v>172</v>
      </c>
      <c r="F66" s="5" t="n">
        <v>0.5</v>
      </c>
      <c r="G66" s="5" t="s">
        <v>45</v>
      </c>
      <c r="H66" s="17" t="n">
        <f aca="false">IFERROR(INDEX(MATERIALES!$D$3:$D$57,MATCH(E66,MATERIALES!$B$3:$B$57,0)),"")</f>
        <v>15</v>
      </c>
      <c r="I66" s="17" t="n">
        <f aca="false">IF(H66="","",F66*H66)</f>
        <v>7.5</v>
      </c>
      <c r="J66" s="19" t="s">
        <v>317</v>
      </c>
      <c r="K66" s="19" t="s">
        <v>318</v>
      </c>
    </row>
    <row r="67" customFormat="false" ht="15" hidden="false" customHeight="false" outlineLevel="0" collapsed="false">
      <c r="B67" s="9" t="s">
        <v>76</v>
      </c>
      <c r="C67" s="5" t="s">
        <v>223</v>
      </c>
      <c r="D67" s="5" t="s">
        <v>179</v>
      </c>
      <c r="E67" s="9" t="s">
        <v>129</v>
      </c>
      <c r="F67" s="5" t="n">
        <v>2</v>
      </c>
      <c r="G67" s="5" t="s">
        <v>120</v>
      </c>
      <c r="H67" s="17" t="n">
        <f aca="false">IFERROR(INDEX(MATERIALES!$D$3:$D$57,MATCH(E67,MATERIALES!$B$3:$B$57,0)),"")</f>
        <v>70</v>
      </c>
      <c r="I67" s="17" t="n">
        <f aca="false">IF(H67="","",F67*H67)</f>
        <v>140</v>
      </c>
      <c r="J67" s="19" t="s">
        <v>319</v>
      </c>
      <c r="K67" s="19" t="s">
        <v>320</v>
      </c>
    </row>
    <row r="68" customFormat="false" ht="15" hidden="false" customHeight="false" outlineLevel="0" collapsed="false">
      <c r="B68" s="9" t="s">
        <v>76</v>
      </c>
      <c r="C68" s="5" t="s">
        <v>223</v>
      </c>
      <c r="D68" s="5" t="s">
        <v>179</v>
      </c>
      <c r="E68" s="9" t="s">
        <v>133</v>
      </c>
      <c r="F68" s="5" t="n">
        <v>1</v>
      </c>
      <c r="G68" s="5" t="s">
        <v>45</v>
      </c>
      <c r="H68" s="17" t="n">
        <f aca="false">IFERROR(INDEX(MATERIALES!$D$3:$D$57,MATCH(E68,MATERIALES!$B$3:$B$57,0)),"")</f>
        <v>2</v>
      </c>
      <c r="I68" s="17" t="n">
        <f aca="false">IF(H68="","",F68*H68)</f>
        <v>2</v>
      </c>
      <c r="J68" s="19" t="s">
        <v>321</v>
      </c>
      <c r="K68" s="19" t="s">
        <v>322</v>
      </c>
    </row>
    <row r="69" customFormat="false" ht="15" hidden="false" customHeight="false" outlineLevel="0" collapsed="false">
      <c r="B69" s="9" t="s">
        <v>76</v>
      </c>
      <c r="C69" s="5" t="s">
        <v>223</v>
      </c>
      <c r="D69" s="5" t="s">
        <v>179</v>
      </c>
      <c r="E69" s="9" t="s">
        <v>142</v>
      </c>
      <c r="F69" s="5" t="n">
        <v>1</v>
      </c>
      <c r="G69" s="5" t="s">
        <v>45</v>
      </c>
      <c r="H69" s="17" t="n">
        <f aca="false">IFERROR(INDEX(MATERIALES!$D$3:$D$57,MATCH(E69,MATERIALES!$B$3:$B$57,0)),"")</f>
        <v>25</v>
      </c>
      <c r="I69" s="17" t="n">
        <f aca="false">IF(H69="","",F69*H69)</f>
        <v>25</v>
      </c>
      <c r="J69" s="19" t="s">
        <v>323</v>
      </c>
      <c r="K69" s="19" t="s">
        <v>324</v>
      </c>
    </row>
    <row r="70" customFormat="false" ht="15" hidden="false" customHeight="false" outlineLevel="0" collapsed="false">
      <c r="B70" s="9" t="s">
        <v>76</v>
      </c>
      <c r="C70" s="5" t="s">
        <v>223</v>
      </c>
      <c r="D70" s="5" t="s">
        <v>192</v>
      </c>
      <c r="E70" s="9" t="s">
        <v>164</v>
      </c>
      <c r="F70" s="5" t="n">
        <v>1</v>
      </c>
      <c r="G70" s="5" t="s">
        <v>45</v>
      </c>
      <c r="H70" s="17" t="n">
        <f aca="false">IFERROR(INDEX(MATERIALES!$D$3:$D$57,MATCH(E70,MATERIALES!$B$3:$B$57,0)),"")</f>
        <v>8</v>
      </c>
      <c r="I70" s="17" t="n">
        <f aca="false">IF(H70="","",F70*H70)</f>
        <v>8</v>
      </c>
      <c r="J70" s="19" t="s">
        <v>325</v>
      </c>
      <c r="K70" s="19" t="s">
        <v>326</v>
      </c>
    </row>
    <row r="71" customFormat="false" ht="15" hidden="false" customHeight="false" outlineLevel="0" collapsed="false">
      <c r="B71" s="9" t="s">
        <v>76</v>
      </c>
      <c r="C71" s="5" t="s">
        <v>223</v>
      </c>
      <c r="D71" s="5" t="s">
        <v>192</v>
      </c>
      <c r="E71" s="9" t="s">
        <v>172</v>
      </c>
      <c r="F71" s="5" t="n">
        <v>0.5</v>
      </c>
      <c r="G71" s="5" t="s">
        <v>45</v>
      </c>
      <c r="H71" s="17" t="n">
        <f aca="false">IFERROR(INDEX(MATERIALES!$D$3:$D$57,MATCH(E71,MATERIALES!$B$3:$B$57,0)),"")</f>
        <v>15</v>
      </c>
      <c r="I71" s="17" t="n">
        <f aca="false">IF(H71="","",F71*H71)</f>
        <v>7.5</v>
      </c>
      <c r="J71" s="19" t="s">
        <v>327</v>
      </c>
      <c r="K71" s="19" t="s">
        <v>328</v>
      </c>
    </row>
    <row r="72" customFormat="false" ht="15" hidden="false" customHeight="false" outlineLevel="0" collapsed="false">
      <c r="B72" s="9" t="s">
        <v>76</v>
      </c>
      <c r="C72" s="5" t="s">
        <v>223</v>
      </c>
      <c r="D72" s="5" t="s">
        <v>232</v>
      </c>
      <c r="E72" s="9" t="s">
        <v>153</v>
      </c>
      <c r="F72" s="5" t="n">
        <v>1</v>
      </c>
      <c r="G72" s="5" t="s">
        <v>45</v>
      </c>
      <c r="H72" s="17" t="n">
        <f aca="false">IFERROR(INDEX(MATERIALES!$D$3:$D$57,MATCH(E72,MATERIALES!$B$3:$B$57,0)),"")</f>
        <v>100</v>
      </c>
      <c r="I72" s="17" t="n">
        <f aca="false">IF(H72="","",F72*H72)</f>
        <v>100</v>
      </c>
      <c r="J72" s="19" t="s">
        <v>329</v>
      </c>
      <c r="K72" s="19" t="s">
        <v>330</v>
      </c>
    </row>
    <row r="73" customFormat="false" ht="15" hidden="false" customHeight="false" outlineLevel="0" collapsed="false">
      <c r="B73" s="9" t="s">
        <v>76</v>
      </c>
      <c r="C73" s="5" t="s">
        <v>223</v>
      </c>
      <c r="D73" s="5" t="s">
        <v>235</v>
      </c>
      <c r="E73" s="9" t="s">
        <v>138</v>
      </c>
      <c r="F73" s="5" t="n">
        <v>1</v>
      </c>
      <c r="G73" s="5" t="s">
        <v>45</v>
      </c>
      <c r="H73" s="17" t="n">
        <f aca="false">IFERROR(INDEX(MATERIALES!$D$3:$D$57,MATCH(E73,MATERIALES!$B$3:$B$57,0)),"")</f>
        <v>18</v>
      </c>
      <c r="I73" s="17" t="n">
        <f aca="false">IF(H73="","",F73*H73)</f>
        <v>18</v>
      </c>
      <c r="J73" s="19" t="s">
        <v>331</v>
      </c>
      <c r="K73" s="19" t="s">
        <v>332</v>
      </c>
    </row>
    <row r="74" customFormat="false" ht="15" hidden="false" customHeight="false" outlineLevel="0" collapsed="false">
      <c r="B74" s="9" t="s">
        <v>76</v>
      </c>
      <c r="C74" s="5" t="s">
        <v>223</v>
      </c>
      <c r="D74" s="5" t="s">
        <v>184</v>
      </c>
      <c r="E74" s="9" t="s">
        <v>169</v>
      </c>
      <c r="F74" s="5" t="n">
        <v>0.25</v>
      </c>
      <c r="G74" s="5" t="s">
        <v>170</v>
      </c>
      <c r="H74" s="17" t="n">
        <f aca="false">IFERROR(INDEX(MATERIALES!$D$3:$D$57,MATCH(E74,MATERIALES!$B$3:$B$57,0)),"")</f>
        <v>15</v>
      </c>
      <c r="I74" s="17" t="n">
        <f aca="false">IF(H74="","",F74*H74)</f>
        <v>3.75</v>
      </c>
      <c r="J74" s="19" t="s">
        <v>333</v>
      </c>
      <c r="K74" s="19" t="s">
        <v>334</v>
      </c>
    </row>
    <row r="75" customFormat="false" ht="15" hidden="false" customHeight="false" outlineLevel="0" collapsed="false">
      <c r="B75" s="9" t="s">
        <v>76</v>
      </c>
      <c r="C75" s="5" t="s">
        <v>223</v>
      </c>
      <c r="D75" s="5" t="s">
        <v>187</v>
      </c>
      <c r="E75" s="9" t="s">
        <v>177</v>
      </c>
      <c r="F75" s="5" t="n">
        <v>0.5</v>
      </c>
      <c r="G75" s="5" t="s">
        <v>178</v>
      </c>
      <c r="H75" s="17" t="n">
        <f aca="false">IFERROR(INDEX(MATERIALES!$D$3:$D$57,MATCH(E75,MATERIALES!$B$3:$B$57,0)),"")</f>
        <v>4.5</v>
      </c>
      <c r="I75" s="17" t="n">
        <f aca="false">IF(H75="","",F75*H75)</f>
        <v>2.25</v>
      </c>
      <c r="J75" s="19" t="s">
        <v>335</v>
      </c>
      <c r="K75" s="19" t="s">
        <v>336</v>
      </c>
    </row>
    <row r="76" customFormat="false" ht="15" hidden="false" customHeight="false" outlineLevel="0" collapsed="false">
      <c r="B76" s="9" t="s">
        <v>76</v>
      </c>
      <c r="C76" s="5" t="s">
        <v>223</v>
      </c>
      <c r="D76" s="5" t="s">
        <v>187</v>
      </c>
      <c r="E76" s="9" t="s">
        <v>167</v>
      </c>
      <c r="F76" s="5" t="n">
        <v>0.25</v>
      </c>
      <c r="G76" s="5" t="s">
        <v>168</v>
      </c>
      <c r="H76" s="17" t="n">
        <f aca="false">IFERROR(INDEX(MATERIALES!$D$3:$D$57,MATCH(E76,MATERIALES!$B$3:$B$57,0)),"")</f>
        <v>24</v>
      </c>
      <c r="I76" s="17" t="n">
        <f aca="false">IF(H76="","",F76*H76)</f>
        <v>6</v>
      </c>
      <c r="J76" s="19" t="s">
        <v>337</v>
      </c>
      <c r="K76" s="19" t="s">
        <v>338</v>
      </c>
    </row>
    <row r="77" customFormat="false" ht="15" hidden="false" customHeight="false" outlineLevel="0" collapsed="false">
      <c r="B77" s="9" t="s">
        <v>76</v>
      </c>
      <c r="C77" s="5" t="s">
        <v>244</v>
      </c>
      <c r="D77" s="5" t="s">
        <v>179</v>
      </c>
      <c r="E77" s="9" t="s">
        <v>129</v>
      </c>
      <c r="F77" s="5" t="n">
        <v>2</v>
      </c>
      <c r="G77" s="5" t="s">
        <v>120</v>
      </c>
      <c r="H77" s="17" t="n">
        <f aca="false">IFERROR(INDEX(MATERIALES!$D$3:$D$57,MATCH(E77,MATERIALES!$B$3:$B$57,0)),"")</f>
        <v>70</v>
      </c>
      <c r="I77" s="17" t="n">
        <f aca="false">IF(H77="","",F77*H77)</f>
        <v>140</v>
      </c>
      <c r="J77" s="19" t="s">
        <v>339</v>
      </c>
      <c r="K77" s="19" t="s">
        <v>340</v>
      </c>
    </row>
    <row r="78" customFormat="false" ht="15" hidden="false" customHeight="false" outlineLevel="0" collapsed="false">
      <c r="B78" s="9" t="s">
        <v>76</v>
      </c>
      <c r="C78" s="5" t="s">
        <v>244</v>
      </c>
      <c r="D78" s="5" t="s">
        <v>179</v>
      </c>
      <c r="E78" s="9" t="s">
        <v>133</v>
      </c>
      <c r="F78" s="5" t="n">
        <v>1</v>
      </c>
      <c r="G78" s="5" t="s">
        <v>45</v>
      </c>
      <c r="H78" s="17" t="n">
        <f aca="false">IFERROR(INDEX(MATERIALES!$D$3:$D$57,MATCH(E78,MATERIALES!$B$3:$B$57,0)),"")</f>
        <v>2</v>
      </c>
      <c r="I78" s="17" t="n">
        <f aca="false">IF(H78="","",F78*H78)</f>
        <v>2</v>
      </c>
      <c r="J78" s="19" t="s">
        <v>341</v>
      </c>
      <c r="K78" s="19" t="s">
        <v>342</v>
      </c>
    </row>
    <row r="79" customFormat="false" ht="15" hidden="false" customHeight="false" outlineLevel="0" collapsed="false">
      <c r="B79" s="9" t="s">
        <v>76</v>
      </c>
      <c r="C79" s="5" t="s">
        <v>244</v>
      </c>
      <c r="D79" s="5" t="s">
        <v>184</v>
      </c>
      <c r="E79" s="9" t="s">
        <v>169</v>
      </c>
      <c r="F79" s="5" t="n">
        <v>0.25</v>
      </c>
      <c r="G79" s="5" t="s">
        <v>170</v>
      </c>
      <c r="H79" s="17" t="n">
        <f aca="false">IFERROR(INDEX(MATERIALES!$D$3:$D$57,MATCH(E79,MATERIALES!$B$3:$B$57,0)),"")</f>
        <v>15</v>
      </c>
      <c r="I79" s="17" t="n">
        <f aca="false">IF(H79="","",F79*H79)</f>
        <v>3.75</v>
      </c>
      <c r="J79" s="19" t="s">
        <v>343</v>
      </c>
      <c r="K79" s="19" t="s">
        <v>344</v>
      </c>
    </row>
    <row r="80" customFormat="false" ht="15" hidden="false" customHeight="false" outlineLevel="0" collapsed="false">
      <c r="B80" s="9" t="s">
        <v>76</v>
      </c>
      <c r="C80" s="5" t="s">
        <v>244</v>
      </c>
      <c r="D80" s="5" t="s">
        <v>187</v>
      </c>
      <c r="E80" s="9" t="s">
        <v>177</v>
      </c>
      <c r="F80" s="5" t="n">
        <v>0.5</v>
      </c>
      <c r="G80" s="5" t="s">
        <v>178</v>
      </c>
      <c r="H80" s="17" t="n">
        <f aca="false">IFERROR(INDEX(MATERIALES!$D$3:$D$57,MATCH(E80,MATERIALES!$B$3:$B$57,0)),"")</f>
        <v>4.5</v>
      </c>
      <c r="I80" s="17" t="n">
        <f aca="false">IF(H80="","",F80*H80)</f>
        <v>2.25</v>
      </c>
      <c r="J80" s="19" t="s">
        <v>345</v>
      </c>
      <c r="K80" s="19" t="s">
        <v>346</v>
      </c>
    </row>
    <row r="81" customFormat="false" ht="15" hidden="false" customHeight="false" outlineLevel="0" collapsed="false">
      <c r="B81" s="9" t="s">
        <v>76</v>
      </c>
      <c r="C81" s="5" t="s">
        <v>244</v>
      </c>
      <c r="D81" s="5" t="s">
        <v>187</v>
      </c>
      <c r="E81" s="9" t="s">
        <v>167</v>
      </c>
      <c r="F81" s="5" t="n">
        <v>0.25</v>
      </c>
      <c r="G81" s="5" t="s">
        <v>168</v>
      </c>
      <c r="H81" s="17" t="n">
        <f aca="false">IFERROR(INDEX(MATERIALES!$D$3:$D$57,MATCH(E81,MATERIALES!$B$3:$B$57,0)),"")</f>
        <v>24</v>
      </c>
      <c r="I81" s="17" t="n">
        <f aca="false">IF(H81="","",F81*H81)</f>
        <v>6</v>
      </c>
      <c r="J81" s="19" t="s">
        <v>347</v>
      </c>
      <c r="K81" s="19" t="s">
        <v>348</v>
      </c>
    </row>
    <row r="82" customFormat="false" ht="15" hidden="false" customHeight="false" outlineLevel="0" collapsed="false">
      <c r="B82" s="9" t="s">
        <v>76</v>
      </c>
      <c r="C82" s="5" t="s">
        <v>244</v>
      </c>
      <c r="D82" s="5" t="s">
        <v>192</v>
      </c>
      <c r="E82" s="9" t="s">
        <v>172</v>
      </c>
      <c r="F82" s="5" t="n">
        <v>0.5</v>
      </c>
      <c r="G82" s="5" t="s">
        <v>45</v>
      </c>
      <c r="H82" s="17" t="n">
        <f aca="false">IFERROR(INDEX(MATERIALES!$D$3:$D$57,MATCH(E82,MATERIALES!$B$3:$B$57,0)),"")</f>
        <v>15</v>
      </c>
      <c r="I82" s="17" t="n">
        <f aca="false">IF(H82="","",F82*H82)</f>
        <v>7.5</v>
      </c>
      <c r="J82" s="19" t="s">
        <v>349</v>
      </c>
      <c r="K82" s="19" t="s">
        <v>350</v>
      </c>
    </row>
    <row r="83" customFormat="false" ht="15" hidden="false" customHeight="false" outlineLevel="0" collapsed="false">
      <c r="B83" s="9" t="s">
        <v>76</v>
      </c>
      <c r="C83" s="5" t="s">
        <v>257</v>
      </c>
      <c r="D83" s="5" t="s">
        <v>179</v>
      </c>
      <c r="E83" s="9" t="s">
        <v>129</v>
      </c>
      <c r="F83" s="5" t="n">
        <v>2</v>
      </c>
      <c r="G83" s="5" t="s">
        <v>120</v>
      </c>
      <c r="H83" s="17" t="n">
        <f aca="false">IFERROR(INDEX(MATERIALES!$D$3:$D$57,MATCH(E83,MATERIALES!$B$3:$B$57,0)),"")</f>
        <v>70</v>
      </c>
      <c r="I83" s="17" t="n">
        <f aca="false">IF(H83="","",F83*H83)</f>
        <v>140</v>
      </c>
      <c r="J83" s="19" t="s">
        <v>351</v>
      </c>
      <c r="K83" s="19" t="s">
        <v>352</v>
      </c>
    </row>
    <row r="84" customFormat="false" ht="15" hidden="false" customHeight="false" outlineLevel="0" collapsed="false">
      <c r="B84" s="9" t="s">
        <v>76</v>
      </c>
      <c r="C84" s="5" t="s">
        <v>257</v>
      </c>
      <c r="D84" s="5" t="s">
        <v>179</v>
      </c>
      <c r="E84" s="9" t="s">
        <v>133</v>
      </c>
      <c r="F84" s="5" t="n">
        <v>1</v>
      </c>
      <c r="G84" s="5" t="s">
        <v>45</v>
      </c>
      <c r="H84" s="17" t="n">
        <f aca="false">IFERROR(INDEX(MATERIALES!$D$3:$D$57,MATCH(E84,MATERIALES!$B$3:$B$57,0)),"")</f>
        <v>2</v>
      </c>
      <c r="I84" s="17" t="n">
        <f aca="false">IF(H84="","",F84*H84)</f>
        <v>2</v>
      </c>
      <c r="J84" s="19" t="s">
        <v>353</v>
      </c>
      <c r="K84" s="19" t="s">
        <v>354</v>
      </c>
    </row>
    <row r="85" customFormat="false" ht="15" hidden="false" customHeight="false" outlineLevel="0" collapsed="false">
      <c r="B85" s="9" t="s">
        <v>76</v>
      </c>
      <c r="C85" s="5" t="s">
        <v>257</v>
      </c>
      <c r="D85" s="5" t="s">
        <v>179</v>
      </c>
      <c r="E85" s="9" t="s">
        <v>142</v>
      </c>
      <c r="F85" s="5" t="n">
        <v>1</v>
      </c>
      <c r="G85" s="5" t="s">
        <v>45</v>
      </c>
      <c r="H85" s="17" t="n">
        <f aca="false">IFERROR(INDEX(MATERIALES!$D$3:$D$57,MATCH(E85,MATERIALES!$B$3:$B$57,0)),"")</f>
        <v>25</v>
      </c>
      <c r="I85" s="17" t="n">
        <f aca="false">IF(H85="","",F85*H85)</f>
        <v>25</v>
      </c>
      <c r="J85" s="19" t="s">
        <v>355</v>
      </c>
      <c r="K85" s="19" t="s">
        <v>356</v>
      </c>
    </row>
    <row r="86" customFormat="false" ht="15" hidden="false" customHeight="false" outlineLevel="0" collapsed="false">
      <c r="B86" s="9" t="s">
        <v>76</v>
      </c>
      <c r="C86" s="5" t="s">
        <v>257</v>
      </c>
      <c r="D86" s="5" t="s">
        <v>192</v>
      </c>
      <c r="E86" s="9" t="s">
        <v>164</v>
      </c>
      <c r="F86" s="5" t="n">
        <v>1</v>
      </c>
      <c r="G86" s="5" t="s">
        <v>45</v>
      </c>
      <c r="H86" s="17" t="n">
        <f aca="false">IFERROR(INDEX(MATERIALES!$D$3:$D$57,MATCH(E86,MATERIALES!$B$3:$B$57,0)),"")</f>
        <v>8</v>
      </c>
      <c r="I86" s="17" t="n">
        <f aca="false">IF(H86="","",F86*H86)</f>
        <v>8</v>
      </c>
      <c r="J86" s="19" t="s">
        <v>357</v>
      </c>
      <c r="K86" s="19" t="s">
        <v>358</v>
      </c>
    </row>
    <row r="87" customFormat="false" ht="15" hidden="false" customHeight="false" outlineLevel="0" collapsed="false">
      <c r="B87" s="9" t="s">
        <v>76</v>
      </c>
      <c r="C87" s="5" t="s">
        <v>257</v>
      </c>
      <c r="D87" s="5" t="s">
        <v>192</v>
      </c>
      <c r="E87" s="9" t="s">
        <v>172</v>
      </c>
      <c r="F87" s="5" t="n">
        <v>0.5</v>
      </c>
      <c r="G87" s="5" t="s">
        <v>45</v>
      </c>
      <c r="H87" s="17" t="n">
        <f aca="false">IFERROR(INDEX(MATERIALES!$D$3:$D$57,MATCH(E87,MATERIALES!$B$3:$B$57,0)),"")</f>
        <v>15</v>
      </c>
      <c r="I87" s="17" t="n">
        <f aca="false">IF(H87="","",F87*H87)</f>
        <v>7.5</v>
      </c>
      <c r="J87" s="19" t="s">
        <v>359</v>
      </c>
      <c r="K87" s="19" t="s">
        <v>360</v>
      </c>
    </row>
    <row r="88" customFormat="false" ht="15" hidden="false" customHeight="false" outlineLevel="0" collapsed="false">
      <c r="B88" s="9" t="s">
        <v>76</v>
      </c>
      <c r="C88" s="5" t="s">
        <v>257</v>
      </c>
      <c r="D88" s="5" t="s">
        <v>232</v>
      </c>
      <c r="E88" s="9" t="s">
        <v>153</v>
      </c>
      <c r="F88" s="5" t="n">
        <v>1</v>
      </c>
      <c r="G88" s="5" t="s">
        <v>45</v>
      </c>
      <c r="H88" s="17" t="n">
        <f aca="false">IFERROR(INDEX(MATERIALES!$D$3:$D$57,MATCH(E88,MATERIALES!$B$3:$B$57,0)),"")</f>
        <v>100</v>
      </c>
      <c r="I88" s="17" t="n">
        <f aca="false">IF(H88="","",F88*H88)</f>
        <v>100</v>
      </c>
      <c r="J88" s="19" t="s">
        <v>361</v>
      </c>
      <c r="K88" s="19" t="s">
        <v>362</v>
      </c>
    </row>
    <row r="89" customFormat="false" ht="15" hidden="false" customHeight="false" outlineLevel="0" collapsed="false">
      <c r="B89" s="9" t="s">
        <v>76</v>
      </c>
      <c r="C89" s="5" t="s">
        <v>257</v>
      </c>
      <c r="D89" s="5" t="s">
        <v>235</v>
      </c>
      <c r="E89" s="9" t="s">
        <v>138</v>
      </c>
      <c r="F89" s="5" t="n">
        <v>1</v>
      </c>
      <c r="G89" s="5" t="s">
        <v>45</v>
      </c>
      <c r="H89" s="17" t="n">
        <f aca="false">IFERROR(INDEX(MATERIALES!$D$3:$D$57,MATCH(E89,MATERIALES!$B$3:$B$57,0)),"")</f>
        <v>18</v>
      </c>
      <c r="I89" s="17" t="n">
        <f aca="false">IF(H89="","",F89*H89)</f>
        <v>18</v>
      </c>
      <c r="J89" s="19" t="s">
        <v>363</v>
      </c>
      <c r="K89" s="19" t="s">
        <v>364</v>
      </c>
    </row>
    <row r="90" customFormat="false" ht="15" hidden="false" customHeight="false" outlineLevel="0" collapsed="false">
      <c r="B90" s="9" t="s">
        <v>76</v>
      </c>
      <c r="C90" s="5" t="s">
        <v>257</v>
      </c>
      <c r="D90" s="5" t="s">
        <v>365</v>
      </c>
      <c r="E90" s="9" t="s">
        <v>121</v>
      </c>
      <c r="F90" s="5" t="n">
        <v>0.1</v>
      </c>
      <c r="G90" s="5" t="s">
        <v>120</v>
      </c>
      <c r="H90" s="17" t="n">
        <f aca="false">IFERROR(INDEX(MATERIALES!$D$3:$D$57,MATCH(E90,MATERIALES!$B$3:$B$57,0)),"")</f>
        <v>25</v>
      </c>
      <c r="I90" s="17" t="n">
        <f aca="false">IF(H90="","",F90*H90)</f>
        <v>2.5</v>
      </c>
      <c r="J90" s="19" t="s">
        <v>366</v>
      </c>
      <c r="K90" s="19" t="s">
        <v>367</v>
      </c>
    </row>
    <row r="91" customFormat="false" ht="15" hidden="false" customHeight="false" outlineLevel="0" collapsed="false">
      <c r="B91" s="9" t="s">
        <v>76</v>
      </c>
      <c r="C91" s="5" t="s">
        <v>257</v>
      </c>
      <c r="D91" s="5" t="s">
        <v>184</v>
      </c>
      <c r="E91" s="9" t="s">
        <v>169</v>
      </c>
      <c r="F91" s="5" t="n">
        <v>0.25</v>
      </c>
      <c r="G91" s="5" t="s">
        <v>170</v>
      </c>
      <c r="H91" s="17" t="n">
        <f aca="false">IFERROR(INDEX(MATERIALES!$D$3:$D$57,MATCH(E91,MATERIALES!$B$3:$B$57,0)),"")</f>
        <v>15</v>
      </c>
      <c r="I91" s="17" t="n">
        <f aca="false">IF(H91="","",F91*H91)</f>
        <v>3.75</v>
      </c>
      <c r="J91" s="19" t="s">
        <v>368</v>
      </c>
      <c r="K91" s="19" t="s">
        <v>369</v>
      </c>
    </row>
    <row r="92" customFormat="false" ht="15" hidden="false" customHeight="false" outlineLevel="0" collapsed="false">
      <c r="B92" s="9" t="s">
        <v>76</v>
      </c>
      <c r="C92" s="5" t="s">
        <v>257</v>
      </c>
      <c r="D92" s="5" t="s">
        <v>187</v>
      </c>
      <c r="E92" s="9" t="s">
        <v>177</v>
      </c>
      <c r="F92" s="5" t="n">
        <v>0.5</v>
      </c>
      <c r="G92" s="5" t="s">
        <v>178</v>
      </c>
      <c r="H92" s="17" t="n">
        <f aca="false">IFERROR(INDEX(MATERIALES!$D$3:$D$57,MATCH(E92,MATERIALES!$B$3:$B$57,0)),"")</f>
        <v>4.5</v>
      </c>
      <c r="I92" s="17" t="n">
        <f aca="false">IF(H92="","",F92*H92)</f>
        <v>2.25</v>
      </c>
      <c r="J92" s="19" t="s">
        <v>370</v>
      </c>
      <c r="K92" s="19" t="s">
        <v>371</v>
      </c>
    </row>
    <row r="93" customFormat="false" ht="15" hidden="false" customHeight="false" outlineLevel="0" collapsed="false">
      <c r="B93" s="9" t="s">
        <v>76</v>
      </c>
      <c r="C93" s="5" t="s">
        <v>257</v>
      </c>
      <c r="D93" s="5" t="s">
        <v>187</v>
      </c>
      <c r="E93" s="9" t="s">
        <v>167</v>
      </c>
      <c r="F93" s="5" t="n">
        <v>0.25</v>
      </c>
      <c r="G93" s="5" t="s">
        <v>168</v>
      </c>
      <c r="H93" s="17" t="n">
        <f aca="false">IFERROR(INDEX(MATERIALES!$D$3:$D$57,MATCH(E93,MATERIALES!$B$3:$B$57,0)),"")</f>
        <v>24</v>
      </c>
      <c r="I93" s="17" t="n">
        <f aca="false">IF(H93="","",F93*H93)</f>
        <v>6</v>
      </c>
      <c r="J93" s="19" t="s">
        <v>372</v>
      </c>
      <c r="K93" s="19" t="s">
        <v>373</v>
      </c>
    </row>
    <row r="94" customFormat="false" ht="15" hidden="false" customHeight="false" outlineLevel="0" collapsed="false">
      <c r="B94" s="9" t="s">
        <v>79</v>
      </c>
      <c r="C94" s="5" t="s">
        <v>36</v>
      </c>
      <c r="D94" s="5" t="s">
        <v>179</v>
      </c>
      <c r="E94" s="9" t="s">
        <v>129</v>
      </c>
      <c r="F94" s="5" t="n">
        <v>2</v>
      </c>
      <c r="G94" s="5" t="s">
        <v>120</v>
      </c>
      <c r="H94" s="17" t="n">
        <f aca="false">IFERROR(INDEX(MATERIALES!$D$3:$D$57,MATCH(E94,MATERIALES!$B$3:$B$57,0)),"")</f>
        <v>70</v>
      </c>
      <c r="I94" s="17" t="n">
        <f aca="false">IF(H94="","",F94*H94)</f>
        <v>140</v>
      </c>
      <c r="J94" s="19" t="s">
        <v>374</v>
      </c>
      <c r="K94" s="19" t="s">
        <v>375</v>
      </c>
    </row>
    <row r="95" customFormat="false" ht="15" hidden="false" customHeight="false" outlineLevel="0" collapsed="false">
      <c r="B95" s="9" t="s">
        <v>79</v>
      </c>
      <c r="C95" s="5" t="s">
        <v>36</v>
      </c>
      <c r="D95" s="5" t="s">
        <v>179</v>
      </c>
      <c r="E95" s="9" t="s">
        <v>148</v>
      </c>
      <c r="F95" s="5" t="n">
        <v>1</v>
      </c>
      <c r="G95" s="5" t="s">
        <v>45</v>
      </c>
      <c r="H95" s="17" t="n">
        <f aca="false">IFERROR(INDEX(MATERIALES!$D$3:$D$57,MATCH(E95,MATERIALES!$B$3:$B$57,0)),"")</f>
        <v>35</v>
      </c>
      <c r="I95" s="17" t="n">
        <f aca="false">IF(H95="","",F95*H95)</f>
        <v>35</v>
      </c>
      <c r="J95" s="19" t="s">
        <v>376</v>
      </c>
      <c r="K95" s="19" t="s">
        <v>377</v>
      </c>
    </row>
    <row r="96" customFormat="false" ht="15" hidden="false" customHeight="false" outlineLevel="0" collapsed="false">
      <c r="B96" s="9" t="s">
        <v>79</v>
      </c>
      <c r="C96" s="5" t="s">
        <v>36</v>
      </c>
      <c r="D96" s="5" t="s">
        <v>179</v>
      </c>
      <c r="E96" s="9" t="s">
        <v>132</v>
      </c>
      <c r="F96" s="5" t="n">
        <v>1</v>
      </c>
      <c r="G96" s="5" t="s">
        <v>45</v>
      </c>
      <c r="H96" s="17" t="n">
        <f aca="false">IFERROR(INDEX(MATERIALES!$D$3:$D$57,MATCH(E96,MATERIALES!$B$3:$B$57,0)),"")</f>
        <v>2</v>
      </c>
      <c r="I96" s="17" t="n">
        <f aca="false">IF(H96="","",F96*H96)</f>
        <v>2</v>
      </c>
      <c r="J96" s="19" t="s">
        <v>378</v>
      </c>
      <c r="K96" s="19" t="s">
        <v>379</v>
      </c>
    </row>
    <row r="97" customFormat="false" ht="15" hidden="false" customHeight="false" outlineLevel="0" collapsed="false">
      <c r="B97" s="9" t="s">
        <v>79</v>
      </c>
      <c r="C97" s="5" t="s">
        <v>36</v>
      </c>
      <c r="D97" s="5" t="s">
        <v>184</v>
      </c>
      <c r="E97" s="9" t="s">
        <v>169</v>
      </c>
      <c r="F97" s="5" t="n">
        <v>0.25</v>
      </c>
      <c r="G97" s="5" t="s">
        <v>170</v>
      </c>
      <c r="H97" s="17" t="n">
        <f aca="false">IFERROR(INDEX(MATERIALES!$D$3:$D$57,MATCH(E97,MATERIALES!$B$3:$B$57,0)),"")</f>
        <v>15</v>
      </c>
      <c r="I97" s="17" t="n">
        <f aca="false">IF(H97="","",F97*H97)</f>
        <v>3.75</v>
      </c>
      <c r="J97" s="19" t="s">
        <v>380</v>
      </c>
      <c r="K97" s="19" t="s">
        <v>381</v>
      </c>
    </row>
    <row r="98" customFormat="false" ht="15" hidden="false" customHeight="false" outlineLevel="0" collapsed="false">
      <c r="B98" s="9" t="s">
        <v>79</v>
      </c>
      <c r="C98" s="5" t="s">
        <v>36</v>
      </c>
      <c r="D98" s="5" t="s">
        <v>187</v>
      </c>
      <c r="E98" s="9" t="s">
        <v>177</v>
      </c>
      <c r="F98" s="5" t="n">
        <v>0.5</v>
      </c>
      <c r="G98" s="5" t="s">
        <v>178</v>
      </c>
      <c r="H98" s="17" t="n">
        <f aca="false">IFERROR(INDEX(MATERIALES!$D$3:$D$57,MATCH(E98,MATERIALES!$B$3:$B$57,0)),"")</f>
        <v>4.5</v>
      </c>
      <c r="I98" s="17" t="n">
        <f aca="false">IF(H98="","",F98*H98)</f>
        <v>2.25</v>
      </c>
      <c r="J98" s="19" t="s">
        <v>382</v>
      </c>
      <c r="K98" s="19" t="s">
        <v>383</v>
      </c>
    </row>
    <row r="99" customFormat="false" ht="15" hidden="false" customHeight="false" outlineLevel="0" collapsed="false">
      <c r="B99" s="9" t="s">
        <v>79</v>
      </c>
      <c r="C99" s="5" t="s">
        <v>36</v>
      </c>
      <c r="D99" s="5" t="s">
        <v>187</v>
      </c>
      <c r="E99" s="9" t="s">
        <v>167</v>
      </c>
      <c r="F99" s="5" t="n">
        <v>0.25</v>
      </c>
      <c r="G99" s="5" t="s">
        <v>168</v>
      </c>
      <c r="H99" s="17" t="n">
        <f aca="false">IFERROR(INDEX(MATERIALES!$D$3:$D$57,MATCH(E99,MATERIALES!$B$3:$B$57,0)),"")</f>
        <v>24</v>
      </c>
      <c r="I99" s="17" t="n">
        <f aca="false">IF(H99="","",F99*H99)</f>
        <v>6</v>
      </c>
      <c r="J99" s="19" t="s">
        <v>384</v>
      </c>
      <c r="K99" s="19" t="s">
        <v>385</v>
      </c>
    </row>
    <row r="100" customFormat="false" ht="15" hidden="false" customHeight="false" outlineLevel="0" collapsed="false">
      <c r="B100" s="9" t="s">
        <v>79</v>
      </c>
      <c r="C100" s="5" t="s">
        <v>36</v>
      </c>
      <c r="D100" s="5" t="s">
        <v>192</v>
      </c>
      <c r="E100" s="9" t="s">
        <v>172</v>
      </c>
      <c r="F100" s="5" t="n">
        <v>0.5</v>
      </c>
      <c r="G100" s="5" t="s">
        <v>45</v>
      </c>
      <c r="H100" s="17" t="n">
        <f aca="false">IFERROR(INDEX(MATERIALES!$D$3:$D$57,MATCH(E100,MATERIALES!$B$3:$B$57,0)),"")</f>
        <v>15</v>
      </c>
      <c r="I100" s="17" t="n">
        <f aca="false">IF(H100="","",F100*H100)</f>
        <v>7.5</v>
      </c>
      <c r="J100" s="19" t="s">
        <v>386</v>
      </c>
      <c r="K100" s="19" t="s">
        <v>387</v>
      </c>
    </row>
    <row r="101" customFormat="false" ht="15" hidden="false" customHeight="false" outlineLevel="0" collapsed="false">
      <c r="B101" s="9" t="s">
        <v>79</v>
      </c>
      <c r="C101" s="5" t="s">
        <v>195</v>
      </c>
      <c r="D101" s="5" t="s">
        <v>179</v>
      </c>
      <c r="E101" s="9" t="s">
        <v>129</v>
      </c>
      <c r="F101" s="5" t="n">
        <v>2</v>
      </c>
      <c r="G101" s="5" t="s">
        <v>120</v>
      </c>
      <c r="H101" s="17" t="n">
        <f aca="false">IFERROR(INDEX(MATERIALES!$D$3:$D$57,MATCH(E101,MATERIALES!$B$3:$B$57,0)),"")</f>
        <v>70</v>
      </c>
      <c r="I101" s="17" t="n">
        <f aca="false">IF(H101="","",F101*H101)</f>
        <v>140</v>
      </c>
      <c r="J101" s="19" t="s">
        <v>388</v>
      </c>
      <c r="K101" s="19" t="s">
        <v>389</v>
      </c>
    </row>
    <row r="102" customFormat="false" ht="15" hidden="false" customHeight="false" outlineLevel="0" collapsed="false">
      <c r="B102" s="9" t="s">
        <v>79</v>
      </c>
      <c r="C102" s="5" t="s">
        <v>195</v>
      </c>
      <c r="D102" s="5" t="s">
        <v>179</v>
      </c>
      <c r="E102" s="9" t="s">
        <v>148</v>
      </c>
      <c r="F102" s="5" t="n">
        <v>1</v>
      </c>
      <c r="G102" s="5" t="s">
        <v>45</v>
      </c>
      <c r="H102" s="17" t="n">
        <f aca="false">IFERROR(INDEX(MATERIALES!$D$3:$D$57,MATCH(E102,MATERIALES!$B$3:$B$57,0)),"")</f>
        <v>35</v>
      </c>
      <c r="I102" s="17" t="n">
        <f aca="false">IF(H102="","",F102*H102)</f>
        <v>35</v>
      </c>
      <c r="J102" s="19" t="s">
        <v>390</v>
      </c>
      <c r="K102" s="19" t="s">
        <v>391</v>
      </c>
    </row>
    <row r="103" customFormat="false" ht="15" hidden="false" customHeight="false" outlineLevel="0" collapsed="false">
      <c r="B103" s="9" t="s">
        <v>79</v>
      </c>
      <c r="C103" s="5" t="s">
        <v>195</v>
      </c>
      <c r="D103" s="5" t="s">
        <v>179</v>
      </c>
      <c r="E103" s="9" t="s">
        <v>132</v>
      </c>
      <c r="F103" s="5" t="n">
        <v>1</v>
      </c>
      <c r="G103" s="5" t="s">
        <v>45</v>
      </c>
      <c r="H103" s="17" t="n">
        <f aca="false">IFERROR(INDEX(MATERIALES!$D$3:$D$57,MATCH(E103,MATERIALES!$B$3:$B$57,0)),"")</f>
        <v>2</v>
      </c>
      <c r="I103" s="17" t="n">
        <f aca="false">IF(H103="","",F103*H103)</f>
        <v>2</v>
      </c>
      <c r="J103" s="19" t="s">
        <v>392</v>
      </c>
      <c r="K103" s="19" t="s">
        <v>393</v>
      </c>
    </row>
    <row r="104" customFormat="false" ht="15" hidden="false" customHeight="false" outlineLevel="0" collapsed="false">
      <c r="B104" s="9" t="s">
        <v>79</v>
      </c>
      <c r="C104" s="5" t="s">
        <v>195</v>
      </c>
      <c r="D104" s="5" t="s">
        <v>192</v>
      </c>
      <c r="E104" s="9" t="s">
        <v>164</v>
      </c>
      <c r="F104" s="5" t="n">
        <v>1</v>
      </c>
      <c r="G104" s="5" t="s">
        <v>45</v>
      </c>
      <c r="H104" s="17" t="n">
        <f aca="false">IFERROR(INDEX(MATERIALES!$D$3:$D$57,MATCH(E104,MATERIALES!$B$3:$B$57,0)),"")</f>
        <v>8</v>
      </c>
      <c r="I104" s="17" t="n">
        <f aca="false">IF(H104="","",F104*H104)</f>
        <v>8</v>
      </c>
      <c r="J104" s="19" t="s">
        <v>394</v>
      </c>
      <c r="K104" s="19" t="s">
        <v>395</v>
      </c>
    </row>
    <row r="105" customFormat="false" ht="15" hidden="false" customHeight="false" outlineLevel="0" collapsed="false">
      <c r="B105" s="9" t="s">
        <v>79</v>
      </c>
      <c r="C105" s="5" t="s">
        <v>195</v>
      </c>
      <c r="D105" s="5" t="s">
        <v>192</v>
      </c>
      <c r="E105" s="9" t="s">
        <v>172</v>
      </c>
      <c r="F105" s="5" t="n">
        <v>0.5</v>
      </c>
      <c r="G105" s="5" t="s">
        <v>45</v>
      </c>
      <c r="H105" s="17" t="n">
        <f aca="false">IFERROR(INDEX(MATERIALES!$D$3:$D$57,MATCH(E105,MATERIALES!$B$3:$B$57,0)),"")</f>
        <v>15</v>
      </c>
      <c r="I105" s="17" t="n">
        <f aca="false">IF(H105="","",F105*H105)</f>
        <v>7.5</v>
      </c>
      <c r="J105" s="19" t="s">
        <v>396</v>
      </c>
      <c r="K105" s="19" t="s">
        <v>397</v>
      </c>
    </row>
    <row r="106" customFormat="false" ht="15" hidden="false" customHeight="false" outlineLevel="0" collapsed="false">
      <c r="B106" s="9" t="s">
        <v>79</v>
      </c>
      <c r="C106" s="5" t="s">
        <v>195</v>
      </c>
      <c r="D106" s="5" t="s">
        <v>184</v>
      </c>
      <c r="E106" s="9" t="s">
        <v>169</v>
      </c>
      <c r="F106" s="5" t="n">
        <v>0.25</v>
      </c>
      <c r="G106" s="5" t="s">
        <v>170</v>
      </c>
      <c r="H106" s="17" t="n">
        <f aca="false">IFERROR(INDEX(MATERIALES!$D$3:$D$57,MATCH(E106,MATERIALES!$B$3:$B$57,0)),"")</f>
        <v>15</v>
      </c>
      <c r="I106" s="17" t="n">
        <f aca="false">IF(H106="","",F106*H106)</f>
        <v>3.75</v>
      </c>
      <c r="J106" s="19" t="s">
        <v>398</v>
      </c>
      <c r="K106" s="19" t="s">
        <v>399</v>
      </c>
    </row>
    <row r="107" customFormat="false" ht="15" hidden="false" customHeight="false" outlineLevel="0" collapsed="false">
      <c r="B107" s="9" t="s">
        <v>79</v>
      </c>
      <c r="C107" s="5" t="s">
        <v>195</v>
      </c>
      <c r="D107" s="5" t="s">
        <v>187</v>
      </c>
      <c r="E107" s="9" t="s">
        <v>177</v>
      </c>
      <c r="F107" s="5" t="n">
        <v>0.5</v>
      </c>
      <c r="G107" s="5" t="s">
        <v>178</v>
      </c>
      <c r="H107" s="17" t="n">
        <f aca="false">IFERROR(INDEX(MATERIALES!$D$3:$D$57,MATCH(E107,MATERIALES!$B$3:$B$57,0)),"")</f>
        <v>4.5</v>
      </c>
      <c r="I107" s="17" t="n">
        <f aca="false">IF(H107="","",F107*H107)</f>
        <v>2.25</v>
      </c>
      <c r="J107" s="19" t="s">
        <v>400</v>
      </c>
      <c r="K107" s="19" t="s">
        <v>401</v>
      </c>
    </row>
    <row r="108" customFormat="false" ht="15" hidden="false" customHeight="false" outlineLevel="0" collapsed="false">
      <c r="B108" s="9" t="s">
        <v>79</v>
      </c>
      <c r="C108" s="5" t="s">
        <v>195</v>
      </c>
      <c r="D108" s="5" t="s">
        <v>187</v>
      </c>
      <c r="E108" s="9" t="s">
        <v>167</v>
      </c>
      <c r="F108" s="5" t="n">
        <v>0.25</v>
      </c>
      <c r="G108" s="5" t="s">
        <v>168</v>
      </c>
      <c r="H108" s="17" t="n">
        <f aca="false">IFERROR(INDEX(MATERIALES!$D$3:$D$57,MATCH(E108,MATERIALES!$B$3:$B$57,0)),"")</f>
        <v>24</v>
      </c>
      <c r="I108" s="17" t="n">
        <f aca="false">IF(H108="","",F108*H108)</f>
        <v>6</v>
      </c>
      <c r="J108" s="19" t="s">
        <v>402</v>
      </c>
      <c r="K108" s="19" t="s">
        <v>403</v>
      </c>
    </row>
    <row r="109" customFormat="false" ht="15" hidden="false" customHeight="false" outlineLevel="0" collapsed="false">
      <c r="B109" s="9" t="s">
        <v>79</v>
      </c>
      <c r="C109" s="5" t="s">
        <v>210</v>
      </c>
      <c r="D109" s="5" t="s">
        <v>179</v>
      </c>
      <c r="E109" s="9" t="s">
        <v>129</v>
      </c>
      <c r="F109" s="5" t="n">
        <v>2</v>
      </c>
      <c r="G109" s="5" t="s">
        <v>120</v>
      </c>
      <c r="H109" s="17" t="n">
        <f aca="false">IFERROR(INDEX(MATERIALES!$D$3:$D$57,MATCH(E109,MATERIALES!$B$3:$B$57,0)),"")</f>
        <v>70</v>
      </c>
      <c r="I109" s="17" t="n">
        <f aca="false">IF(H109="","",F109*H109)</f>
        <v>140</v>
      </c>
      <c r="J109" s="19" t="s">
        <v>404</v>
      </c>
      <c r="K109" s="19" t="s">
        <v>405</v>
      </c>
    </row>
    <row r="110" customFormat="false" ht="15" hidden="false" customHeight="false" outlineLevel="0" collapsed="false">
      <c r="B110" s="9" t="s">
        <v>79</v>
      </c>
      <c r="C110" s="5" t="s">
        <v>210</v>
      </c>
      <c r="D110" s="5" t="s">
        <v>179</v>
      </c>
      <c r="E110" s="9" t="s">
        <v>148</v>
      </c>
      <c r="F110" s="5" t="n">
        <v>1</v>
      </c>
      <c r="G110" s="5" t="s">
        <v>45</v>
      </c>
      <c r="H110" s="17" t="n">
        <f aca="false">IFERROR(INDEX(MATERIALES!$D$3:$D$57,MATCH(E110,MATERIALES!$B$3:$B$57,0)),"")</f>
        <v>35</v>
      </c>
      <c r="I110" s="17" t="n">
        <f aca="false">IF(H110="","",F110*H110)</f>
        <v>35</v>
      </c>
      <c r="J110" s="19" t="s">
        <v>406</v>
      </c>
      <c r="K110" s="19" t="s">
        <v>407</v>
      </c>
    </row>
    <row r="111" customFormat="false" ht="15" hidden="false" customHeight="false" outlineLevel="0" collapsed="false">
      <c r="B111" s="9" t="s">
        <v>79</v>
      </c>
      <c r="C111" s="5" t="s">
        <v>210</v>
      </c>
      <c r="D111" s="5" t="s">
        <v>179</v>
      </c>
      <c r="E111" s="9" t="s">
        <v>132</v>
      </c>
      <c r="F111" s="5" t="n">
        <v>1</v>
      </c>
      <c r="G111" s="5" t="s">
        <v>45</v>
      </c>
      <c r="H111" s="17" t="n">
        <f aca="false">IFERROR(INDEX(MATERIALES!$D$3:$D$57,MATCH(E111,MATERIALES!$B$3:$B$57,0)),"")</f>
        <v>2</v>
      </c>
      <c r="I111" s="17" t="n">
        <f aca="false">IF(H111="","",F111*H111)</f>
        <v>2</v>
      </c>
      <c r="J111" s="19" t="s">
        <v>408</v>
      </c>
      <c r="K111" s="19" t="s">
        <v>409</v>
      </c>
    </row>
    <row r="112" customFormat="false" ht="15" hidden="false" customHeight="false" outlineLevel="0" collapsed="false">
      <c r="B112" s="9" t="s">
        <v>79</v>
      </c>
      <c r="C112" s="5" t="s">
        <v>210</v>
      </c>
      <c r="D112" s="5" t="s">
        <v>184</v>
      </c>
      <c r="E112" s="9" t="s">
        <v>169</v>
      </c>
      <c r="F112" s="5" t="n">
        <v>0.25</v>
      </c>
      <c r="G112" s="5" t="s">
        <v>170</v>
      </c>
      <c r="H112" s="17" t="n">
        <f aca="false">IFERROR(INDEX(MATERIALES!$D$3:$D$57,MATCH(E112,MATERIALES!$B$3:$B$57,0)),"")</f>
        <v>15</v>
      </c>
      <c r="I112" s="17" t="n">
        <f aca="false">IF(H112="","",F112*H112)</f>
        <v>3.75</v>
      </c>
      <c r="J112" s="19" t="s">
        <v>410</v>
      </c>
      <c r="K112" s="19" t="s">
        <v>411</v>
      </c>
    </row>
    <row r="113" customFormat="false" ht="15" hidden="false" customHeight="false" outlineLevel="0" collapsed="false">
      <c r="B113" s="9" t="s">
        <v>79</v>
      </c>
      <c r="C113" s="5" t="s">
        <v>210</v>
      </c>
      <c r="D113" s="5" t="s">
        <v>187</v>
      </c>
      <c r="E113" s="9" t="s">
        <v>177</v>
      </c>
      <c r="F113" s="5" t="n">
        <v>0.5</v>
      </c>
      <c r="G113" s="5" t="s">
        <v>178</v>
      </c>
      <c r="H113" s="17" t="n">
        <f aca="false">IFERROR(INDEX(MATERIALES!$D$3:$D$57,MATCH(E113,MATERIALES!$B$3:$B$57,0)),"")</f>
        <v>4.5</v>
      </c>
      <c r="I113" s="17" t="n">
        <f aca="false">IF(H113="","",F113*H113)</f>
        <v>2.25</v>
      </c>
      <c r="J113" s="19" t="s">
        <v>412</v>
      </c>
      <c r="K113" s="19" t="s">
        <v>413</v>
      </c>
    </row>
    <row r="114" customFormat="false" ht="15" hidden="false" customHeight="false" outlineLevel="0" collapsed="false">
      <c r="B114" s="9" t="s">
        <v>79</v>
      </c>
      <c r="C114" s="5" t="s">
        <v>210</v>
      </c>
      <c r="D114" s="5" t="s">
        <v>187</v>
      </c>
      <c r="E114" s="9" t="s">
        <v>167</v>
      </c>
      <c r="F114" s="5" t="n">
        <v>0.25</v>
      </c>
      <c r="G114" s="5" t="s">
        <v>168</v>
      </c>
      <c r="H114" s="17" t="n">
        <f aca="false">IFERROR(INDEX(MATERIALES!$D$3:$D$57,MATCH(E114,MATERIALES!$B$3:$B$57,0)),"")</f>
        <v>24</v>
      </c>
      <c r="I114" s="17" t="n">
        <f aca="false">IF(H114="","",F114*H114)</f>
        <v>6</v>
      </c>
      <c r="J114" s="19" t="s">
        <v>414</v>
      </c>
      <c r="K114" s="19" t="s">
        <v>415</v>
      </c>
    </row>
    <row r="115" customFormat="false" ht="15" hidden="false" customHeight="false" outlineLevel="0" collapsed="false">
      <c r="B115" s="9" t="s">
        <v>79</v>
      </c>
      <c r="C115" s="5" t="s">
        <v>210</v>
      </c>
      <c r="D115" s="5" t="s">
        <v>192</v>
      </c>
      <c r="E115" s="9" t="s">
        <v>172</v>
      </c>
      <c r="F115" s="5" t="n">
        <v>0.5</v>
      </c>
      <c r="G115" s="5" t="s">
        <v>45</v>
      </c>
      <c r="H115" s="17" t="n">
        <f aca="false">IFERROR(INDEX(MATERIALES!$D$3:$D$57,MATCH(E115,MATERIALES!$B$3:$B$57,0)),"")</f>
        <v>15</v>
      </c>
      <c r="I115" s="17" t="n">
        <f aca="false">IF(H115="","",F115*H115)</f>
        <v>7.5</v>
      </c>
      <c r="J115" s="19" t="s">
        <v>416</v>
      </c>
      <c r="K115" s="19" t="s">
        <v>417</v>
      </c>
    </row>
    <row r="116" customFormat="false" ht="15" hidden="false" customHeight="false" outlineLevel="0" collapsed="false">
      <c r="B116" s="9" t="s">
        <v>79</v>
      </c>
      <c r="C116" s="5" t="s">
        <v>223</v>
      </c>
      <c r="D116" s="5" t="s">
        <v>179</v>
      </c>
      <c r="E116" s="9" t="s">
        <v>129</v>
      </c>
      <c r="F116" s="5" t="n">
        <v>2</v>
      </c>
      <c r="G116" s="5" t="s">
        <v>120</v>
      </c>
      <c r="H116" s="17" t="n">
        <f aca="false">IFERROR(INDEX(MATERIALES!$D$3:$D$57,MATCH(E116,MATERIALES!$B$3:$B$57,0)),"")</f>
        <v>70</v>
      </c>
      <c r="I116" s="17" t="n">
        <f aca="false">IF(H116="","",F116*H116)</f>
        <v>140</v>
      </c>
      <c r="J116" s="19" t="s">
        <v>418</v>
      </c>
      <c r="K116" s="19" t="s">
        <v>419</v>
      </c>
    </row>
    <row r="117" customFormat="false" ht="15" hidden="false" customHeight="false" outlineLevel="0" collapsed="false">
      <c r="B117" s="9" t="s">
        <v>79</v>
      </c>
      <c r="C117" s="5" t="s">
        <v>223</v>
      </c>
      <c r="D117" s="5" t="s">
        <v>179</v>
      </c>
      <c r="E117" s="9" t="s">
        <v>148</v>
      </c>
      <c r="F117" s="5" t="n">
        <v>1</v>
      </c>
      <c r="G117" s="5" t="s">
        <v>45</v>
      </c>
      <c r="H117" s="17" t="n">
        <f aca="false">IFERROR(INDEX(MATERIALES!$D$3:$D$57,MATCH(E117,MATERIALES!$B$3:$B$57,0)),"")</f>
        <v>35</v>
      </c>
      <c r="I117" s="17" t="n">
        <f aca="false">IF(H117="","",F117*H117)</f>
        <v>35</v>
      </c>
      <c r="J117" s="19" t="s">
        <v>420</v>
      </c>
      <c r="K117" s="19" t="s">
        <v>421</v>
      </c>
    </row>
    <row r="118" customFormat="false" ht="15" hidden="false" customHeight="false" outlineLevel="0" collapsed="false">
      <c r="B118" s="9" t="s">
        <v>79</v>
      </c>
      <c r="C118" s="5" t="s">
        <v>223</v>
      </c>
      <c r="D118" s="5" t="s">
        <v>179</v>
      </c>
      <c r="E118" s="9" t="s">
        <v>132</v>
      </c>
      <c r="F118" s="5" t="n">
        <v>1</v>
      </c>
      <c r="G118" s="5" t="s">
        <v>45</v>
      </c>
      <c r="H118" s="17" t="n">
        <f aca="false">IFERROR(INDEX(MATERIALES!$D$3:$D$57,MATCH(E118,MATERIALES!$B$3:$B$57,0)),"")</f>
        <v>2</v>
      </c>
      <c r="I118" s="17" t="n">
        <f aca="false">IF(H118="","",F118*H118)</f>
        <v>2</v>
      </c>
      <c r="J118" s="19" t="s">
        <v>422</v>
      </c>
      <c r="K118" s="19" t="s">
        <v>423</v>
      </c>
    </row>
    <row r="119" customFormat="false" ht="15" hidden="false" customHeight="false" outlineLevel="0" collapsed="false">
      <c r="B119" s="9" t="s">
        <v>79</v>
      </c>
      <c r="C119" s="5" t="s">
        <v>223</v>
      </c>
      <c r="D119" s="5" t="s">
        <v>192</v>
      </c>
      <c r="E119" s="9" t="s">
        <v>164</v>
      </c>
      <c r="F119" s="5" t="n">
        <v>1</v>
      </c>
      <c r="G119" s="5" t="s">
        <v>45</v>
      </c>
      <c r="H119" s="17" t="n">
        <f aca="false">IFERROR(INDEX(MATERIALES!$D$3:$D$57,MATCH(E119,MATERIALES!$B$3:$B$57,0)),"")</f>
        <v>8</v>
      </c>
      <c r="I119" s="17" t="n">
        <f aca="false">IF(H119="","",F119*H119)</f>
        <v>8</v>
      </c>
      <c r="J119" s="19" t="s">
        <v>424</v>
      </c>
      <c r="K119" s="19" t="s">
        <v>425</v>
      </c>
    </row>
    <row r="120" customFormat="false" ht="15" hidden="false" customHeight="false" outlineLevel="0" collapsed="false">
      <c r="B120" s="9" t="s">
        <v>79</v>
      </c>
      <c r="C120" s="5" t="s">
        <v>223</v>
      </c>
      <c r="D120" s="5" t="s">
        <v>192</v>
      </c>
      <c r="E120" s="9" t="s">
        <v>172</v>
      </c>
      <c r="F120" s="5" t="n">
        <v>0.5</v>
      </c>
      <c r="G120" s="5" t="s">
        <v>45</v>
      </c>
      <c r="H120" s="17" t="n">
        <f aca="false">IFERROR(INDEX(MATERIALES!$D$3:$D$57,MATCH(E120,MATERIALES!$B$3:$B$57,0)),"")</f>
        <v>15</v>
      </c>
      <c r="I120" s="17" t="n">
        <f aca="false">IF(H120="","",F120*H120)</f>
        <v>7.5</v>
      </c>
      <c r="J120" s="19" t="s">
        <v>426</v>
      </c>
      <c r="K120" s="19" t="s">
        <v>427</v>
      </c>
    </row>
    <row r="121" customFormat="false" ht="15" hidden="false" customHeight="false" outlineLevel="0" collapsed="false">
      <c r="B121" s="9" t="s">
        <v>79</v>
      </c>
      <c r="C121" s="5" t="s">
        <v>223</v>
      </c>
      <c r="D121" s="5" t="s">
        <v>232</v>
      </c>
      <c r="E121" s="9" t="s">
        <v>152</v>
      </c>
      <c r="F121" s="5" t="n">
        <v>1</v>
      </c>
      <c r="G121" s="5" t="s">
        <v>45</v>
      </c>
      <c r="H121" s="17" t="n">
        <f aca="false">IFERROR(INDEX(MATERIALES!$D$3:$D$57,MATCH(E121,MATERIALES!$B$3:$B$57,0)),"")</f>
        <v>80</v>
      </c>
      <c r="I121" s="17" t="n">
        <f aca="false">IF(H121="","",F121*H121)</f>
        <v>80</v>
      </c>
      <c r="J121" s="19" t="s">
        <v>428</v>
      </c>
      <c r="K121" s="19" t="s">
        <v>429</v>
      </c>
    </row>
    <row r="122" customFormat="false" ht="15" hidden="false" customHeight="false" outlineLevel="0" collapsed="false">
      <c r="B122" s="9" t="s">
        <v>79</v>
      </c>
      <c r="C122" s="5" t="s">
        <v>223</v>
      </c>
      <c r="D122" s="5" t="s">
        <v>235</v>
      </c>
      <c r="E122" s="9" t="s">
        <v>139</v>
      </c>
      <c r="F122" s="5" t="n">
        <v>1</v>
      </c>
      <c r="G122" s="5" t="s">
        <v>45</v>
      </c>
      <c r="H122" s="17" t="n">
        <f aca="false">IFERROR(INDEX(MATERIALES!$D$3:$D$57,MATCH(E122,MATERIALES!$B$3:$B$57,0)),"")</f>
        <v>18</v>
      </c>
      <c r="I122" s="17" t="n">
        <f aca="false">IF(H122="","",F122*H122)</f>
        <v>18</v>
      </c>
      <c r="J122" s="19" t="s">
        <v>430</v>
      </c>
      <c r="K122" s="19" t="s">
        <v>431</v>
      </c>
    </row>
    <row r="123" customFormat="false" ht="15" hidden="false" customHeight="false" outlineLevel="0" collapsed="false">
      <c r="B123" s="9" t="s">
        <v>79</v>
      </c>
      <c r="C123" s="5" t="s">
        <v>223</v>
      </c>
      <c r="D123" s="5" t="s">
        <v>184</v>
      </c>
      <c r="E123" s="9" t="s">
        <v>169</v>
      </c>
      <c r="F123" s="5" t="n">
        <v>0.25</v>
      </c>
      <c r="G123" s="5" t="s">
        <v>170</v>
      </c>
      <c r="H123" s="17" t="n">
        <f aca="false">IFERROR(INDEX(MATERIALES!$D$3:$D$57,MATCH(E123,MATERIALES!$B$3:$B$57,0)),"")</f>
        <v>15</v>
      </c>
      <c r="I123" s="17" t="n">
        <f aca="false">IF(H123="","",F123*H123)</f>
        <v>3.75</v>
      </c>
      <c r="J123" s="19" t="s">
        <v>432</v>
      </c>
      <c r="K123" s="19" t="s">
        <v>433</v>
      </c>
    </row>
    <row r="124" customFormat="false" ht="15" hidden="false" customHeight="false" outlineLevel="0" collapsed="false">
      <c r="B124" s="9" t="s">
        <v>79</v>
      </c>
      <c r="C124" s="5" t="s">
        <v>223</v>
      </c>
      <c r="D124" s="5" t="s">
        <v>187</v>
      </c>
      <c r="E124" s="9" t="s">
        <v>177</v>
      </c>
      <c r="F124" s="5" t="n">
        <v>0.5</v>
      </c>
      <c r="G124" s="5" t="s">
        <v>178</v>
      </c>
      <c r="H124" s="17" t="n">
        <f aca="false">IFERROR(INDEX(MATERIALES!$D$3:$D$57,MATCH(E124,MATERIALES!$B$3:$B$57,0)),"")</f>
        <v>4.5</v>
      </c>
      <c r="I124" s="17" t="n">
        <f aca="false">IF(H124="","",F124*H124)</f>
        <v>2.25</v>
      </c>
      <c r="J124" s="19" t="s">
        <v>434</v>
      </c>
      <c r="K124" s="19" t="s">
        <v>435</v>
      </c>
    </row>
    <row r="125" customFormat="false" ht="15" hidden="false" customHeight="false" outlineLevel="0" collapsed="false">
      <c r="B125" s="9" t="s">
        <v>79</v>
      </c>
      <c r="C125" s="5" t="s">
        <v>223</v>
      </c>
      <c r="D125" s="5" t="s">
        <v>187</v>
      </c>
      <c r="E125" s="9" t="s">
        <v>167</v>
      </c>
      <c r="F125" s="5" t="n">
        <v>0.25</v>
      </c>
      <c r="G125" s="5" t="s">
        <v>168</v>
      </c>
      <c r="H125" s="17" t="n">
        <f aca="false">IFERROR(INDEX(MATERIALES!$D$3:$D$57,MATCH(E125,MATERIALES!$B$3:$B$57,0)),"")</f>
        <v>24</v>
      </c>
      <c r="I125" s="17" t="n">
        <f aca="false">IF(H125="","",F125*H125)</f>
        <v>6</v>
      </c>
      <c r="J125" s="19" t="s">
        <v>436</v>
      </c>
      <c r="K125" s="19" t="s">
        <v>437</v>
      </c>
    </row>
    <row r="126" customFormat="false" ht="15" hidden="false" customHeight="false" outlineLevel="0" collapsed="false">
      <c r="B126" s="9" t="s">
        <v>79</v>
      </c>
      <c r="C126" s="5" t="s">
        <v>244</v>
      </c>
      <c r="D126" s="5" t="s">
        <v>179</v>
      </c>
      <c r="E126" s="9" t="s">
        <v>129</v>
      </c>
      <c r="F126" s="5" t="n">
        <v>2</v>
      </c>
      <c r="G126" s="5" t="s">
        <v>120</v>
      </c>
      <c r="H126" s="17" t="n">
        <f aca="false">IFERROR(INDEX(MATERIALES!$D$3:$D$57,MATCH(E126,MATERIALES!$B$3:$B$57,0)),"")</f>
        <v>70</v>
      </c>
      <c r="I126" s="17" t="n">
        <f aca="false">IF(H126="","",F126*H126)</f>
        <v>140</v>
      </c>
      <c r="J126" s="19" t="s">
        <v>438</v>
      </c>
      <c r="K126" s="19" t="s">
        <v>439</v>
      </c>
    </row>
    <row r="127" customFormat="false" ht="15" hidden="false" customHeight="false" outlineLevel="0" collapsed="false">
      <c r="B127" s="9" t="s">
        <v>79</v>
      </c>
      <c r="C127" s="5" t="s">
        <v>244</v>
      </c>
      <c r="D127" s="5" t="s">
        <v>179</v>
      </c>
      <c r="E127" s="9" t="s">
        <v>148</v>
      </c>
      <c r="F127" s="5" t="n">
        <v>1</v>
      </c>
      <c r="G127" s="5" t="s">
        <v>45</v>
      </c>
      <c r="H127" s="17" t="n">
        <f aca="false">IFERROR(INDEX(MATERIALES!$D$3:$D$57,MATCH(E127,MATERIALES!$B$3:$B$57,0)),"")</f>
        <v>35</v>
      </c>
      <c r="I127" s="17" t="n">
        <f aca="false">IF(H127="","",F127*H127)</f>
        <v>35</v>
      </c>
      <c r="J127" s="19" t="s">
        <v>440</v>
      </c>
      <c r="K127" s="19" t="s">
        <v>441</v>
      </c>
    </row>
    <row r="128" customFormat="false" ht="15" hidden="false" customHeight="false" outlineLevel="0" collapsed="false">
      <c r="B128" s="9" t="s">
        <v>79</v>
      </c>
      <c r="C128" s="5" t="s">
        <v>244</v>
      </c>
      <c r="D128" s="5" t="s">
        <v>179</v>
      </c>
      <c r="E128" s="9" t="s">
        <v>132</v>
      </c>
      <c r="F128" s="5" t="n">
        <v>1</v>
      </c>
      <c r="G128" s="5" t="s">
        <v>45</v>
      </c>
      <c r="H128" s="17" t="n">
        <f aca="false">IFERROR(INDEX(MATERIALES!$D$3:$D$57,MATCH(E128,MATERIALES!$B$3:$B$57,0)),"")</f>
        <v>2</v>
      </c>
      <c r="I128" s="17" t="n">
        <f aca="false">IF(H128="","",F128*H128)</f>
        <v>2</v>
      </c>
      <c r="J128" s="19" t="s">
        <v>442</v>
      </c>
      <c r="K128" s="19" t="s">
        <v>443</v>
      </c>
    </row>
    <row r="129" customFormat="false" ht="15" hidden="false" customHeight="false" outlineLevel="0" collapsed="false">
      <c r="B129" s="9" t="s">
        <v>79</v>
      </c>
      <c r="C129" s="5" t="s">
        <v>244</v>
      </c>
      <c r="D129" s="5" t="s">
        <v>184</v>
      </c>
      <c r="E129" s="9" t="s">
        <v>169</v>
      </c>
      <c r="F129" s="5" t="n">
        <v>0.25</v>
      </c>
      <c r="G129" s="5" t="s">
        <v>170</v>
      </c>
      <c r="H129" s="17" t="n">
        <f aca="false">IFERROR(INDEX(MATERIALES!$D$3:$D$57,MATCH(E129,MATERIALES!$B$3:$B$57,0)),"")</f>
        <v>15</v>
      </c>
      <c r="I129" s="17" t="n">
        <f aca="false">IF(H129="","",F129*H129)</f>
        <v>3.75</v>
      </c>
      <c r="J129" s="19" t="s">
        <v>444</v>
      </c>
      <c r="K129" s="19" t="s">
        <v>445</v>
      </c>
    </row>
    <row r="130" customFormat="false" ht="15" hidden="false" customHeight="false" outlineLevel="0" collapsed="false">
      <c r="B130" s="9" t="s">
        <v>79</v>
      </c>
      <c r="C130" s="5" t="s">
        <v>244</v>
      </c>
      <c r="D130" s="5" t="s">
        <v>187</v>
      </c>
      <c r="E130" s="9" t="s">
        <v>177</v>
      </c>
      <c r="F130" s="5" t="n">
        <v>0.5</v>
      </c>
      <c r="G130" s="5" t="s">
        <v>178</v>
      </c>
      <c r="H130" s="17" t="n">
        <f aca="false">IFERROR(INDEX(MATERIALES!$D$3:$D$57,MATCH(E130,MATERIALES!$B$3:$B$57,0)),"")</f>
        <v>4.5</v>
      </c>
      <c r="I130" s="17" t="n">
        <f aca="false">IF(H130="","",F130*H130)</f>
        <v>2.25</v>
      </c>
      <c r="J130" s="19" t="s">
        <v>446</v>
      </c>
      <c r="K130" s="19" t="s">
        <v>447</v>
      </c>
    </row>
    <row r="131" customFormat="false" ht="15" hidden="false" customHeight="false" outlineLevel="0" collapsed="false">
      <c r="B131" s="9" t="s">
        <v>79</v>
      </c>
      <c r="C131" s="5" t="s">
        <v>244</v>
      </c>
      <c r="D131" s="5" t="s">
        <v>187</v>
      </c>
      <c r="E131" s="9" t="s">
        <v>167</v>
      </c>
      <c r="F131" s="5" t="n">
        <v>0.25</v>
      </c>
      <c r="G131" s="5" t="s">
        <v>168</v>
      </c>
      <c r="H131" s="17" t="n">
        <f aca="false">IFERROR(INDEX(MATERIALES!$D$3:$D$57,MATCH(E131,MATERIALES!$B$3:$B$57,0)),"")</f>
        <v>24</v>
      </c>
      <c r="I131" s="17" t="n">
        <f aca="false">IF(H131="","",F131*H131)</f>
        <v>6</v>
      </c>
      <c r="J131" s="19" t="s">
        <v>448</v>
      </c>
      <c r="K131" s="19" t="s">
        <v>449</v>
      </c>
    </row>
    <row r="132" customFormat="false" ht="15" hidden="false" customHeight="false" outlineLevel="0" collapsed="false">
      <c r="B132" s="9" t="s">
        <v>79</v>
      </c>
      <c r="C132" s="5" t="s">
        <v>244</v>
      </c>
      <c r="D132" s="5" t="s">
        <v>192</v>
      </c>
      <c r="E132" s="9" t="s">
        <v>172</v>
      </c>
      <c r="F132" s="5" t="n">
        <v>0.5</v>
      </c>
      <c r="G132" s="5" t="s">
        <v>45</v>
      </c>
      <c r="H132" s="17" t="n">
        <f aca="false">IFERROR(INDEX(MATERIALES!$D$3:$D$57,MATCH(E132,MATERIALES!$B$3:$B$57,0)),"")</f>
        <v>15</v>
      </c>
      <c r="I132" s="17" t="n">
        <f aca="false">IF(H132="","",F132*H132)</f>
        <v>7.5</v>
      </c>
      <c r="J132" s="19" t="s">
        <v>450</v>
      </c>
      <c r="K132" s="19" t="s">
        <v>451</v>
      </c>
    </row>
    <row r="133" customFormat="false" ht="15" hidden="false" customHeight="false" outlineLevel="0" collapsed="false">
      <c r="B133" s="9" t="s">
        <v>79</v>
      </c>
      <c r="C133" s="5" t="s">
        <v>257</v>
      </c>
      <c r="D133" s="5" t="s">
        <v>179</v>
      </c>
      <c r="E133" s="9" t="s">
        <v>129</v>
      </c>
      <c r="F133" s="5" t="n">
        <v>2</v>
      </c>
      <c r="G133" s="5" t="s">
        <v>120</v>
      </c>
      <c r="H133" s="17" t="n">
        <f aca="false">IFERROR(INDEX(MATERIALES!$D$3:$D$57,MATCH(E133,MATERIALES!$B$3:$B$57,0)),"")</f>
        <v>70</v>
      </c>
      <c r="I133" s="17" t="n">
        <f aca="false">IF(H133="","",F133*H133)</f>
        <v>140</v>
      </c>
      <c r="J133" s="19" t="s">
        <v>452</v>
      </c>
      <c r="K133" s="19" t="s">
        <v>453</v>
      </c>
    </row>
    <row r="134" customFormat="false" ht="15" hidden="false" customHeight="false" outlineLevel="0" collapsed="false">
      <c r="B134" s="9" t="s">
        <v>79</v>
      </c>
      <c r="C134" s="5" t="s">
        <v>257</v>
      </c>
      <c r="D134" s="5" t="s">
        <v>179</v>
      </c>
      <c r="E134" s="9" t="s">
        <v>148</v>
      </c>
      <c r="F134" s="5" t="n">
        <v>1</v>
      </c>
      <c r="G134" s="5" t="s">
        <v>45</v>
      </c>
      <c r="H134" s="17" t="n">
        <f aca="false">IFERROR(INDEX(MATERIALES!$D$3:$D$57,MATCH(E134,MATERIALES!$B$3:$B$57,0)),"")</f>
        <v>35</v>
      </c>
      <c r="I134" s="17" t="n">
        <f aca="false">IF(H134="","",F134*H134)</f>
        <v>35</v>
      </c>
      <c r="J134" s="19" t="s">
        <v>454</v>
      </c>
      <c r="K134" s="19" t="s">
        <v>455</v>
      </c>
    </row>
    <row r="135" customFormat="false" ht="15" hidden="false" customHeight="false" outlineLevel="0" collapsed="false">
      <c r="B135" s="9" t="s">
        <v>79</v>
      </c>
      <c r="C135" s="5" t="s">
        <v>257</v>
      </c>
      <c r="D135" s="5" t="s">
        <v>179</v>
      </c>
      <c r="E135" s="9" t="s">
        <v>132</v>
      </c>
      <c r="F135" s="5" t="n">
        <v>1</v>
      </c>
      <c r="G135" s="5" t="s">
        <v>45</v>
      </c>
      <c r="H135" s="17" t="n">
        <f aca="false">IFERROR(INDEX(MATERIALES!$D$3:$D$57,MATCH(E135,MATERIALES!$B$3:$B$57,0)),"")</f>
        <v>2</v>
      </c>
      <c r="I135" s="17" t="n">
        <f aca="false">IF(H135="","",F135*H135)</f>
        <v>2</v>
      </c>
      <c r="J135" s="19" t="s">
        <v>456</v>
      </c>
      <c r="K135" s="19" t="s">
        <v>457</v>
      </c>
    </row>
    <row r="136" customFormat="false" ht="15" hidden="false" customHeight="false" outlineLevel="0" collapsed="false">
      <c r="B136" s="9" t="s">
        <v>79</v>
      </c>
      <c r="C136" s="5" t="s">
        <v>257</v>
      </c>
      <c r="D136" s="5" t="s">
        <v>192</v>
      </c>
      <c r="E136" s="9" t="s">
        <v>164</v>
      </c>
      <c r="F136" s="5" t="n">
        <v>1</v>
      </c>
      <c r="G136" s="5" t="s">
        <v>45</v>
      </c>
      <c r="H136" s="17" t="n">
        <f aca="false">IFERROR(INDEX(MATERIALES!$D$3:$D$57,MATCH(E136,MATERIALES!$B$3:$B$57,0)),"")</f>
        <v>8</v>
      </c>
      <c r="I136" s="17" t="n">
        <f aca="false">IF(H136="","",F136*H136)</f>
        <v>8</v>
      </c>
      <c r="J136" s="19" t="s">
        <v>458</v>
      </c>
      <c r="K136" s="19" t="s">
        <v>459</v>
      </c>
    </row>
    <row r="137" customFormat="false" ht="15" hidden="false" customHeight="false" outlineLevel="0" collapsed="false">
      <c r="B137" s="9" t="s">
        <v>79</v>
      </c>
      <c r="C137" s="5" t="s">
        <v>257</v>
      </c>
      <c r="D137" s="5" t="s">
        <v>192</v>
      </c>
      <c r="E137" s="9" t="s">
        <v>172</v>
      </c>
      <c r="F137" s="5" t="n">
        <v>0.5</v>
      </c>
      <c r="G137" s="5" t="s">
        <v>45</v>
      </c>
      <c r="H137" s="17" t="n">
        <f aca="false">IFERROR(INDEX(MATERIALES!$D$3:$D$57,MATCH(E137,MATERIALES!$B$3:$B$57,0)),"")</f>
        <v>15</v>
      </c>
      <c r="I137" s="17" t="n">
        <f aca="false">IF(H137="","",F137*H137)</f>
        <v>7.5</v>
      </c>
      <c r="J137" s="19" t="s">
        <v>460</v>
      </c>
      <c r="K137" s="19" t="s">
        <v>461</v>
      </c>
    </row>
    <row r="138" customFormat="false" ht="15" hidden="false" customHeight="false" outlineLevel="0" collapsed="false">
      <c r="B138" s="9" t="s">
        <v>79</v>
      </c>
      <c r="C138" s="5" t="s">
        <v>257</v>
      </c>
      <c r="D138" s="5" t="s">
        <v>232</v>
      </c>
      <c r="E138" s="9" t="s">
        <v>152</v>
      </c>
      <c r="F138" s="5" t="n">
        <v>1</v>
      </c>
      <c r="G138" s="5" t="s">
        <v>45</v>
      </c>
      <c r="H138" s="17" t="n">
        <f aca="false">IFERROR(INDEX(MATERIALES!$D$3:$D$57,MATCH(E138,MATERIALES!$B$3:$B$57,0)),"")</f>
        <v>80</v>
      </c>
      <c r="I138" s="17" t="n">
        <f aca="false">IF(H138="","",F138*H138)</f>
        <v>80</v>
      </c>
      <c r="J138" s="19" t="s">
        <v>462</v>
      </c>
      <c r="K138" s="19" t="s">
        <v>463</v>
      </c>
    </row>
    <row r="139" customFormat="false" ht="15" hidden="false" customHeight="false" outlineLevel="0" collapsed="false">
      <c r="B139" s="9" t="s">
        <v>79</v>
      </c>
      <c r="C139" s="5" t="s">
        <v>257</v>
      </c>
      <c r="D139" s="5" t="s">
        <v>235</v>
      </c>
      <c r="E139" s="9" t="s">
        <v>139</v>
      </c>
      <c r="F139" s="5" t="n">
        <v>1</v>
      </c>
      <c r="G139" s="5" t="s">
        <v>45</v>
      </c>
      <c r="H139" s="17" t="n">
        <f aca="false">IFERROR(INDEX(MATERIALES!$D$3:$D$57,MATCH(E139,MATERIALES!$B$3:$B$57,0)),"")</f>
        <v>18</v>
      </c>
      <c r="I139" s="17" t="n">
        <f aca="false">IF(H139="","",F139*H139)</f>
        <v>18</v>
      </c>
      <c r="J139" s="19" t="s">
        <v>464</v>
      </c>
      <c r="K139" s="19" t="s">
        <v>465</v>
      </c>
    </row>
    <row r="140" customFormat="false" ht="15" hidden="false" customHeight="false" outlineLevel="0" collapsed="false">
      <c r="B140" s="9" t="s">
        <v>79</v>
      </c>
      <c r="C140" s="5" t="s">
        <v>257</v>
      </c>
      <c r="D140" s="5" t="s">
        <v>365</v>
      </c>
      <c r="E140" s="9" t="s">
        <v>119</v>
      </c>
      <c r="F140" s="5" t="n">
        <v>0.3</v>
      </c>
      <c r="G140" s="5" t="s">
        <v>120</v>
      </c>
      <c r="H140" s="17" t="n">
        <f aca="false">IFERROR(INDEX(MATERIALES!$D$3:$D$57,MATCH(E140,MATERIALES!$B$3:$B$57,0)),"")</f>
        <v>25</v>
      </c>
      <c r="I140" s="17" t="n">
        <f aca="false">IF(H140="","",F140*H140)</f>
        <v>7.5</v>
      </c>
      <c r="J140" s="19" t="s">
        <v>466</v>
      </c>
      <c r="K140" s="19" t="s">
        <v>467</v>
      </c>
    </row>
    <row r="141" customFormat="false" ht="15" hidden="false" customHeight="false" outlineLevel="0" collapsed="false">
      <c r="B141" s="9" t="s">
        <v>79</v>
      </c>
      <c r="C141" s="5" t="s">
        <v>257</v>
      </c>
      <c r="D141" s="5" t="s">
        <v>184</v>
      </c>
      <c r="E141" s="9" t="s">
        <v>169</v>
      </c>
      <c r="F141" s="5" t="n">
        <v>0.25</v>
      </c>
      <c r="G141" s="5" t="s">
        <v>170</v>
      </c>
      <c r="H141" s="17" t="n">
        <f aca="false">IFERROR(INDEX(MATERIALES!$D$3:$D$57,MATCH(E141,MATERIALES!$B$3:$B$57,0)),"")</f>
        <v>15</v>
      </c>
      <c r="I141" s="17" t="n">
        <f aca="false">IF(H141="","",F141*H141)</f>
        <v>3.75</v>
      </c>
      <c r="J141" s="19" t="s">
        <v>468</v>
      </c>
      <c r="K141" s="19" t="s">
        <v>469</v>
      </c>
    </row>
    <row r="142" customFormat="false" ht="15" hidden="false" customHeight="false" outlineLevel="0" collapsed="false">
      <c r="B142" s="9" t="s">
        <v>79</v>
      </c>
      <c r="C142" s="5" t="s">
        <v>257</v>
      </c>
      <c r="D142" s="5" t="s">
        <v>187</v>
      </c>
      <c r="E142" s="9" t="s">
        <v>177</v>
      </c>
      <c r="F142" s="5" t="n">
        <v>0.5</v>
      </c>
      <c r="G142" s="5" t="s">
        <v>178</v>
      </c>
      <c r="H142" s="17" t="n">
        <f aca="false">IFERROR(INDEX(MATERIALES!$D$3:$D$57,MATCH(E142,MATERIALES!$B$3:$B$57,0)),"")</f>
        <v>4.5</v>
      </c>
      <c r="I142" s="17" t="n">
        <f aca="false">IF(H142="","",F142*H142)</f>
        <v>2.25</v>
      </c>
      <c r="J142" s="19" t="s">
        <v>470</v>
      </c>
      <c r="K142" s="19" t="s">
        <v>471</v>
      </c>
    </row>
    <row r="143" customFormat="false" ht="15" hidden="false" customHeight="false" outlineLevel="0" collapsed="false">
      <c r="B143" s="9" t="s">
        <v>79</v>
      </c>
      <c r="C143" s="5" t="s">
        <v>257</v>
      </c>
      <c r="D143" s="5" t="s">
        <v>187</v>
      </c>
      <c r="E143" s="9" t="s">
        <v>167</v>
      </c>
      <c r="F143" s="5" t="n">
        <v>0.25</v>
      </c>
      <c r="G143" s="5" t="s">
        <v>168</v>
      </c>
      <c r="H143" s="17" t="n">
        <f aca="false">IFERROR(INDEX(MATERIALES!$D$3:$D$57,MATCH(E143,MATERIALES!$B$3:$B$57,0)),"")</f>
        <v>24</v>
      </c>
      <c r="I143" s="17" t="n">
        <f aca="false">IF(H143="","",F143*H143)</f>
        <v>6</v>
      </c>
      <c r="J143" s="19" t="s">
        <v>472</v>
      </c>
      <c r="K143" s="19" t="s">
        <v>473</v>
      </c>
    </row>
    <row r="144" customFormat="false" ht="15" hidden="false" customHeight="false" outlineLevel="0" collapsed="false">
      <c r="B144" s="9" t="s">
        <v>85</v>
      </c>
      <c r="C144" s="5" t="s">
        <v>474</v>
      </c>
      <c r="D144" s="5" t="s">
        <v>179</v>
      </c>
      <c r="E144" s="9" t="s">
        <v>122</v>
      </c>
      <c r="F144" s="5" t="n">
        <v>3</v>
      </c>
      <c r="G144" s="5" t="s">
        <v>123</v>
      </c>
      <c r="H144" s="17" t="n">
        <f aca="false">IFERROR(INDEX(MATERIALES!$D$3:$D$57,MATCH(E144,MATERIALES!$B$3:$B$57,0)),"")</f>
        <v>68</v>
      </c>
      <c r="I144" s="17" t="n">
        <f aca="false">IF(H144="","",F144*H144)</f>
        <v>204</v>
      </c>
      <c r="J144" s="19" t="s">
        <v>475</v>
      </c>
      <c r="K144" s="19" t="s">
        <v>476</v>
      </c>
    </row>
    <row r="145" customFormat="false" ht="15" hidden="false" customHeight="false" outlineLevel="0" collapsed="false">
      <c r="B145" s="9" t="s">
        <v>85</v>
      </c>
      <c r="C145" s="5" t="s">
        <v>474</v>
      </c>
      <c r="D145" s="5" t="s">
        <v>179</v>
      </c>
      <c r="E145" s="9" t="s">
        <v>144</v>
      </c>
      <c r="F145" s="5" t="n">
        <v>1</v>
      </c>
      <c r="G145" s="5" t="s">
        <v>45</v>
      </c>
      <c r="H145" s="17" t="n">
        <f aca="false">IFERROR(INDEX(MATERIALES!$D$3:$D$57,MATCH(E145,MATERIALES!$B$3:$B$57,0)),"")</f>
        <v>70</v>
      </c>
      <c r="I145" s="17" t="n">
        <f aca="false">IF(H145="","",F145*H145)</f>
        <v>70</v>
      </c>
      <c r="J145" s="19" t="s">
        <v>477</v>
      </c>
      <c r="K145" s="19" t="s">
        <v>478</v>
      </c>
    </row>
    <row r="146" customFormat="false" ht="15" hidden="false" customHeight="false" outlineLevel="0" collapsed="false">
      <c r="B146" s="9" t="s">
        <v>85</v>
      </c>
      <c r="C146" s="5" t="s">
        <v>474</v>
      </c>
      <c r="D146" s="5" t="s">
        <v>179</v>
      </c>
      <c r="E146" s="9" t="s">
        <v>147</v>
      </c>
      <c r="F146" s="5" t="n">
        <v>1</v>
      </c>
      <c r="G146" s="5" t="s">
        <v>45</v>
      </c>
      <c r="H146" s="17" t="n">
        <f aca="false">IFERROR(INDEX(MATERIALES!$D$3:$D$57,MATCH(E146,MATERIALES!$B$3:$B$57,0)),"")</f>
        <v>125</v>
      </c>
      <c r="I146" s="17" t="n">
        <f aca="false">IF(H146="","",F146*H146)</f>
        <v>125</v>
      </c>
      <c r="J146" s="19" t="s">
        <v>479</v>
      </c>
      <c r="K146" s="19" t="s">
        <v>480</v>
      </c>
    </row>
    <row r="147" customFormat="false" ht="15" hidden="false" customHeight="false" outlineLevel="0" collapsed="false">
      <c r="B147" s="9" t="s">
        <v>85</v>
      </c>
      <c r="C147" s="5" t="s">
        <v>474</v>
      </c>
      <c r="D147" s="5" t="s">
        <v>179</v>
      </c>
      <c r="E147" s="9" t="s">
        <v>166</v>
      </c>
      <c r="F147" s="5" t="n">
        <v>1</v>
      </c>
      <c r="G147" s="5" t="s">
        <v>45</v>
      </c>
      <c r="H147" s="17" t="n">
        <f aca="false">IFERROR(INDEX(MATERIALES!$D$3:$D$57,MATCH(E147,MATERIALES!$B$3:$B$57,0)),"")</f>
        <v>20</v>
      </c>
      <c r="I147" s="17" t="n">
        <f aca="false">IF(H147="","",F147*H147)</f>
        <v>20</v>
      </c>
      <c r="J147" s="19" t="s">
        <v>481</v>
      </c>
      <c r="K147" s="19" t="s">
        <v>482</v>
      </c>
    </row>
    <row r="148" customFormat="false" ht="15" hidden="false" customHeight="false" outlineLevel="0" collapsed="false">
      <c r="B148" s="9" t="s">
        <v>85</v>
      </c>
      <c r="C148" s="5" t="s">
        <v>474</v>
      </c>
      <c r="D148" s="5" t="s">
        <v>483</v>
      </c>
      <c r="E148" s="9" t="s">
        <v>174</v>
      </c>
      <c r="F148" s="5" t="n">
        <v>2</v>
      </c>
      <c r="G148" s="5" t="s">
        <v>170</v>
      </c>
      <c r="H148" s="17" t="n">
        <f aca="false">IFERROR(INDEX(MATERIALES!$D$3:$D$57,MATCH(E148,MATERIALES!$B$3:$B$57,0)),"")</f>
        <v>15</v>
      </c>
      <c r="I148" s="17" t="n">
        <f aca="false">IF(H148="","",F148*H148)</f>
        <v>30</v>
      </c>
      <c r="J148" s="19" t="s">
        <v>484</v>
      </c>
      <c r="K148" s="19" t="s">
        <v>485</v>
      </c>
    </row>
    <row r="149" customFormat="false" ht="15" hidden="false" customHeight="false" outlineLevel="0" collapsed="false">
      <c r="B149" s="9" t="s">
        <v>85</v>
      </c>
      <c r="C149" s="5" t="s">
        <v>474</v>
      </c>
      <c r="D149" s="5" t="s">
        <v>187</v>
      </c>
      <c r="E149" s="9" t="s">
        <v>177</v>
      </c>
      <c r="F149" s="5" t="n">
        <v>1</v>
      </c>
      <c r="G149" s="5" t="s">
        <v>178</v>
      </c>
      <c r="H149" s="17" t="n">
        <f aca="false">IFERROR(INDEX(MATERIALES!$D$3:$D$57,MATCH(E149,MATERIALES!$B$3:$B$57,0)),"")</f>
        <v>4.5</v>
      </c>
      <c r="I149" s="17" t="n">
        <f aca="false">IF(H149="","",F149*H149)</f>
        <v>4.5</v>
      </c>
      <c r="J149" s="19" t="s">
        <v>486</v>
      </c>
      <c r="K149" s="19" t="s">
        <v>487</v>
      </c>
    </row>
    <row r="150" customFormat="false" ht="15" hidden="false" customHeight="false" outlineLevel="0" collapsed="false">
      <c r="B150" s="9" t="s">
        <v>85</v>
      </c>
      <c r="C150" s="5" t="s">
        <v>474</v>
      </c>
      <c r="D150" s="5" t="s">
        <v>187</v>
      </c>
      <c r="E150" s="9" t="s">
        <v>167</v>
      </c>
      <c r="F150" s="5" t="n">
        <v>0.5</v>
      </c>
      <c r="G150" s="5" t="s">
        <v>168</v>
      </c>
      <c r="H150" s="17" t="n">
        <f aca="false">IFERROR(INDEX(MATERIALES!$D$3:$D$57,MATCH(E150,MATERIALES!$B$3:$B$57,0)),"")</f>
        <v>24</v>
      </c>
      <c r="I150" s="17" t="n">
        <f aca="false">IF(H150="","",F150*H150)</f>
        <v>12</v>
      </c>
      <c r="J150" s="19" t="s">
        <v>488</v>
      </c>
      <c r="K150" s="19" t="s">
        <v>489</v>
      </c>
    </row>
    <row r="151" customFormat="false" ht="15" hidden="false" customHeight="false" outlineLevel="0" collapsed="false">
      <c r="B151" s="9" t="s">
        <v>85</v>
      </c>
      <c r="C151" s="5" t="s">
        <v>490</v>
      </c>
      <c r="D151" s="5" t="s">
        <v>179</v>
      </c>
      <c r="E151" s="9" t="s">
        <v>122</v>
      </c>
      <c r="F151" s="5" t="n">
        <v>3</v>
      </c>
      <c r="G151" s="5" t="s">
        <v>123</v>
      </c>
      <c r="H151" s="17" t="n">
        <f aca="false">IFERROR(INDEX(MATERIALES!$D$3:$D$57,MATCH(E151,MATERIALES!$B$3:$B$57,0)),"")</f>
        <v>68</v>
      </c>
      <c r="I151" s="17" t="n">
        <f aca="false">IF(H151="","",F151*H151)</f>
        <v>204</v>
      </c>
      <c r="J151" s="19" t="s">
        <v>491</v>
      </c>
      <c r="K151" s="19" t="s">
        <v>492</v>
      </c>
    </row>
    <row r="152" customFormat="false" ht="15" hidden="false" customHeight="false" outlineLevel="0" collapsed="false">
      <c r="B152" s="9" t="s">
        <v>85</v>
      </c>
      <c r="C152" s="5" t="s">
        <v>490</v>
      </c>
      <c r="D152" s="5" t="s">
        <v>179</v>
      </c>
      <c r="E152" s="9" t="s">
        <v>144</v>
      </c>
      <c r="F152" s="5" t="n">
        <v>1</v>
      </c>
      <c r="G152" s="5" t="s">
        <v>45</v>
      </c>
      <c r="H152" s="17" t="n">
        <f aca="false">IFERROR(INDEX(MATERIALES!$D$3:$D$57,MATCH(E152,MATERIALES!$B$3:$B$57,0)),"")</f>
        <v>70</v>
      </c>
      <c r="I152" s="17" t="n">
        <f aca="false">IF(H152="","",F152*H152)</f>
        <v>70</v>
      </c>
      <c r="J152" s="19" t="s">
        <v>493</v>
      </c>
      <c r="K152" s="19" t="s">
        <v>494</v>
      </c>
    </row>
    <row r="153" customFormat="false" ht="15" hidden="false" customHeight="false" outlineLevel="0" collapsed="false">
      <c r="B153" s="9" t="s">
        <v>85</v>
      </c>
      <c r="C153" s="5" t="s">
        <v>490</v>
      </c>
      <c r="D153" s="5" t="s">
        <v>179</v>
      </c>
      <c r="E153" s="9" t="s">
        <v>147</v>
      </c>
      <c r="F153" s="5" t="n">
        <v>1</v>
      </c>
      <c r="G153" s="5" t="s">
        <v>45</v>
      </c>
      <c r="H153" s="17" t="n">
        <f aca="false">IFERROR(INDEX(MATERIALES!$D$3:$D$57,MATCH(E153,MATERIALES!$B$3:$B$57,0)),"")</f>
        <v>125</v>
      </c>
      <c r="I153" s="17" t="n">
        <f aca="false">IF(H153="","",F153*H153)</f>
        <v>125</v>
      </c>
      <c r="J153" s="19" t="s">
        <v>495</v>
      </c>
      <c r="K153" s="19" t="s">
        <v>496</v>
      </c>
    </row>
    <row r="154" customFormat="false" ht="15" hidden="false" customHeight="false" outlineLevel="0" collapsed="false">
      <c r="B154" s="9" t="s">
        <v>85</v>
      </c>
      <c r="C154" s="5" t="s">
        <v>490</v>
      </c>
      <c r="D154" s="5" t="s">
        <v>179</v>
      </c>
      <c r="E154" s="9" t="s">
        <v>166</v>
      </c>
      <c r="F154" s="5" t="n">
        <v>1</v>
      </c>
      <c r="G154" s="5" t="s">
        <v>45</v>
      </c>
      <c r="H154" s="17" t="n">
        <f aca="false">IFERROR(INDEX(MATERIALES!$D$3:$D$57,MATCH(E154,MATERIALES!$B$3:$B$57,0)),"")</f>
        <v>20</v>
      </c>
      <c r="I154" s="17" t="n">
        <f aca="false">IF(H154="","",F154*H154)</f>
        <v>20</v>
      </c>
      <c r="J154" s="19" t="s">
        <v>497</v>
      </c>
      <c r="K154" s="19" t="s">
        <v>498</v>
      </c>
    </row>
    <row r="155" customFormat="false" ht="15" hidden="false" customHeight="false" outlineLevel="0" collapsed="false">
      <c r="B155" s="9" t="s">
        <v>85</v>
      </c>
      <c r="C155" s="5" t="s">
        <v>490</v>
      </c>
      <c r="D155" s="5" t="s">
        <v>232</v>
      </c>
      <c r="E155" s="9" t="s">
        <v>145</v>
      </c>
      <c r="F155" s="5" t="n">
        <v>1</v>
      </c>
      <c r="G155" s="5" t="s">
        <v>45</v>
      </c>
      <c r="H155" s="17" t="n">
        <f aca="false">IFERROR(INDEX(MATERIALES!$D$3:$D$57,MATCH(E155,MATERIALES!$B$3:$B$57,0)),"")</f>
        <v>180</v>
      </c>
      <c r="I155" s="17" t="n">
        <f aca="false">IF(H155="","",F155*H155)</f>
        <v>180</v>
      </c>
      <c r="J155" s="19" t="s">
        <v>499</v>
      </c>
      <c r="K155" s="19" t="s">
        <v>500</v>
      </c>
    </row>
    <row r="156" customFormat="false" ht="15" hidden="false" customHeight="false" outlineLevel="0" collapsed="false">
      <c r="B156" s="9" t="s">
        <v>85</v>
      </c>
      <c r="C156" s="5" t="s">
        <v>490</v>
      </c>
      <c r="D156" s="5" t="s">
        <v>232</v>
      </c>
      <c r="E156" s="9" t="s">
        <v>146</v>
      </c>
      <c r="F156" s="5" t="n">
        <v>1</v>
      </c>
      <c r="G156" s="5" t="s">
        <v>45</v>
      </c>
      <c r="H156" s="17" t="n">
        <f aca="false">IFERROR(INDEX(MATERIALES!$D$3:$D$57,MATCH(E156,MATERIALES!$B$3:$B$57,0)),"")</f>
        <v>150</v>
      </c>
      <c r="I156" s="17" t="n">
        <f aca="false">IF(H156="","",F156*H156)</f>
        <v>150</v>
      </c>
      <c r="J156" s="19" t="s">
        <v>501</v>
      </c>
      <c r="K156" s="19" t="s">
        <v>502</v>
      </c>
    </row>
    <row r="157" customFormat="false" ht="15" hidden="false" customHeight="false" outlineLevel="0" collapsed="false">
      <c r="B157" s="9" t="s">
        <v>85</v>
      </c>
      <c r="C157" s="5" t="s">
        <v>490</v>
      </c>
      <c r="D157" s="5" t="s">
        <v>503</v>
      </c>
      <c r="E157" s="9" t="s">
        <v>125</v>
      </c>
      <c r="F157" s="5" t="n">
        <v>1</v>
      </c>
      <c r="G157" s="5" t="s">
        <v>123</v>
      </c>
      <c r="H157" s="17" t="n">
        <f aca="false">IFERROR(INDEX(MATERIALES!$D$3:$D$57,MATCH(E157,MATERIALES!$B$3:$B$57,0)),"")</f>
        <v>75.64</v>
      </c>
      <c r="I157" s="17" t="n">
        <f aca="false">IF(H157="","",F157*H157)</f>
        <v>75.64</v>
      </c>
      <c r="J157" s="19" t="s">
        <v>504</v>
      </c>
      <c r="K157" s="19" t="s">
        <v>505</v>
      </c>
    </row>
    <row r="158" customFormat="false" ht="15" hidden="false" customHeight="false" outlineLevel="0" collapsed="false">
      <c r="B158" s="9" t="s">
        <v>85</v>
      </c>
      <c r="C158" s="5" t="s">
        <v>490</v>
      </c>
      <c r="D158" s="5" t="s">
        <v>483</v>
      </c>
      <c r="E158" s="9" t="s">
        <v>174</v>
      </c>
      <c r="F158" s="5" t="n">
        <v>2</v>
      </c>
      <c r="G158" s="5" t="s">
        <v>170</v>
      </c>
      <c r="H158" s="17" t="n">
        <f aca="false">IFERROR(INDEX(MATERIALES!$D$3:$D$57,MATCH(E158,MATERIALES!$B$3:$B$57,0)),"")</f>
        <v>15</v>
      </c>
      <c r="I158" s="17" t="n">
        <f aca="false">IF(H158="","",F158*H158)</f>
        <v>30</v>
      </c>
      <c r="J158" s="19" t="s">
        <v>506</v>
      </c>
      <c r="K158" s="19" t="s">
        <v>507</v>
      </c>
    </row>
    <row r="159" customFormat="false" ht="15" hidden="false" customHeight="false" outlineLevel="0" collapsed="false">
      <c r="B159" s="9" t="s">
        <v>85</v>
      </c>
      <c r="C159" s="5" t="s">
        <v>490</v>
      </c>
      <c r="D159" s="5" t="s">
        <v>187</v>
      </c>
      <c r="E159" s="9" t="s">
        <v>177</v>
      </c>
      <c r="F159" s="5" t="n">
        <v>1</v>
      </c>
      <c r="G159" s="5" t="s">
        <v>178</v>
      </c>
      <c r="H159" s="17" t="n">
        <f aca="false">IFERROR(INDEX(MATERIALES!$D$3:$D$57,MATCH(E159,MATERIALES!$B$3:$B$57,0)),"")</f>
        <v>4.5</v>
      </c>
      <c r="I159" s="17" t="n">
        <f aca="false">IF(H159="","",F159*H159)</f>
        <v>4.5</v>
      </c>
      <c r="J159" s="19" t="s">
        <v>508</v>
      </c>
      <c r="K159" s="19" t="s">
        <v>509</v>
      </c>
    </row>
    <row r="160" customFormat="false" ht="15" hidden="false" customHeight="false" outlineLevel="0" collapsed="false">
      <c r="B160" s="9" t="s">
        <v>85</v>
      </c>
      <c r="C160" s="5" t="s">
        <v>490</v>
      </c>
      <c r="D160" s="5" t="s">
        <v>187</v>
      </c>
      <c r="E160" s="9" t="s">
        <v>167</v>
      </c>
      <c r="F160" s="5" t="n">
        <v>0.5</v>
      </c>
      <c r="G160" s="5" t="s">
        <v>168</v>
      </c>
      <c r="H160" s="17" t="n">
        <f aca="false">IFERROR(INDEX(MATERIALES!$D$3:$D$57,MATCH(E160,MATERIALES!$B$3:$B$57,0)),"")</f>
        <v>24</v>
      </c>
      <c r="I160" s="17" t="n">
        <f aca="false">IF(H160="","",F160*H160)</f>
        <v>12</v>
      </c>
      <c r="J160" s="19" t="s">
        <v>510</v>
      </c>
      <c r="K160" s="19" t="s">
        <v>511</v>
      </c>
    </row>
    <row r="161" customFormat="false" ht="15" hidden="false" customHeight="false" outlineLevel="0" collapsed="false">
      <c r="B161" s="9" t="s">
        <v>85</v>
      </c>
      <c r="C161" s="5" t="s">
        <v>512</v>
      </c>
      <c r="D161" s="5" t="s">
        <v>179</v>
      </c>
      <c r="E161" s="9" t="s">
        <v>122</v>
      </c>
      <c r="F161" s="5" t="n">
        <v>3</v>
      </c>
      <c r="G161" s="5" t="s">
        <v>123</v>
      </c>
      <c r="H161" s="17" t="n">
        <f aca="false">IFERROR(INDEX(MATERIALES!$D$3:$D$57,MATCH(E161,MATERIALES!$B$3:$B$57,0)),"")</f>
        <v>68</v>
      </c>
      <c r="I161" s="17" t="n">
        <f aca="false">IF(H161="","",F161*H161)</f>
        <v>204</v>
      </c>
      <c r="J161" s="19" t="s">
        <v>513</v>
      </c>
      <c r="K161" s="19" t="s">
        <v>514</v>
      </c>
    </row>
    <row r="162" customFormat="false" ht="15" hidden="false" customHeight="false" outlineLevel="0" collapsed="false">
      <c r="B162" s="9" t="s">
        <v>85</v>
      </c>
      <c r="C162" s="5" t="s">
        <v>512</v>
      </c>
      <c r="D162" s="5" t="s">
        <v>179</v>
      </c>
      <c r="E162" s="9" t="s">
        <v>144</v>
      </c>
      <c r="F162" s="5" t="n">
        <v>1</v>
      </c>
      <c r="G162" s="5" t="s">
        <v>45</v>
      </c>
      <c r="H162" s="17" t="n">
        <f aca="false">IFERROR(INDEX(MATERIALES!$D$3:$D$57,MATCH(E162,MATERIALES!$B$3:$B$57,0)),"")</f>
        <v>70</v>
      </c>
      <c r="I162" s="17" t="n">
        <f aca="false">IF(H162="","",F162*H162)</f>
        <v>70</v>
      </c>
      <c r="J162" s="19" t="s">
        <v>515</v>
      </c>
      <c r="K162" s="19" t="s">
        <v>516</v>
      </c>
    </row>
    <row r="163" customFormat="false" ht="15" hidden="false" customHeight="false" outlineLevel="0" collapsed="false">
      <c r="B163" s="9" t="s">
        <v>85</v>
      </c>
      <c r="C163" s="5" t="s">
        <v>512</v>
      </c>
      <c r="D163" s="5" t="s">
        <v>179</v>
      </c>
      <c r="E163" s="9" t="s">
        <v>147</v>
      </c>
      <c r="F163" s="5" t="n">
        <v>1</v>
      </c>
      <c r="G163" s="5" t="s">
        <v>45</v>
      </c>
      <c r="H163" s="17" t="n">
        <f aca="false">IFERROR(INDEX(MATERIALES!$D$3:$D$57,MATCH(E163,MATERIALES!$B$3:$B$57,0)),"")</f>
        <v>125</v>
      </c>
      <c r="I163" s="17" t="n">
        <f aca="false">IF(H163="","",F163*H163)</f>
        <v>125</v>
      </c>
      <c r="J163" s="19" t="s">
        <v>517</v>
      </c>
      <c r="K163" s="19" t="s">
        <v>518</v>
      </c>
    </row>
    <row r="164" customFormat="false" ht="15" hidden="false" customHeight="false" outlineLevel="0" collapsed="false">
      <c r="B164" s="9" t="s">
        <v>85</v>
      </c>
      <c r="C164" s="5" t="s">
        <v>512</v>
      </c>
      <c r="D164" s="5" t="s">
        <v>179</v>
      </c>
      <c r="E164" s="9" t="s">
        <v>166</v>
      </c>
      <c r="F164" s="5" t="n">
        <v>1</v>
      </c>
      <c r="G164" s="5" t="s">
        <v>45</v>
      </c>
      <c r="H164" s="17" t="n">
        <f aca="false">IFERROR(INDEX(MATERIALES!$D$3:$D$57,MATCH(E164,MATERIALES!$B$3:$B$57,0)),"")</f>
        <v>20</v>
      </c>
      <c r="I164" s="17" t="n">
        <f aca="false">IF(H164="","",F164*H164)</f>
        <v>20</v>
      </c>
      <c r="J164" s="19" t="s">
        <v>519</v>
      </c>
      <c r="K164" s="19" t="s">
        <v>520</v>
      </c>
    </row>
    <row r="165" customFormat="false" ht="15" hidden="false" customHeight="false" outlineLevel="0" collapsed="false">
      <c r="B165" s="9" t="s">
        <v>85</v>
      </c>
      <c r="C165" s="5" t="s">
        <v>512</v>
      </c>
      <c r="D165" s="5" t="s">
        <v>483</v>
      </c>
      <c r="E165" s="9" t="s">
        <v>174</v>
      </c>
      <c r="F165" s="5" t="n">
        <v>2</v>
      </c>
      <c r="G165" s="5" t="s">
        <v>170</v>
      </c>
      <c r="H165" s="17" t="n">
        <f aca="false">IFERROR(INDEX(MATERIALES!$D$3:$D$57,MATCH(E165,MATERIALES!$B$3:$B$57,0)),"")</f>
        <v>15</v>
      </c>
      <c r="I165" s="17" t="n">
        <f aca="false">IF(H165="","",F165*H165)</f>
        <v>30</v>
      </c>
      <c r="J165" s="19" t="s">
        <v>521</v>
      </c>
      <c r="K165" s="19" t="s">
        <v>522</v>
      </c>
    </row>
    <row r="166" customFormat="false" ht="15" hidden="false" customHeight="false" outlineLevel="0" collapsed="false">
      <c r="B166" s="9" t="s">
        <v>85</v>
      </c>
      <c r="C166" s="5" t="s">
        <v>512</v>
      </c>
      <c r="D166" s="5" t="s">
        <v>187</v>
      </c>
      <c r="E166" s="9" t="s">
        <v>177</v>
      </c>
      <c r="F166" s="5" t="n">
        <v>1</v>
      </c>
      <c r="G166" s="5" t="s">
        <v>178</v>
      </c>
      <c r="H166" s="17" t="n">
        <f aca="false">IFERROR(INDEX(MATERIALES!$D$3:$D$57,MATCH(E166,MATERIALES!$B$3:$B$57,0)),"")</f>
        <v>4.5</v>
      </c>
      <c r="I166" s="17" t="n">
        <f aca="false">IF(H166="","",F166*H166)</f>
        <v>4.5</v>
      </c>
      <c r="J166" s="19" t="s">
        <v>523</v>
      </c>
      <c r="K166" s="19" t="s">
        <v>524</v>
      </c>
    </row>
    <row r="167" customFormat="false" ht="15" hidden="false" customHeight="false" outlineLevel="0" collapsed="false">
      <c r="B167" s="9" t="s">
        <v>85</v>
      </c>
      <c r="C167" s="5" t="s">
        <v>512</v>
      </c>
      <c r="D167" s="5" t="s">
        <v>187</v>
      </c>
      <c r="E167" s="9" t="s">
        <v>167</v>
      </c>
      <c r="F167" s="5" t="n">
        <v>0.5</v>
      </c>
      <c r="G167" s="5" t="s">
        <v>168</v>
      </c>
      <c r="H167" s="17" t="n">
        <f aca="false">IFERROR(INDEX(MATERIALES!$D$3:$D$57,MATCH(E167,MATERIALES!$B$3:$B$57,0)),"")</f>
        <v>24</v>
      </c>
      <c r="I167" s="17" t="n">
        <f aca="false">IF(H167="","",F167*H167)</f>
        <v>12</v>
      </c>
      <c r="J167" s="19" t="s">
        <v>525</v>
      </c>
      <c r="K167" s="19" t="s">
        <v>526</v>
      </c>
    </row>
    <row r="168" customFormat="false" ht="15" hidden="false" customHeight="false" outlineLevel="0" collapsed="false">
      <c r="B168" s="9" t="s">
        <v>85</v>
      </c>
      <c r="C168" s="5" t="s">
        <v>527</v>
      </c>
      <c r="D168" s="5" t="s">
        <v>179</v>
      </c>
      <c r="E168" s="9" t="s">
        <v>122</v>
      </c>
      <c r="F168" s="5" t="n">
        <v>3</v>
      </c>
      <c r="G168" s="5" t="s">
        <v>123</v>
      </c>
      <c r="H168" s="17" t="n">
        <f aca="false">IFERROR(INDEX(MATERIALES!$D$3:$D$57,MATCH(E168,MATERIALES!$B$3:$B$57,0)),"")</f>
        <v>68</v>
      </c>
      <c r="I168" s="17" t="n">
        <f aca="false">IF(H168="","",F168*H168)</f>
        <v>204</v>
      </c>
      <c r="J168" s="19" t="s">
        <v>528</v>
      </c>
      <c r="K168" s="19" t="s">
        <v>529</v>
      </c>
    </row>
    <row r="169" customFormat="false" ht="15" hidden="false" customHeight="false" outlineLevel="0" collapsed="false">
      <c r="B169" s="9" t="s">
        <v>85</v>
      </c>
      <c r="C169" s="5" t="s">
        <v>527</v>
      </c>
      <c r="D169" s="5" t="s">
        <v>179</v>
      </c>
      <c r="E169" s="9" t="s">
        <v>144</v>
      </c>
      <c r="F169" s="5" t="n">
        <v>1</v>
      </c>
      <c r="G169" s="5" t="s">
        <v>45</v>
      </c>
      <c r="H169" s="17" t="n">
        <f aca="false">IFERROR(INDEX(MATERIALES!$D$3:$D$57,MATCH(E169,MATERIALES!$B$3:$B$57,0)),"")</f>
        <v>70</v>
      </c>
      <c r="I169" s="17" t="n">
        <f aca="false">IF(H169="","",F169*H169)</f>
        <v>70</v>
      </c>
      <c r="J169" s="19" t="s">
        <v>530</v>
      </c>
      <c r="K169" s="19" t="s">
        <v>531</v>
      </c>
    </row>
    <row r="170" customFormat="false" ht="15" hidden="false" customHeight="false" outlineLevel="0" collapsed="false">
      <c r="B170" s="9" t="s">
        <v>85</v>
      </c>
      <c r="C170" s="5" t="s">
        <v>527</v>
      </c>
      <c r="D170" s="5" t="s">
        <v>179</v>
      </c>
      <c r="E170" s="9" t="s">
        <v>147</v>
      </c>
      <c r="F170" s="5" t="n">
        <v>1</v>
      </c>
      <c r="G170" s="5" t="s">
        <v>45</v>
      </c>
      <c r="H170" s="17" t="n">
        <f aca="false">IFERROR(INDEX(MATERIALES!$D$3:$D$57,MATCH(E170,MATERIALES!$B$3:$B$57,0)),"")</f>
        <v>125</v>
      </c>
      <c r="I170" s="17" t="n">
        <f aca="false">IF(H170="","",F170*H170)</f>
        <v>125</v>
      </c>
      <c r="J170" s="19" t="s">
        <v>532</v>
      </c>
      <c r="K170" s="19" t="s">
        <v>533</v>
      </c>
    </row>
    <row r="171" customFormat="false" ht="15" hidden="false" customHeight="false" outlineLevel="0" collapsed="false">
      <c r="B171" s="9" t="s">
        <v>85</v>
      </c>
      <c r="C171" s="5" t="s">
        <v>527</v>
      </c>
      <c r="D171" s="5" t="s">
        <v>179</v>
      </c>
      <c r="E171" s="9" t="s">
        <v>166</v>
      </c>
      <c r="F171" s="5" t="n">
        <v>1</v>
      </c>
      <c r="G171" s="5" t="s">
        <v>45</v>
      </c>
      <c r="H171" s="17" t="n">
        <f aca="false">IFERROR(INDEX(MATERIALES!$D$3:$D$57,MATCH(E171,MATERIALES!$B$3:$B$57,0)),"")</f>
        <v>20</v>
      </c>
      <c r="I171" s="17" t="n">
        <f aca="false">IF(H171="","",F171*H171)</f>
        <v>20</v>
      </c>
      <c r="J171" s="19" t="s">
        <v>534</v>
      </c>
      <c r="K171" s="19" t="s">
        <v>535</v>
      </c>
    </row>
    <row r="172" customFormat="false" ht="15" hidden="false" customHeight="false" outlineLevel="0" collapsed="false">
      <c r="B172" s="9" t="s">
        <v>85</v>
      </c>
      <c r="C172" s="5" t="s">
        <v>527</v>
      </c>
      <c r="D172" s="5" t="s">
        <v>232</v>
      </c>
      <c r="E172" s="9" t="s">
        <v>145</v>
      </c>
      <c r="F172" s="5" t="n">
        <v>1</v>
      </c>
      <c r="G172" s="5" t="s">
        <v>45</v>
      </c>
      <c r="H172" s="17" t="n">
        <f aca="false">IFERROR(INDEX(MATERIALES!$D$3:$D$57,MATCH(E172,MATERIALES!$B$3:$B$57,0)),"")</f>
        <v>180</v>
      </c>
      <c r="I172" s="17" t="n">
        <f aca="false">IF(H172="","",F172*H172)</f>
        <v>180</v>
      </c>
      <c r="J172" s="19" t="s">
        <v>536</v>
      </c>
      <c r="K172" s="19" t="s">
        <v>537</v>
      </c>
    </row>
    <row r="173" customFormat="false" ht="15" hidden="false" customHeight="false" outlineLevel="0" collapsed="false">
      <c r="B173" s="9" t="s">
        <v>85</v>
      </c>
      <c r="C173" s="5" t="s">
        <v>527</v>
      </c>
      <c r="D173" s="5" t="s">
        <v>232</v>
      </c>
      <c r="E173" s="9" t="s">
        <v>146</v>
      </c>
      <c r="F173" s="5" t="n">
        <v>1</v>
      </c>
      <c r="G173" s="5" t="s">
        <v>45</v>
      </c>
      <c r="H173" s="17" t="n">
        <f aca="false">IFERROR(INDEX(MATERIALES!$D$3:$D$57,MATCH(E173,MATERIALES!$B$3:$B$57,0)),"")</f>
        <v>150</v>
      </c>
      <c r="I173" s="17" t="n">
        <f aca="false">IF(H173="","",F173*H173)</f>
        <v>150</v>
      </c>
      <c r="J173" s="19" t="s">
        <v>538</v>
      </c>
      <c r="K173" s="19" t="s">
        <v>539</v>
      </c>
    </row>
    <row r="174" customFormat="false" ht="22.35" hidden="false" customHeight="false" outlineLevel="0" collapsed="false">
      <c r="B174" s="9" t="s">
        <v>85</v>
      </c>
      <c r="C174" s="5" t="s">
        <v>527</v>
      </c>
      <c r="D174" s="5" t="s">
        <v>540</v>
      </c>
      <c r="E174" s="9" t="s">
        <v>131</v>
      </c>
      <c r="F174" s="5" t="n">
        <v>9</v>
      </c>
      <c r="G174" s="5" t="s">
        <v>123</v>
      </c>
      <c r="H174" s="17" t="n">
        <f aca="false">IFERROR(INDEX(MATERIALES!$D$3:$D$57,MATCH(E174,MATERIALES!$B$3:$B$57,0)),"")</f>
        <v>84</v>
      </c>
      <c r="I174" s="17" t="n">
        <f aca="false">IF(H174="","",F174*H174)</f>
        <v>756</v>
      </c>
      <c r="J174" s="19" t="s">
        <v>541</v>
      </c>
      <c r="K174" s="19" t="s">
        <v>542</v>
      </c>
    </row>
    <row r="175" customFormat="false" ht="22.35" hidden="false" customHeight="false" outlineLevel="0" collapsed="false">
      <c r="B175" s="9" t="s">
        <v>85</v>
      </c>
      <c r="C175" s="5" t="s">
        <v>527</v>
      </c>
      <c r="D175" s="5" t="s">
        <v>540</v>
      </c>
      <c r="E175" s="9" t="s">
        <v>165</v>
      </c>
      <c r="F175" s="5" t="n">
        <v>1</v>
      </c>
      <c r="G175" s="5" t="s">
        <v>45</v>
      </c>
      <c r="H175" s="17" t="n">
        <f aca="false">IFERROR(INDEX(MATERIALES!$D$3:$D$57,MATCH(E175,MATERIALES!$B$3:$B$57,0)),"")</f>
        <v>180</v>
      </c>
      <c r="I175" s="17" t="n">
        <f aca="false">IF(H175="","",F175*H175)</f>
        <v>180</v>
      </c>
      <c r="J175" s="19" t="s">
        <v>543</v>
      </c>
      <c r="K175" s="19" t="s">
        <v>544</v>
      </c>
    </row>
    <row r="176" customFormat="false" ht="15" hidden="false" customHeight="false" outlineLevel="0" collapsed="false">
      <c r="B176" s="9" t="s">
        <v>85</v>
      </c>
      <c r="C176" s="5" t="s">
        <v>527</v>
      </c>
      <c r="D176" s="5" t="s">
        <v>503</v>
      </c>
      <c r="E176" s="9" t="s">
        <v>126</v>
      </c>
      <c r="F176" s="5" t="n">
        <v>1</v>
      </c>
      <c r="G176" s="5" t="s">
        <v>123</v>
      </c>
      <c r="H176" s="17" t="n">
        <f aca="false">IFERROR(INDEX(MATERIALES!$D$3:$D$57,MATCH(E176,MATERIALES!$B$3:$B$57,0)),"")</f>
        <v>75.64</v>
      </c>
      <c r="I176" s="17" t="n">
        <f aca="false">IF(H176="","",F176*H176)</f>
        <v>75.64</v>
      </c>
      <c r="J176" s="19" t="s">
        <v>545</v>
      </c>
      <c r="K176" s="19" t="s">
        <v>546</v>
      </c>
    </row>
    <row r="177" customFormat="false" ht="22.35" hidden="false" customHeight="false" outlineLevel="0" collapsed="false">
      <c r="B177" s="9" t="s">
        <v>85</v>
      </c>
      <c r="C177" s="5" t="s">
        <v>527</v>
      </c>
      <c r="D177" s="5" t="s">
        <v>547</v>
      </c>
      <c r="E177" s="9" t="s">
        <v>176</v>
      </c>
      <c r="F177" s="5" t="n">
        <v>13</v>
      </c>
      <c r="G177" s="5" t="s">
        <v>120</v>
      </c>
      <c r="H177" s="17" t="n">
        <f aca="false">IFERROR(INDEX(MATERIALES!$D$3:$D$57,MATCH(E177,MATERIALES!$B$3:$B$57,0)),"")</f>
        <v>13.53</v>
      </c>
      <c r="I177" s="17" t="n">
        <f aca="false">IF(H177="","",F177*H177)</f>
        <v>175.89</v>
      </c>
      <c r="J177" s="19" t="s">
        <v>548</v>
      </c>
      <c r="K177" s="19" t="s">
        <v>549</v>
      </c>
    </row>
    <row r="178" customFormat="false" ht="15" hidden="false" customHeight="false" outlineLevel="0" collapsed="false">
      <c r="B178" s="9" t="s">
        <v>85</v>
      </c>
      <c r="C178" s="5" t="s">
        <v>527</v>
      </c>
      <c r="D178" s="5" t="s">
        <v>550</v>
      </c>
      <c r="E178" s="9" t="s">
        <v>175</v>
      </c>
      <c r="F178" s="5" t="n">
        <v>0.25</v>
      </c>
      <c r="G178" s="5" t="s">
        <v>120</v>
      </c>
      <c r="H178" s="17" t="n">
        <f aca="false">IFERROR(INDEX(MATERIALES!$D$3:$D$57,MATCH(E178,MATERIALES!$B$3:$B$57,0)),"")</f>
        <v>53.14</v>
      </c>
      <c r="I178" s="17" t="n">
        <f aca="false">IF(H178="","",F178*H178)</f>
        <v>13.285</v>
      </c>
      <c r="J178" s="19" t="s">
        <v>551</v>
      </c>
      <c r="K178" s="19" t="s">
        <v>552</v>
      </c>
    </row>
    <row r="179" customFormat="false" ht="15" hidden="false" customHeight="false" outlineLevel="0" collapsed="false">
      <c r="B179" s="9" t="s">
        <v>85</v>
      </c>
      <c r="C179" s="5" t="s">
        <v>527</v>
      </c>
      <c r="D179" s="5" t="s">
        <v>483</v>
      </c>
      <c r="E179" s="9" t="s">
        <v>174</v>
      </c>
      <c r="F179" s="5" t="n">
        <v>1</v>
      </c>
      <c r="G179" s="5" t="s">
        <v>553</v>
      </c>
      <c r="H179" s="17" t="n">
        <f aca="false">IFERROR(INDEX(MATERIALES!$D$3:$D$57,MATCH(E179,MATERIALES!$B$3:$B$57,0)),"")</f>
        <v>15</v>
      </c>
      <c r="I179" s="17" t="n">
        <f aca="false">IF(H179="","",F179*H179)</f>
        <v>15</v>
      </c>
      <c r="J179" s="19" t="s">
        <v>554</v>
      </c>
      <c r="K179" s="19" t="s">
        <v>555</v>
      </c>
    </row>
    <row r="180" customFormat="false" ht="15" hidden="false" customHeight="false" outlineLevel="0" collapsed="false">
      <c r="B180" s="9" t="s">
        <v>85</v>
      </c>
      <c r="C180" s="5" t="s">
        <v>527</v>
      </c>
      <c r="D180" s="5" t="s">
        <v>187</v>
      </c>
      <c r="E180" s="9" t="s">
        <v>177</v>
      </c>
      <c r="F180" s="5" t="n">
        <v>1</v>
      </c>
      <c r="G180" s="5" t="s">
        <v>178</v>
      </c>
      <c r="H180" s="17" t="n">
        <f aca="false">IFERROR(INDEX(MATERIALES!$D$3:$D$57,MATCH(E180,MATERIALES!$B$3:$B$57,0)),"")</f>
        <v>4.5</v>
      </c>
      <c r="I180" s="17" t="n">
        <f aca="false">IF(H180="","",F180*H180)</f>
        <v>4.5</v>
      </c>
      <c r="J180" s="19" t="s">
        <v>556</v>
      </c>
      <c r="K180" s="19" t="s">
        <v>557</v>
      </c>
    </row>
    <row r="181" customFormat="false" ht="15" hidden="false" customHeight="false" outlineLevel="0" collapsed="false">
      <c r="B181" s="9" t="s">
        <v>85</v>
      </c>
      <c r="C181" s="5" t="s">
        <v>527</v>
      </c>
      <c r="D181" s="5" t="s">
        <v>187</v>
      </c>
      <c r="E181" s="9" t="s">
        <v>167</v>
      </c>
      <c r="F181" s="5" t="n">
        <v>0.5</v>
      </c>
      <c r="G181" s="5" t="s">
        <v>168</v>
      </c>
      <c r="H181" s="17" t="n">
        <f aca="false">IFERROR(INDEX(MATERIALES!$D$3:$D$57,MATCH(E181,MATERIALES!$B$3:$B$57,0)),"")</f>
        <v>24</v>
      </c>
      <c r="I181" s="17" t="n">
        <f aca="false">IF(H181="","",F181*H181)</f>
        <v>12</v>
      </c>
      <c r="J181" s="19" t="s">
        <v>558</v>
      </c>
      <c r="K181" s="19" t="s">
        <v>559</v>
      </c>
    </row>
    <row r="182" customFormat="false" ht="15" hidden="false" customHeight="false" outlineLevel="0" collapsed="false">
      <c r="B182" s="9" t="s">
        <v>105</v>
      </c>
      <c r="C182" s="5" t="s">
        <v>560</v>
      </c>
      <c r="D182" s="5" t="s">
        <v>179</v>
      </c>
      <c r="E182" s="9" t="s">
        <v>128</v>
      </c>
      <c r="F182" s="5" t="n">
        <v>1.1</v>
      </c>
      <c r="G182" s="5" t="s">
        <v>120</v>
      </c>
      <c r="H182" s="17" t="n">
        <f aca="false">IFERROR(INDEX(MATERIALES!$D$3:$D$57,MATCH(E182,MATERIALES!$B$3:$B$57,0)),"")</f>
        <v>25</v>
      </c>
      <c r="I182" s="17" t="n">
        <f aca="false">IF(H182="","",F182*H182)</f>
        <v>27.5</v>
      </c>
      <c r="J182" s="19" t="s">
        <v>561</v>
      </c>
      <c r="K182" s="19" t="s">
        <v>562</v>
      </c>
    </row>
    <row r="183" customFormat="false" ht="15" hidden="false" customHeight="false" outlineLevel="0" collapsed="false">
      <c r="B183" s="9" t="s">
        <v>105</v>
      </c>
      <c r="C183" s="5" t="s">
        <v>560</v>
      </c>
      <c r="D183" s="5" t="s">
        <v>187</v>
      </c>
      <c r="E183" s="9" t="s">
        <v>177</v>
      </c>
      <c r="F183" s="5" t="n">
        <v>0.25</v>
      </c>
      <c r="G183" s="5" t="s">
        <v>178</v>
      </c>
      <c r="H183" s="17" t="n">
        <f aca="false">IFERROR(INDEX(MATERIALES!$D$3:$D$57,MATCH(E183,MATERIALES!$B$3:$B$57,0)),"")</f>
        <v>4.5</v>
      </c>
      <c r="I183" s="17" t="n">
        <f aca="false">IF(H183="","",F183*H183)</f>
        <v>1.125</v>
      </c>
      <c r="J183" s="19" t="s">
        <v>563</v>
      </c>
      <c r="K183" s="19" t="s">
        <v>564</v>
      </c>
    </row>
    <row r="184" customFormat="false" ht="15" hidden="false" customHeight="false" outlineLevel="0" collapsed="false">
      <c r="B184" s="9" t="s">
        <v>105</v>
      </c>
      <c r="C184" s="5" t="s">
        <v>560</v>
      </c>
      <c r="D184" s="5" t="s">
        <v>187</v>
      </c>
      <c r="E184" s="9" t="s">
        <v>167</v>
      </c>
      <c r="F184" s="5" t="n">
        <v>0.25</v>
      </c>
      <c r="G184" s="5" t="s">
        <v>168</v>
      </c>
      <c r="H184" s="17" t="n">
        <f aca="false">IFERROR(INDEX(MATERIALES!$D$3:$D$57,MATCH(E184,MATERIALES!$B$3:$B$57,0)),"")</f>
        <v>24</v>
      </c>
      <c r="I184" s="17" t="n">
        <f aca="false">IF(H184="","",F184*H184)</f>
        <v>6</v>
      </c>
      <c r="J184" s="19" t="s">
        <v>565</v>
      </c>
      <c r="K184" s="19" t="s">
        <v>566</v>
      </c>
    </row>
    <row r="185" customFormat="false" ht="15" hidden="false" customHeight="false" outlineLevel="0" collapsed="false">
      <c r="B185" s="9" t="s">
        <v>105</v>
      </c>
      <c r="C185" s="5" t="s">
        <v>560</v>
      </c>
      <c r="D185" s="5" t="s">
        <v>192</v>
      </c>
      <c r="E185" s="9" t="s">
        <v>172</v>
      </c>
      <c r="F185" s="5" t="n">
        <v>0.5</v>
      </c>
      <c r="G185" s="5" t="s">
        <v>45</v>
      </c>
      <c r="H185" s="17" t="n">
        <f aca="false">IFERROR(INDEX(MATERIALES!$D$3:$D$57,MATCH(E185,MATERIALES!$B$3:$B$57,0)),"")</f>
        <v>15</v>
      </c>
      <c r="I185" s="17" t="n">
        <f aca="false">IF(H185="","",F185*H185)</f>
        <v>7.5</v>
      </c>
      <c r="J185" s="19" t="s">
        <v>567</v>
      </c>
      <c r="K185" s="19" t="s">
        <v>568</v>
      </c>
    </row>
    <row r="186" customFormat="false" ht="15" hidden="false" customHeight="false" outlineLevel="0" collapsed="false">
      <c r="B186" s="9" t="s">
        <v>105</v>
      </c>
      <c r="C186" s="5" t="s">
        <v>569</v>
      </c>
      <c r="D186" s="5" t="s">
        <v>179</v>
      </c>
      <c r="E186" s="9" t="s">
        <v>128</v>
      </c>
      <c r="F186" s="5" t="n">
        <v>1.1</v>
      </c>
      <c r="G186" s="5" t="s">
        <v>120</v>
      </c>
      <c r="H186" s="17" t="n">
        <f aca="false">IFERROR(INDEX(MATERIALES!$D$3:$D$57,MATCH(E186,MATERIALES!$B$3:$B$57,0)),"")</f>
        <v>25</v>
      </c>
      <c r="I186" s="17" t="n">
        <f aca="false">IF(H186="","",F186*H186)</f>
        <v>27.5</v>
      </c>
      <c r="J186" s="19" t="s">
        <v>570</v>
      </c>
      <c r="K186" s="19" t="s">
        <v>571</v>
      </c>
    </row>
    <row r="187" customFormat="false" ht="15" hidden="false" customHeight="false" outlineLevel="0" collapsed="false">
      <c r="B187" s="9" t="s">
        <v>105</v>
      </c>
      <c r="C187" s="5" t="s">
        <v>569</v>
      </c>
      <c r="D187" s="5" t="s">
        <v>187</v>
      </c>
      <c r="E187" s="9" t="s">
        <v>177</v>
      </c>
      <c r="F187" s="5" t="n">
        <v>0.25</v>
      </c>
      <c r="G187" s="5" t="s">
        <v>178</v>
      </c>
      <c r="H187" s="17" t="n">
        <f aca="false">IFERROR(INDEX(MATERIALES!$D$3:$D$57,MATCH(E187,MATERIALES!$B$3:$B$57,0)),"")</f>
        <v>4.5</v>
      </c>
      <c r="I187" s="17" t="n">
        <f aca="false">IF(H187="","",F187*H187)</f>
        <v>1.125</v>
      </c>
      <c r="J187" s="19" t="s">
        <v>572</v>
      </c>
      <c r="K187" s="19" t="s">
        <v>573</v>
      </c>
    </row>
    <row r="188" customFormat="false" ht="15" hidden="false" customHeight="false" outlineLevel="0" collapsed="false">
      <c r="B188" s="9" t="s">
        <v>105</v>
      </c>
      <c r="C188" s="5" t="s">
        <v>569</v>
      </c>
      <c r="D188" s="5" t="s">
        <v>187</v>
      </c>
      <c r="E188" s="9" t="s">
        <v>167</v>
      </c>
      <c r="F188" s="5" t="n">
        <v>0.25</v>
      </c>
      <c r="G188" s="5" t="s">
        <v>168</v>
      </c>
      <c r="H188" s="17" t="n">
        <f aca="false">IFERROR(INDEX(MATERIALES!$D$3:$D$57,MATCH(E188,MATERIALES!$B$3:$B$57,0)),"")</f>
        <v>24</v>
      </c>
      <c r="I188" s="17" t="n">
        <f aca="false">IF(H188="","",F188*H188)</f>
        <v>6</v>
      </c>
      <c r="J188" s="19" t="s">
        <v>574</v>
      </c>
      <c r="K188" s="19" t="s">
        <v>575</v>
      </c>
    </row>
    <row r="189" customFormat="false" ht="15" hidden="false" customHeight="false" outlineLevel="0" collapsed="false">
      <c r="B189" s="9" t="s">
        <v>105</v>
      </c>
      <c r="C189" s="5" t="s">
        <v>569</v>
      </c>
      <c r="D189" s="5" t="s">
        <v>192</v>
      </c>
      <c r="E189" s="9" t="s">
        <v>172</v>
      </c>
      <c r="F189" s="5" t="n">
        <v>0.5</v>
      </c>
      <c r="G189" s="5" t="s">
        <v>45</v>
      </c>
      <c r="H189" s="17" t="n">
        <f aca="false">IFERROR(INDEX(MATERIALES!$D$3:$D$57,MATCH(E189,MATERIALES!$B$3:$B$57,0)),"")</f>
        <v>15</v>
      </c>
      <c r="I189" s="17" t="n">
        <f aca="false">IF(H189="","",F189*H189)</f>
        <v>7.5</v>
      </c>
      <c r="J189" s="19" t="s">
        <v>576</v>
      </c>
      <c r="K189" s="19" t="s">
        <v>577</v>
      </c>
    </row>
    <row r="190" customFormat="false" ht="15" hidden="false" customHeight="false" outlineLevel="0" collapsed="false">
      <c r="B190" s="9" t="s">
        <v>105</v>
      </c>
      <c r="C190" s="5" t="s">
        <v>578</v>
      </c>
      <c r="D190" s="5" t="s">
        <v>179</v>
      </c>
      <c r="E190" s="9" t="s">
        <v>128</v>
      </c>
      <c r="F190" s="5" t="n">
        <v>1.1</v>
      </c>
      <c r="G190" s="5" t="s">
        <v>120</v>
      </c>
      <c r="H190" s="17" t="n">
        <f aca="false">IFERROR(INDEX(MATERIALES!$D$3:$D$57,MATCH(E190,MATERIALES!$B$3:$B$57,0)),"")</f>
        <v>25</v>
      </c>
      <c r="I190" s="17" t="n">
        <f aca="false">IF(H190="","",F190*H190)</f>
        <v>27.5</v>
      </c>
      <c r="J190" s="19" t="s">
        <v>579</v>
      </c>
      <c r="K190" s="19" t="s">
        <v>580</v>
      </c>
    </row>
    <row r="191" customFormat="false" ht="15" hidden="false" customHeight="false" outlineLevel="0" collapsed="false">
      <c r="B191" s="9" t="s">
        <v>105</v>
      </c>
      <c r="C191" s="5" t="s">
        <v>578</v>
      </c>
      <c r="D191" s="5" t="s">
        <v>235</v>
      </c>
      <c r="E191" s="9" t="s">
        <v>137</v>
      </c>
      <c r="F191" s="5" t="n">
        <v>1</v>
      </c>
      <c r="G191" s="5" t="s">
        <v>45</v>
      </c>
      <c r="H191" s="17" t="n">
        <f aca="false">IFERROR(INDEX(MATERIALES!$D$3:$D$57,MATCH(E191,MATERIALES!$B$3:$B$57,0)),"")</f>
        <v>12</v>
      </c>
      <c r="I191" s="17" t="n">
        <f aca="false">IF(H191="","",F191*H191)</f>
        <v>12</v>
      </c>
      <c r="J191" s="19" t="s">
        <v>581</v>
      </c>
      <c r="K191" s="19" t="s">
        <v>582</v>
      </c>
    </row>
    <row r="192" customFormat="false" ht="15" hidden="false" customHeight="false" outlineLevel="0" collapsed="false">
      <c r="B192" s="9" t="s">
        <v>105</v>
      </c>
      <c r="C192" s="5" t="s">
        <v>578</v>
      </c>
      <c r="D192" s="5" t="s">
        <v>232</v>
      </c>
      <c r="E192" s="9" t="s">
        <v>154</v>
      </c>
      <c r="F192" s="5" t="n">
        <v>1</v>
      </c>
      <c r="G192" s="5" t="s">
        <v>45</v>
      </c>
      <c r="H192" s="17" t="n">
        <f aca="false">IFERROR(INDEX(MATERIALES!$D$3:$D$57,MATCH(E192,MATERIALES!$B$3:$B$57,0)),"")</f>
        <v>45</v>
      </c>
      <c r="I192" s="17" t="n">
        <f aca="false">IF(H192="","",F192*H192)</f>
        <v>45</v>
      </c>
      <c r="J192" s="19" t="s">
        <v>583</v>
      </c>
      <c r="K192" s="19" t="s">
        <v>584</v>
      </c>
    </row>
    <row r="193" customFormat="false" ht="15" hidden="false" customHeight="false" outlineLevel="0" collapsed="false">
      <c r="B193" s="9" t="s">
        <v>105</v>
      </c>
      <c r="C193" s="5" t="s">
        <v>578</v>
      </c>
      <c r="D193" s="5" t="s">
        <v>585</v>
      </c>
      <c r="E193" s="9" t="s">
        <v>173</v>
      </c>
      <c r="F193" s="5" t="n">
        <v>1</v>
      </c>
      <c r="G193" s="5" t="s">
        <v>45</v>
      </c>
      <c r="H193" s="17" t="n">
        <f aca="false">IFERROR(INDEX(MATERIALES!$D$3:$D$57,MATCH(E193,MATERIALES!$B$3:$B$57,0)),"")</f>
        <v>15</v>
      </c>
      <c r="I193" s="17" t="n">
        <f aca="false">IF(H193="","",F193*H193)</f>
        <v>15</v>
      </c>
      <c r="J193" s="19" t="s">
        <v>586</v>
      </c>
      <c r="K193" s="19" t="s">
        <v>587</v>
      </c>
    </row>
    <row r="194" customFormat="false" ht="15" hidden="false" customHeight="false" outlineLevel="0" collapsed="false">
      <c r="B194" s="9" t="s">
        <v>105</v>
      </c>
      <c r="C194" s="5" t="s">
        <v>578</v>
      </c>
      <c r="D194" s="5" t="s">
        <v>187</v>
      </c>
      <c r="E194" s="9" t="s">
        <v>177</v>
      </c>
      <c r="F194" s="5" t="n">
        <v>0.25</v>
      </c>
      <c r="G194" s="5" t="s">
        <v>178</v>
      </c>
      <c r="H194" s="17" t="n">
        <f aca="false">IFERROR(INDEX(MATERIALES!$D$3:$D$57,MATCH(E194,MATERIALES!$B$3:$B$57,0)),"")</f>
        <v>4.5</v>
      </c>
      <c r="I194" s="17" t="n">
        <f aca="false">IF(H194="","",F194*H194)</f>
        <v>1.125</v>
      </c>
      <c r="J194" s="19" t="s">
        <v>588</v>
      </c>
      <c r="K194" s="19" t="s">
        <v>589</v>
      </c>
    </row>
    <row r="195" customFormat="false" ht="15" hidden="false" customHeight="false" outlineLevel="0" collapsed="false">
      <c r="B195" s="9" t="s">
        <v>105</v>
      </c>
      <c r="C195" s="5" t="s">
        <v>578</v>
      </c>
      <c r="D195" s="5" t="s">
        <v>187</v>
      </c>
      <c r="E195" s="9" t="s">
        <v>167</v>
      </c>
      <c r="F195" s="5" t="n">
        <v>0.25</v>
      </c>
      <c r="G195" s="5" t="s">
        <v>168</v>
      </c>
      <c r="H195" s="17" t="n">
        <f aca="false">IFERROR(INDEX(MATERIALES!$D$3:$D$57,MATCH(E195,MATERIALES!$B$3:$B$57,0)),"")</f>
        <v>24</v>
      </c>
      <c r="I195" s="17" t="n">
        <f aca="false">IF(H195="","",F195*H195)</f>
        <v>6</v>
      </c>
      <c r="J195" s="19" t="s">
        <v>590</v>
      </c>
      <c r="K195" s="19" t="s">
        <v>591</v>
      </c>
    </row>
    <row r="196" customFormat="false" ht="15" hidden="false" customHeight="false" outlineLevel="0" collapsed="false">
      <c r="B196" s="9" t="s">
        <v>105</v>
      </c>
      <c r="C196" s="5" t="s">
        <v>578</v>
      </c>
      <c r="D196" s="5" t="s">
        <v>192</v>
      </c>
      <c r="E196" s="9" t="s">
        <v>172</v>
      </c>
      <c r="F196" s="5" t="n">
        <v>0.5</v>
      </c>
      <c r="G196" s="5" t="s">
        <v>45</v>
      </c>
      <c r="H196" s="17" t="n">
        <f aca="false">IFERROR(INDEX(MATERIALES!$D$3:$D$57,MATCH(E196,MATERIALES!$B$3:$B$57,0)),"")</f>
        <v>15</v>
      </c>
      <c r="I196" s="17" t="n">
        <f aca="false">IF(H196="","",F196*H196)</f>
        <v>7.5</v>
      </c>
      <c r="J196" s="19" t="s">
        <v>592</v>
      </c>
      <c r="K196" s="19" t="s">
        <v>593</v>
      </c>
    </row>
    <row r="197" customFormat="false" ht="15" hidden="false" customHeight="false" outlineLevel="0" collapsed="false">
      <c r="B197" s="9" t="s">
        <v>93</v>
      </c>
      <c r="C197" s="5" t="s">
        <v>560</v>
      </c>
      <c r="D197" s="5" t="s">
        <v>179</v>
      </c>
      <c r="E197" s="9" t="s">
        <v>128</v>
      </c>
      <c r="F197" s="5" t="n">
        <v>1.1</v>
      </c>
      <c r="G197" s="5" t="s">
        <v>120</v>
      </c>
      <c r="H197" s="17" t="n">
        <f aca="false">IFERROR(INDEX(MATERIALES!$D$3:$D$57,MATCH(E197,MATERIALES!$B$3:$B$57,0)),"")</f>
        <v>25</v>
      </c>
      <c r="I197" s="17" t="n">
        <f aca="false">IF(H197="","",F197*H197)</f>
        <v>27.5</v>
      </c>
      <c r="J197" s="19" t="s">
        <v>594</v>
      </c>
      <c r="K197" s="19" t="s">
        <v>595</v>
      </c>
    </row>
    <row r="198" customFormat="false" ht="15" hidden="false" customHeight="false" outlineLevel="0" collapsed="false">
      <c r="B198" s="9" t="s">
        <v>93</v>
      </c>
      <c r="C198" s="5" t="s">
        <v>560</v>
      </c>
      <c r="D198" s="5" t="s">
        <v>187</v>
      </c>
      <c r="E198" s="9" t="s">
        <v>177</v>
      </c>
      <c r="F198" s="5" t="n">
        <v>0.25</v>
      </c>
      <c r="G198" s="5" t="s">
        <v>178</v>
      </c>
      <c r="H198" s="17" t="n">
        <f aca="false">IFERROR(INDEX(MATERIALES!$D$3:$D$57,MATCH(E198,MATERIALES!$B$3:$B$57,0)),"")</f>
        <v>4.5</v>
      </c>
      <c r="I198" s="17" t="n">
        <f aca="false">IF(H198="","",F198*H198)</f>
        <v>1.125</v>
      </c>
      <c r="J198" s="19" t="s">
        <v>596</v>
      </c>
      <c r="K198" s="19" t="s">
        <v>597</v>
      </c>
    </row>
    <row r="199" customFormat="false" ht="15" hidden="false" customHeight="false" outlineLevel="0" collapsed="false">
      <c r="B199" s="9" t="s">
        <v>93</v>
      </c>
      <c r="C199" s="5" t="s">
        <v>560</v>
      </c>
      <c r="D199" s="5" t="s">
        <v>187</v>
      </c>
      <c r="E199" s="9" t="s">
        <v>167</v>
      </c>
      <c r="F199" s="5" t="n">
        <v>0.25</v>
      </c>
      <c r="G199" s="5" t="s">
        <v>168</v>
      </c>
      <c r="H199" s="17" t="n">
        <f aca="false">IFERROR(INDEX(MATERIALES!$D$3:$D$57,MATCH(E199,MATERIALES!$B$3:$B$57,0)),"")</f>
        <v>24</v>
      </c>
      <c r="I199" s="17" t="n">
        <f aca="false">IF(H199="","",F199*H199)</f>
        <v>6</v>
      </c>
      <c r="J199" s="19" t="s">
        <v>598</v>
      </c>
      <c r="K199" s="19" t="s">
        <v>599</v>
      </c>
    </row>
    <row r="200" customFormat="false" ht="15" hidden="false" customHeight="false" outlineLevel="0" collapsed="false">
      <c r="B200" s="9" t="s">
        <v>93</v>
      </c>
      <c r="C200" s="5" t="s">
        <v>560</v>
      </c>
      <c r="D200" s="5" t="s">
        <v>192</v>
      </c>
      <c r="E200" s="9" t="s">
        <v>172</v>
      </c>
      <c r="F200" s="5" t="n">
        <v>0.5</v>
      </c>
      <c r="G200" s="5" t="s">
        <v>45</v>
      </c>
      <c r="H200" s="17" t="n">
        <f aca="false">IFERROR(INDEX(MATERIALES!$D$3:$D$57,MATCH(E200,MATERIALES!$B$3:$B$57,0)),"")</f>
        <v>15</v>
      </c>
      <c r="I200" s="17" t="n">
        <f aca="false">IF(H200="","",F200*H200)</f>
        <v>7.5</v>
      </c>
      <c r="J200" s="19" t="s">
        <v>600</v>
      </c>
      <c r="K200" s="19" t="s">
        <v>601</v>
      </c>
    </row>
    <row r="201" customFormat="false" ht="15" hidden="false" customHeight="false" outlineLevel="0" collapsed="false">
      <c r="B201" s="9" t="s">
        <v>93</v>
      </c>
      <c r="C201" s="5" t="s">
        <v>569</v>
      </c>
      <c r="D201" s="5" t="s">
        <v>179</v>
      </c>
      <c r="E201" s="9" t="s">
        <v>128</v>
      </c>
      <c r="F201" s="5" t="n">
        <v>1.1</v>
      </c>
      <c r="G201" s="5" t="s">
        <v>120</v>
      </c>
      <c r="H201" s="17" t="n">
        <f aca="false">IFERROR(INDEX(MATERIALES!$D$3:$D$57,MATCH(E201,MATERIALES!$B$3:$B$57,0)),"")</f>
        <v>25</v>
      </c>
      <c r="I201" s="17" t="n">
        <f aca="false">IF(H201="","",F201*H201)</f>
        <v>27.5</v>
      </c>
      <c r="J201" s="19" t="s">
        <v>602</v>
      </c>
      <c r="K201" s="19" t="s">
        <v>603</v>
      </c>
    </row>
    <row r="202" customFormat="false" ht="15" hidden="false" customHeight="false" outlineLevel="0" collapsed="false">
      <c r="B202" s="9" t="s">
        <v>93</v>
      </c>
      <c r="C202" s="5" t="s">
        <v>569</v>
      </c>
      <c r="D202" s="5" t="s">
        <v>187</v>
      </c>
      <c r="E202" s="9" t="s">
        <v>177</v>
      </c>
      <c r="F202" s="5" t="n">
        <v>0.25</v>
      </c>
      <c r="G202" s="5" t="s">
        <v>178</v>
      </c>
      <c r="H202" s="17" t="n">
        <f aca="false">IFERROR(INDEX(MATERIALES!$D$3:$D$57,MATCH(E202,MATERIALES!$B$3:$B$57,0)),"")</f>
        <v>4.5</v>
      </c>
      <c r="I202" s="17" t="n">
        <f aca="false">IF(H202="","",F202*H202)</f>
        <v>1.125</v>
      </c>
      <c r="J202" s="19" t="s">
        <v>604</v>
      </c>
      <c r="K202" s="19" t="s">
        <v>605</v>
      </c>
    </row>
    <row r="203" customFormat="false" ht="15" hidden="false" customHeight="false" outlineLevel="0" collapsed="false">
      <c r="B203" s="9" t="s">
        <v>93</v>
      </c>
      <c r="C203" s="5" t="s">
        <v>569</v>
      </c>
      <c r="D203" s="5" t="s">
        <v>187</v>
      </c>
      <c r="E203" s="9" t="s">
        <v>167</v>
      </c>
      <c r="F203" s="5" t="n">
        <v>0.25</v>
      </c>
      <c r="G203" s="5" t="s">
        <v>168</v>
      </c>
      <c r="H203" s="17" t="n">
        <f aca="false">IFERROR(INDEX(MATERIALES!$D$3:$D$57,MATCH(E203,MATERIALES!$B$3:$B$57,0)),"")</f>
        <v>24</v>
      </c>
      <c r="I203" s="17" t="n">
        <f aca="false">IF(H203="","",F203*H203)</f>
        <v>6</v>
      </c>
      <c r="J203" s="19" t="s">
        <v>606</v>
      </c>
      <c r="K203" s="19" t="s">
        <v>607</v>
      </c>
    </row>
    <row r="204" customFormat="false" ht="15" hidden="false" customHeight="false" outlineLevel="0" collapsed="false">
      <c r="B204" s="9" t="s">
        <v>93</v>
      </c>
      <c r="C204" s="5" t="s">
        <v>569</v>
      </c>
      <c r="D204" s="5" t="s">
        <v>192</v>
      </c>
      <c r="E204" s="9" t="s">
        <v>172</v>
      </c>
      <c r="F204" s="5" t="n">
        <v>0.5</v>
      </c>
      <c r="G204" s="5" t="s">
        <v>45</v>
      </c>
      <c r="H204" s="17" t="n">
        <f aca="false">IFERROR(INDEX(MATERIALES!$D$3:$D$57,MATCH(E204,MATERIALES!$B$3:$B$57,0)),"")</f>
        <v>15</v>
      </c>
      <c r="I204" s="17" t="n">
        <f aca="false">IF(H204="","",F204*H204)</f>
        <v>7.5</v>
      </c>
      <c r="J204" s="19" t="s">
        <v>608</v>
      </c>
      <c r="K204" s="19" t="s">
        <v>609</v>
      </c>
    </row>
    <row r="205" customFormat="false" ht="15" hidden="false" customHeight="false" outlineLevel="0" collapsed="false">
      <c r="B205" s="9" t="s">
        <v>93</v>
      </c>
      <c r="C205" s="5" t="s">
        <v>578</v>
      </c>
      <c r="D205" s="5" t="s">
        <v>179</v>
      </c>
      <c r="E205" s="9" t="s">
        <v>128</v>
      </c>
      <c r="F205" s="5" t="n">
        <v>1.1</v>
      </c>
      <c r="G205" s="5" t="s">
        <v>120</v>
      </c>
      <c r="H205" s="17" t="n">
        <f aca="false">IFERROR(INDEX(MATERIALES!$D$3:$D$57,MATCH(E205,MATERIALES!$B$3:$B$57,0)),"")</f>
        <v>25</v>
      </c>
      <c r="I205" s="17" t="n">
        <f aca="false">IF(H205="","",F205*H205)</f>
        <v>27.5</v>
      </c>
      <c r="J205" s="19" t="s">
        <v>610</v>
      </c>
      <c r="K205" s="19" t="s">
        <v>611</v>
      </c>
    </row>
    <row r="206" customFormat="false" ht="15" hidden="false" customHeight="false" outlineLevel="0" collapsed="false">
      <c r="B206" s="9" t="s">
        <v>93</v>
      </c>
      <c r="C206" s="5" t="s">
        <v>578</v>
      </c>
      <c r="D206" s="5" t="s">
        <v>235</v>
      </c>
      <c r="E206" s="9" t="s">
        <v>137</v>
      </c>
      <c r="F206" s="5" t="n">
        <v>1</v>
      </c>
      <c r="G206" s="5" t="s">
        <v>45</v>
      </c>
      <c r="H206" s="17" t="n">
        <f aca="false">IFERROR(INDEX(MATERIALES!$D$3:$D$57,MATCH(E206,MATERIALES!$B$3:$B$57,0)),"")</f>
        <v>12</v>
      </c>
      <c r="I206" s="17" t="n">
        <f aca="false">IF(H206="","",F206*H206)</f>
        <v>12</v>
      </c>
      <c r="J206" s="19" t="s">
        <v>612</v>
      </c>
      <c r="K206" s="19" t="s">
        <v>613</v>
      </c>
    </row>
    <row r="207" customFormat="false" ht="15" hidden="false" customHeight="false" outlineLevel="0" collapsed="false">
      <c r="B207" s="9" t="s">
        <v>93</v>
      </c>
      <c r="C207" s="5" t="s">
        <v>578</v>
      </c>
      <c r="D207" s="5" t="s">
        <v>232</v>
      </c>
      <c r="E207" s="9" t="s">
        <v>156</v>
      </c>
      <c r="F207" s="5" t="n">
        <v>1</v>
      </c>
      <c r="G207" s="5" t="s">
        <v>45</v>
      </c>
      <c r="H207" s="17" t="n">
        <f aca="false">IFERROR(INDEX(MATERIALES!$D$3:$D$57,MATCH(E207,MATERIALES!$B$3:$B$57,0)),"")</f>
        <v>45</v>
      </c>
      <c r="I207" s="17" t="n">
        <f aca="false">IF(H207="","",F207*H207)</f>
        <v>45</v>
      </c>
      <c r="J207" s="19" t="s">
        <v>614</v>
      </c>
      <c r="K207" s="19" t="s">
        <v>615</v>
      </c>
    </row>
    <row r="208" customFormat="false" ht="15" hidden="false" customHeight="false" outlineLevel="0" collapsed="false">
      <c r="B208" s="9" t="s">
        <v>93</v>
      </c>
      <c r="C208" s="5" t="s">
        <v>578</v>
      </c>
      <c r="D208" s="5" t="s">
        <v>187</v>
      </c>
      <c r="E208" s="9" t="s">
        <v>177</v>
      </c>
      <c r="F208" s="5" t="n">
        <v>0.25</v>
      </c>
      <c r="G208" s="5" t="s">
        <v>178</v>
      </c>
      <c r="H208" s="17" t="n">
        <f aca="false">IFERROR(INDEX(MATERIALES!$D$3:$D$57,MATCH(E208,MATERIALES!$B$3:$B$57,0)),"")</f>
        <v>4.5</v>
      </c>
      <c r="I208" s="17" t="n">
        <f aca="false">IF(H208="","",F208*H208)</f>
        <v>1.125</v>
      </c>
      <c r="J208" s="19" t="s">
        <v>616</v>
      </c>
      <c r="K208" s="19" t="s">
        <v>617</v>
      </c>
    </row>
    <row r="209" customFormat="false" ht="15" hidden="false" customHeight="false" outlineLevel="0" collapsed="false">
      <c r="B209" s="9" t="s">
        <v>93</v>
      </c>
      <c r="C209" s="5" t="s">
        <v>578</v>
      </c>
      <c r="D209" s="5" t="s">
        <v>187</v>
      </c>
      <c r="E209" s="9" t="s">
        <v>167</v>
      </c>
      <c r="F209" s="5" t="n">
        <v>0.25</v>
      </c>
      <c r="G209" s="5" t="s">
        <v>168</v>
      </c>
      <c r="H209" s="17" t="n">
        <f aca="false">IFERROR(INDEX(MATERIALES!$D$3:$D$57,MATCH(E209,MATERIALES!$B$3:$B$57,0)),"")</f>
        <v>24</v>
      </c>
      <c r="I209" s="17" t="n">
        <f aca="false">IF(H209="","",F209*H209)</f>
        <v>6</v>
      </c>
      <c r="J209" s="19" t="s">
        <v>618</v>
      </c>
      <c r="K209" s="19" t="s">
        <v>619</v>
      </c>
    </row>
    <row r="210" customFormat="false" ht="15" hidden="false" customHeight="false" outlineLevel="0" collapsed="false">
      <c r="B210" s="9" t="s">
        <v>93</v>
      </c>
      <c r="C210" s="5" t="s">
        <v>578</v>
      </c>
      <c r="D210" s="5" t="s">
        <v>192</v>
      </c>
      <c r="E210" s="9" t="s">
        <v>172</v>
      </c>
      <c r="F210" s="5" t="n">
        <v>0.5</v>
      </c>
      <c r="G210" s="5" t="s">
        <v>45</v>
      </c>
      <c r="H210" s="17" t="n">
        <f aca="false">IFERROR(INDEX(MATERIALES!$D$3:$D$57,MATCH(E210,MATERIALES!$B$3:$B$57,0)),"")</f>
        <v>15</v>
      </c>
      <c r="I210" s="17" t="n">
        <f aca="false">IF(H210="","",F210*H210)</f>
        <v>7.5</v>
      </c>
      <c r="J210" s="19" t="s">
        <v>620</v>
      </c>
      <c r="K210" s="19" t="s">
        <v>621</v>
      </c>
    </row>
    <row r="211" customFormat="false" ht="15" hidden="false" customHeight="false" outlineLevel="0" collapsed="false">
      <c r="B211" s="9" t="s">
        <v>96</v>
      </c>
      <c r="C211" s="5" t="s">
        <v>560</v>
      </c>
      <c r="D211" s="5" t="s">
        <v>179</v>
      </c>
      <c r="E211" s="9" t="s">
        <v>128</v>
      </c>
      <c r="F211" s="5" t="n">
        <v>0.6</v>
      </c>
      <c r="G211" s="5" t="s">
        <v>120</v>
      </c>
      <c r="H211" s="17" t="n">
        <f aca="false">IFERROR(INDEX(MATERIALES!$D$3:$D$57,MATCH(E211,MATERIALES!$B$3:$B$57,0)),"")</f>
        <v>25</v>
      </c>
      <c r="I211" s="17" t="n">
        <f aca="false">IF(H211="","",F211*H211)</f>
        <v>15</v>
      </c>
      <c r="J211" s="19" t="s">
        <v>622</v>
      </c>
      <c r="K211" s="19" t="s">
        <v>623</v>
      </c>
    </row>
    <row r="212" customFormat="false" ht="15" hidden="false" customHeight="false" outlineLevel="0" collapsed="false">
      <c r="B212" s="9" t="s">
        <v>96</v>
      </c>
      <c r="C212" s="5" t="s">
        <v>560</v>
      </c>
      <c r="D212" s="5" t="s">
        <v>187</v>
      </c>
      <c r="E212" s="9" t="s">
        <v>177</v>
      </c>
      <c r="F212" s="5" t="n">
        <v>0.25</v>
      </c>
      <c r="G212" s="5" t="s">
        <v>178</v>
      </c>
      <c r="H212" s="17" t="n">
        <f aca="false">IFERROR(INDEX(MATERIALES!$D$3:$D$57,MATCH(E212,MATERIALES!$B$3:$B$57,0)),"")</f>
        <v>4.5</v>
      </c>
      <c r="I212" s="17" t="n">
        <f aca="false">IF(H212="","",F212*H212)</f>
        <v>1.125</v>
      </c>
      <c r="J212" s="19" t="s">
        <v>624</v>
      </c>
      <c r="K212" s="19" t="s">
        <v>625</v>
      </c>
    </row>
    <row r="213" customFormat="false" ht="15" hidden="false" customHeight="false" outlineLevel="0" collapsed="false">
      <c r="B213" s="9" t="s">
        <v>96</v>
      </c>
      <c r="C213" s="5" t="s">
        <v>560</v>
      </c>
      <c r="D213" s="5" t="s">
        <v>187</v>
      </c>
      <c r="E213" s="9" t="s">
        <v>167</v>
      </c>
      <c r="F213" s="5" t="n">
        <v>0.25</v>
      </c>
      <c r="G213" s="5" t="s">
        <v>168</v>
      </c>
      <c r="H213" s="17" t="n">
        <f aca="false">IFERROR(INDEX(MATERIALES!$D$3:$D$57,MATCH(E213,MATERIALES!$B$3:$B$57,0)),"")</f>
        <v>24</v>
      </c>
      <c r="I213" s="17" t="n">
        <f aca="false">IF(H213="","",F213*H213)</f>
        <v>6</v>
      </c>
      <c r="J213" s="19" t="s">
        <v>626</v>
      </c>
      <c r="K213" s="19" t="s">
        <v>627</v>
      </c>
    </row>
    <row r="214" customFormat="false" ht="15" hidden="false" customHeight="false" outlineLevel="0" collapsed="false">
      <c r="B214" s="9" t="s">
        <v>96</v>
      </c>
      <c r="C214" s="5" t="s">
        <v>560</v>
      </c>
      <c r="D214" s="5" t="s">
        <v>192</v>
      </c>
      <c r="E214" s="9" t="s">
        <v>172</v>
      </c>
      <c r="F214" s="5" t="n">
        <v>0.5</v>
      </c>
      <c r="G214" s="5" t="s">
        <v>45</v>
      </c>
      <c r="H214" s="17" t="n">
        <f aca="false">IFERROR(INDEX(MATERIALES!$D$3:$D$57,MATCH(E214,MATERIALES!$B$3:$B$57,0)),"")</f>
        <v>15</v>
      </c>
      <c r="I214" s="17" t="n">
        <f aca="false">IF(H214="","",F214*H214)</f>
        <v>7.5</v>
      </c>
      <c r="J214" s="19" t="s">
        <v>628</v>
      </c>
      <c r="K214" s="19" t="s">
        <v>629</v>
      </c>
    </row>
    <row r="215" customFormat="false" ht="15" hidden="false" customHeight="false" outlineLevel="0" collapsed="false">
      <c r="B215" s="9" t="s">
        <v>96</v>
      </c>
      <c r="C215" s="5" t="s">
        <v>569</v>
      </c>
      <c r="D215" s="5" t="s">
        <v>179</v>
      </c>
      <c r="E215" s="9" t="s">
        <v>128</v>
      </c>
      <c r="F215" s="5" t="n">
        <v>0.6</v>
      </c>
      <c r="G215" s="5" t="s">
        <v>120</v>
      </c>
      <c r="H215" s="17" t="n">
        <f aca="false">IFERROR(INDEX(MATERIALES!$D$3:$D$57,MATCH(E215,MATERIALES!$B$3:$B$57,0)),"")</f>
        <v>25</v>
      </c>
      <c r="I215" s="17" t="n">
        <f aca="false">IF(H215="","",F215*H215)</f>
        <v>15</v>
      </c>
      <c r="J215" s="19" t="s">
        <v>630</v>
      </c>
      <c r="K215" s="19" t="s">
        <v>631</v>
      </c>
    </row>
    <row r="216" customFormat="false" ht="15" hidden="false" customHeight="false" outlineLevel="0" collapsed="false">
      <c r="B216" s="9" t="s">
        <v>96</v>
      </c>
      <c r="C216" s="5" t="s">
        <v>569</v>
      </c>
      <c r="D216" s="5" t="s">
        <v>187</v>
      </c>
      <c r="E216" s="9" t="s">
        <v>177</v>
      </c>
      <c r="F216" s="5" t="n">
        <v>0.25</v>
      </c>
      <c r="G216" s="5" t="s">
        <v>178</v>
      </c>
      <c r="H216" s="17" t="n">
        <f aca="false">IFERROR(INDEX(MATERIALES!$D$3:$D$57,MATCH(E216,MATERIALES!$B$3:$B$57,0)),"")</f>
        <v>4.5</v>
      </c>
      <c r="I216" s="17" t="n">
        <f aca="false">IF(H216="","",F216*H216)</f>
        <v>1.125</v>
      </c>
      <c r="J216" s="19" t="s">
        <v>632</v>
      </c>
      <c r="K216" s="19" t="s">
        <v>633</v>
      </c>
    </row>
    <row r="217" customFormat="false" ht="15" hidden="false" customHeight="false" outlineLevel="0" collapsed="false">
      <c r="B217" s="9" t="s">
        <v>96</v>
      </c>
      <c r="C217" s="5" t="s">
        <v>569</v>
      </c>
      <c r="D217" s="5" t="s">
        <v>187</v>
      </c>
      <c r="E217" s="9" t="s">
        <v>167</v>
      </c>
      <c r="F217" s="5" t="n">
        <v>0.25</v>
      </c>
      <c r="G217" s="5" t="s">
        <v>168</v>
      </c>
      <c r="H217" s="17" t="n">
        <f aca="false">IFERROR(INDEX(MATERIALES!$D$3:$D$57,MATCH(E217,MATERIALES!$B$3:$B$57,0)),"")</f>
        <v>24</v>
      </c>
      <c r="I217" s="17" t="n">
        <f aca="false">IF(H217="","",F217*H217)</f>
        <v>6</v>
      </c>
      <c r="J217" s="19" t="s">
        <v>634</v>
      </c>
      <c r="K217" s="19" t="s">
        <v>635</v>
      </c>
    </row>
    <row r="218" customFormat="false" ht="15" hidden="false" customHeight="false" outlineLevel="0" collapsed="false">
      <c r="B218" s="9" t="s">
        <v>96</v>
      </c>
      <c r="C218" s="5" t="s">
        <v>569</v>
      </c>
      <c r="D218" s="5" t="s">
        <v>192</v>
      </c>
      <c r="E218" s="9" t="s">
        <v>172</v>
      </c>
      <c r="F218" s="5" t="n">
        <v>0.5</v>
      </c>
      <c r="G218" s="5" t="s">
        <v>45</v>
      </c>
      <c r="H218" s="17" t="n">
        <f aca="false">IFERROR(INDEX(MATERIALES!$D$3:$D$57,MATCH(E218,MATERIALES!$B$3:$B$57,0)),"")</f>
        <v>15</v>
      </c>
      <c r="I218" s="17" t="n">
        <f aca="false">IF(H218="","",F218*H218)</f>
        <v>7.5</v>
      </c>
      <c r="J218" s="19" t="s">
        <v>636</v>
      </c>
      <c r="K218" s="19" t="s">
        <v>637</v>
      </c>
    </row>
    <row r="219" customFormat="false" ht="15" hidden="false" customHeight="false" outlineLevel="0" collapsed="false">
      <c r="B219" s="9" t="s">
        <v>96</v>
      </c>
      <c r="C219" s="5" t="s">
        <v>578</v>
      </c>
      <c r="D219" s="5" t="s">
        <v>179</v>
      </c>
      <c r="E219" s="9" t="s">
        <v>128</v>
      </c>
      <c r="F219" s="5" t="n">
        <v>0.6</v>
      </c>
      <c r="G219" s="5" t="s">
        <v>120</v>
      </c>
      <c r="H219" s="17" t="n">
        <f aca="false">IFERROR(INDEX(MATERIALES!$D$3:$D$57,MATCH(E219,MATERIALES!$B$3:$B$57,0)),"")</f>
        <v>25</v>
      </c>
      <c r="I219" s="17" t="n">
        <f aca="false">IF(H219="","",F219*H219)</f>
        <v>15</v>
      </c>
      <c r="J219" s="19" t="s">
        <v>638</v>
      </c>
      <c r="K219" s="19" t="s">
        <v>639</v>
      </c>
    </row>
    <row r="220" customFormat="false" ht="15" hidden="false" customHeight="false" outlineLevel="0" collapsed="false">
      <c r="B220" s="9" t="s">
        <v>96</v>
      </c>
      <c r="C220" s="5" t="s">
        <v>578</v>
      </c>
      <c r="D220" s="5" t="s">
        <v>235</v>
      </c>
      <c r="E220" s="9" t="s">
        <v>137</v>
      </c>
      <c r="F220" s="5" t="n">
        <v>1</v>
      </c>
      <c r="G220" s="5" t="s">
        <v>45</v>
      </c>
      <c r="H220" s="17" t="n">
        <f aca="false">IFERROR(INDEX(MATERIALES!$D$3:$D$57,MATCH(E220,MATERIALES!$B$3:$B$57,0)),"")</f>
        <v>12</v>
      </c>
      <c r="I220" s="17" t="n">
        <f aca="false">IF(H220="","",F220*H220)</f>
        <v>12</v>
      </c>
      <c r="J220" s="19" t="s">
        <v>640</v>
      </c>
      <c r="K220" s="19" t="s">
        <v>641</v>
      </c>
    </row>
    <row r="221" customFormat="false" ht="15" hidden="false" customHeight="false" outlineLevel="0" collapsed="false">
      <c r="B221" s="9" t="s">
        <v>96</v>
      </c>
      <c r="C221" s="5" t="s">
        <v>578</v>
      </c>
      <c r="D221" s="5" t="s">
        <v>232</v>
      </c>
      <c r="E221" s="9" t="s">
        <v>155</v>
      </c>
      <c r="F221" s="5" t="n">
        <v>1</v>
      </c>
      <c r="G221" s="5" t="s">
        <v>45</v>
      </c>
      <c r="H221" s="17" t="n">
        <f aca="false">IFERROR(INDEX(MATERIALES!$D$3:$D$57,MATCH(E221,MATERIALES!$B$3:$B$57,0)),"")</f>
        <v>35</v>
      </c>
      <c r="I221" s="17" t="n">
        <f aca="false">IF(H221="","",F221*H221)</f>
        <v>35</v>
      </c>
      <c r="J221" s="19" t="s">
        <v>642</v>
      </c>
      <c r="K221" s="19" t="s">
        <v>643</v>
      </c>
    </row>
    <row r="222" customFormat="false" ht="15" hidden="false" customHeight="false" outlineLevel="0" collapsed="false">
      <c r="B222" s="9" t="s">
        <v>96</v>
      </c>
      <c r="C222" s="5" t="s">
        <v>578</v>
      </c>
      <c r="D222" s="5" t="s">
        <v>187</v>
      </c>
      <c r="E222" s="9" t="s">
        <v>177</v>
      </c>
      <c r="F222" s="5" t="n">
        <v>0.25</v>
      </c>
      <c r="G222" s="5" t="s">
        <v>178</v>
      </c>
      <c r="H222" s="17" t="n">
        <f aca="false">IFERROR(INDEX(MATERIALES!$D$3:$D$57,MATCH(E222,MATERIALES!$B$3:$B$57,0)),"")</f>
        <v>4.5</v>
      </c>
      <c r="I222" s="17" t="n">
        <f aca="false">IF(H222="","",F222*H222)</f>
        <v>1.125</v>
      </c>
      <c r="J222" s="19" t="s">
        <v>644</v>
      </c>
      <c r="K222" s="19" t="s">
        <v>645</v>
      </c>
    </row>
    <row r="223" customFormat="false" ht="15" hidden="false" customHeight="false" outlineLevel="0" collapsed="false">
      <c r="B223" s="9" t="s">
        <v>96</v>
      </c>
      <c r="C223" s="5" t="s">
        <v>578</v>
      </c>
      <c r="D223" s="5" t="s">
        <v>187</v>
      </c>
      <c r="E223" s="9" t="s">
        <v>167</v>
      </c>
      <c r="F223" s="5" t="n">
        <v>0.25</v>
      </c>
      <c r="G223" s="5" t="s">
        <v>168</v>
      </c>
      <c r="H223" s="17" t="n">
        <f aca="false">IFERROR(INDEX(MATERIALES!$D$3:$D$57,MATCH(E223,MATERIALES!$B$3:$B$57,0)),"")</f>
        <v>24</v>
      </c>
      <c r="I223" s="17" t="n">
        <f aca="false">IF(H223="","",F223*H223)</f>
        <v>6</v>
      </c>
      <c r="J223" s="19" t="s">
        <v>646</v>
      </c>
      <c r="K223" s="19" t="s">
        <v>647</v>
      </c>
    </row>
    <row r="224" customFormat="false" ht="15" hidden="false" customHeight="false" outlineLevel="0" collapsed="false">
      <c r="B224" s="9" t="s">
        <v>96</v>
      </c>
      <c r="C224" s="5" t="s">
        <v>578</v>
      </c>
      <c r="D224" s="5" t="s">
        <v>192</v>
      </c>
      <c r="E224" s="9" t="s">
        <v>172</v>
      </c>
      <c r="F224" s="5" t="n">
        <v>0.5</v>
      </c>
      <c r="G224" s="5" t="s">
        <v>45</v>
      </c>
      <c r="H224" s="17" t="n">
        <f aca="false">IFERROR(INDEX(MATERIALES!$D$3:$D$57,MATCH(E224,MATERIALES!$B$3:$B$57,0)),"")</f>
        <v>15</v>
      </c>
      <c r="I224" s="17" t="n">
        <f aca="false">IF(H224="","",F224*H224)</f>
        <v>7.5</v>
      </c>
      <c r="J224" s="19" t="s">
        <v>648</v>
      </c>
      <c r="K224" s="19" t="s">
        <v>649</v>
      </c>
    </row>
    <row r="225" customFormat="false" ht="15" hidden="false" customHeight="false" outlineLevel="0" collapsed="false">
      <c r="B225" s="9" t="s">
        <v>90</v>
      </c>
      <c r="C225" s="5" t="s">
        <v>560</v>
      </c>
      <c r="D225" s="5" t="s">
        <v>179</v>
      </c>
      <c r="E225" s="9" t="s">
        <v>128</v>
      </c>
      <c r="F225" s="5" t="n">
        <v>1.1</v>
      </c>
      <c r="G225" s="5" t="s">
        <v>120</v>
      </c>
      <c r="H225" s="17" t="n">
        <f aca="false">IFERROR(INDEX(MATERIALES!$D$3:$D$57,MATCH(E225,MATERIALES!$B$3:$B$57,0)),"")</f>
        <v>25</v>
      </c>
      <c r="I225" s="17" t="n">
        <f aca="false">IF(H225="","",F225*H225)</f>
        <v>27.5</v>
      </c>
      <c r="J225" s="19" t="s">
        <v>650</v>
      </c>
      <c r="K225" s="19" t="s">
        <v>651</v>
      </c>
    </row>
    <row r="226" customFormat="false" ht="15" hidden="false" customHeight="false" outlineLevel="0" collapsed="false">
      <c r="B226" s="9" t="s">
        <v>90</v>
      </c>
      <c r="C226" s="5" t="s">
        <v>560</v>
      </c>
      <c r="D226" s="5" t="s">
        <v>652</v>
      </c>
      <c r="E226" s="9" t="s">
        <v>169</v>
      </c>
      <c r="F226" s="5" t="n">
        <v>0.25</v>
      </c>
      <c r="G226" s="5" t="s">
        <v>170</v>
      </c>
      <c r="H226" s="17" t="n">
        <f aca="false">IFERROR(INDEX(MATERIALES!$D$3:$D$57,MATCH(E226,MATERIALES!$B$3:$B$57,0)),"")</f>
        <v>15</v>
      </c>
      <c r="I226" s="17" t="n">
        <f aca="false">IF(H226="","",F226*H226)</f>
        <v>3.75</v>
      </c>
      <c r="J226" s="19" t="s">
        <v>653</v>
      </c>
      <c r="K226" s="19" t="s">
        <v>654</v>
      </c>
    </row>
    <row r="227" customFormat="false" ht="15" hidden="false" customHeight="false" outlineLevel="0" collapsed="false">
      <c r="B227" s="9" t="s">
        <v>90</v>
      </c>
      <c r="C227" s="5" t="s">
        <v>560</v>
      </c>
      <c r="D227" s="5" t="s">
        <v>187</v>
      </c>
      <c r="E227" s="9" t="s">
        <v>177</v>
      </c>
      <c r="F227" s="5" t="n">
        <v>0.25</v>
      </c>
      <c r="G227" s="5" t="s">
        <v>178</v>
      </c>
      <c r="H227" s="17" t="n">
        <f aca="false">IFERROR(INDEX(MATERIALES!$D$3:$D$57,MATCH(E227,MATERIALES!$B$3:$B$57,0)),"")</f>
        <v>4.5</v>
      </c>
      <c r="I227" s="17" t="n">
        <f aca="false">IF(H227="","",F227*H227)</f>
        <v>1.125</v>
      </c>
      <c r="J227" s="19" t="s">
        <v>655</v>
      </c>
      <c r="K227" s="19" t="s">
        <v>656</v>
      </c>
    </row>
    <row r="228" customFormat="false" ht="15" hidden="false" customHeight="false" outlineLevel="0" collapsed="false">
      <c r="B228" s="9" t="s">
        <v>90</v>
      </c>
      <c r="C228" s="5" t="s">
        <v>560</v>
      </c>
      <c r="D228" s="5" t="s">
        <v>187</v>
      </c>
      <c r="E228" s="9" t="s">
        <v>167</v>
      </c>
      <c r="F228" s="5" t="n">
        <v>0.25</v>
      </c>
      <c r="G228" s="5" t="s">
        <v>168</v>
      </c>
      <c r="H228" s="17" t="n">
        <f aca="false">IFERROR(INDEX(MATERIALES!$D$3:$D$57,MATCH(E228,MATERIALES!$B$3:$B$57,0)),"")</f>
        <v>24</v>
      </c>
      <c r="I228" s="17" t="n">
        <f aca="false">IF(H228="","",F228*H228)</f>
        <v>6</v>
      </c>
      <c r="J228" s="19" t="s">
        <v>657</v>
      </c>
      <c r="K228" s="19" t="s">
        <v>658</v>
      </c>
    </row>
    <row r="229" customFormat="false" ht="15" hidden="false" customHeight="false" outlineLevel="0" collapsed="false">
      <c r="B229" s="9" t="s">
        <v>90</v>
      </c>
      <c r="C229" s="5" t="s">
        <v>560</v>
      </c>
      <c r="D229" s="5" t="s">
        <v>192</v>
      </c>
      <c r="E229" s="9" t="s">
        <v>172</v>
      </c>
      <c r="F229" s="5" t="n">
        <v>0.5</v>
      </c>
      <c r="G229" s="5" t="s">
        <v>45</v>
      </c>
      <c r="H229" s="17" t="n">
        <f aca="false">IFERROR(INDEX(MATERIALES!$D$3:$D$57,MATCH(E229,MATERIALES!$B$3:$B$57,0)),"")</f>
        <v>15</v>
      </c>
      <c r="I229" s="17" t="n">
        <f aca="false">IF(H229="","",F229*H229)</f>
        <v>7.5</v>
      </c>
      <c r="J229" s="19" t="s">
        <v>659</v>
      </c>
      <c r="K229" s="19" t="s">
        <v>660</v>
      </c>
    </row>
    <row r="230" customFormat="false" ht="15" hidden="false" customHeight="false" outlineLevel="0" collapsed="false">
      <c r="B230" s="9" t="s">
        <v>90</v>
      </c>
      <c r="C230" s="5" t="s">
        <v>569</v>
      </c>
      <c r="D230" s="5" t="s">
        <v>179</v>
      </c>
      <c r="E230" s="9" t="s">
        <v>128</v>
      </c>
      <c r="F230" s="5" t="n">
        <v>1.1</v>
      </c>
      <c r="G230" s="5" t="s">
        <v>120</v>
      </c>
      <c r="H230" s="17" t="n">
        <f aca="false">IFERROR(INDEX(MATERIALES!$D$3:$D$57,MATCH(E230,MATERIALES!$B$3:$B$57,0)),"")</f>
        <v>25</v>
      </c>
      <c r="I230" s="17" t="n">
        <f aca="false">IF(H230="","",F230*H230)</f>
        <v>27.5</v>
      </c>
      <c r="J230" s="19" t="s">
        <v>661</v>
      </c>
      <c r="K230" s="19" t="s">
        <v>662</v>
      </c>
    </row>
    <row r="231" customFormat="false" ht="15" hidden="false" customHeight="false" outlineLevel="0" collapsed="false">
      <c r="B231" s="9" t="s">
        <v>90</v>
      </c>
      <c r="C231" s="5" t="s">
        <v>569</v>
      </c>
      <c r="D231" s="5" t="s">
        <v>652</v>
      </c>
      <c r="E231" s="9" t="s">
        <v>169</v>
      </c>
      <c r="F231" s="5" t="n">
        <v>0.25</v>
      </c>
      <c r="G231" s="5" t="s">
        <v>170</v>
      </c>
      <c r="H231" s="17" t="n">
        <f aca="false">IFERROR(INDEX(MATERIALES!$D$3:$D$57,MATCH(E231,MATERIALES!$B$3:$B$57,0)),"")</f>
        <v>15</v>
      </c>
      <c r="I231" s="17" t="n">
        <f aca="false">IF(H231="","",F231*H231)</f>
        <v>3.75</v>
      </c>
      <c r="J231" s="19" t="s">
        <v>663</v>
      </c>
      <c r="K231" s="19" t="s">
        <v>664</v>
      </c>
    </row>
    <row r="232" customFormat="false" ht="15" hidden="false" customHeight="false" outlineLevel="0" collapsed="false">
      <c r="B232" s="9" t="s">
        <v>90</v>
      </c>
      <c r="C232" s="5" t="s">
        <v>569</v>
      </c>
      <c r="D232" s="5" t="s">
        <v>187</v>
      </c>
      <c r="E232" s="9" t="s">
        <v>177</v>
      </c>
      <c r="F232" s="5" t="n">
        <v>0.25</v>
      </c>
      <c r="G232" s="5" t="s">
        <v>178</v>
      </c>
      <c r="H232" s="17" t="n">
        <f aca="false">IFERROR(INDEX(MATERIALES!$D$3:$D$57,MATCH(E232,MATERIALES!$B$3:$B$57,0)),"")</f>
        <v>4.5</v>
      </c>
      <c r="I232" s="17" t="n">
        <f aca="false">IF(H232="","",F232*H232)</f>
        <v>1.125</v>
      </c>
      <c r="J232" s="19" t="s">
        <v>665</v>
      </c>
      <c r="K232" s="19" t="s">
        <v>666</v>
      </c>
    </row>
    <row r="233" customFormat="false" ht="15" hidden="false" customHeight="false" outlineLevel="0" collapsed="false">
      <c r="B233" s="9" t="s">
        <v>90</v>
      </c>
      <c r="C233" s="5" t="s">
        <v>569</v>
      </c>
      <c r="D233" s="5" t="s">
        <v>187</v>
      </c>
      <c r="E233" s="9" t="s">
        <v>167</v>
      </c>
      <c r="F233" s="5" t="n">
        <v>0.25</v>
      </c>
      <c r="G233" s="5" t="s">
        <v>168</v>
      </c>
      <c r="H233" s="17" t="n">
        <f aca="false">IFERROR(INDEX(MATERIALES!$D$3:$D$57,MATCH(E233,MATERIALES!$B$3:$B$57,0)),"")</f>
        <v>24</v>
      </c>
      <c r="I233" s="17" t="n">
        <f aca="false">IF(H233="","",F233*H233)</f>
        <v>6</v>
      </c>
      <c r="J233" s="19" t="s">
        <v>667</v>
      </c>
      <c r="K233" s="19" t="s">
        <v>668</v>
      </c>
    </row>
    <row r="234" customFormat="false" ht="15" hidden="false" customHeight="false" outlineLevel="0" collapsed="false">
      <c r="B234" s="9" t="s">
        <v>90</v>
      </c>
      <c r="C234" s="5" t="s">
        <v>569</v>
      </c>
      <c r="D234" s="5" t="s">
        <v>192</v>
      </c>
      <c r="E234" s="9" t="s">
        <v>172</v>
      </c>
      <c r="F234" s="5" t="n">
        <v>0.5</v>
      </c>
      <c r="G234" s="5" t="s">
        <v>45</v>
      </c>
      <c r="H234" s="17" t="n">
        <f aca="false">IFERROR(INDEX(MATERIALES!$D$3:$D$57,MATCH(E234,MATERIALES!$B$3:$B$57,0)),"")</f>
        <v>15</v>
      </c>
      <c r="I234" s="17" t="n">
        <f aca="false">IF(H234="","",F234*H234)</f>
        <v>7.5</v>
      </c>
      <c r="J234" s="19" t="s">
        <v>669</v>
      </c>
      <c r="K234" s="19" t="s">
        <v>670</v>
      </c>
    </row>
    <row r="235" customFormat="false" ht="15" hidden="false" customHeight="false" outlineLevel="0" collapsed="false">
      <c r="B235" s="9" t="s">
        <v>90</v>
      </c>
      <c r="C235" s="5" t="s">
        <v>578</v>
      </c>
      <c r="D235" s="5" t="s">
        <v>179</v>
      </c>
      <c r="E235" s="9" t="s">
        <v>128</v>
      </c>
      <c r="F235" s="5" t="n">
        <v>1.1</v>
      </c>
      <c r="G235" s="5" t="s">
        <v>120</v>
      </c>
      <c r="H235" s="17" t="n">
        <f aca="false">IFERROR(INDEX(MATERIALES!$D$3:$D$57,MATCH(E235,MATERIALES!$B$3:$B$57,0)),"")</f>
        <v>25</v>
      </c>
      <c r="I235" s="17" t="n">
        <f aca="false">IF(H235="","",F235*H235)</f>
        <v>27.5</v>
      </c>
      <c r="J235" s="19" t="s">
        <v>671</v>
      </c>
      <c r="K235" s="19" t="s">
        <v>672</v>
      </c>
    </row>
    <row r="236" customFormat="false" ht="15" hidden="false" customHeight="false" outlineLevel="0" collapsed="false">
      <c r="B236" s="9" t="s">
        <v>90</v>
      </c>
      <c r="C236" s="5" t="s">
        <v>578</v>
      </c>
      <c r="D236" s="5" t="s">
        <v>235</v>
      </c>
      <c r="E236" s="9" t="s">
        <v>140</v>
      </c>
      <c r="F236" s="5" t="n">
        <v>1</v>
      </c>
      <c r="G236" s="5" t="s">
        <v>45</v>
      </c>
      <c r="H236" s="17" t="n">
        <f aca="false">IFERROR(INDEX(MATERIALES!$D$3:$D$57,MATCH(E236,MATERIALES!$B$3:$B$57,0)),"")</f>
        <v>10</v>
      </c>
      <c r="I236" s="17" t="n">
        <f aca="false">IF(H236="","",F236*H236)</f>
        <v>10</v>
      </c>
      <c r="J236" s="19" t="s">
        <v>673</v>
      </c>
      <c r="K236" s="19" t="s">
        <v>674</v>
      </c>
    </row>
    <row r="237" customFormat="false" ht="15" hidden="false" customHeight="false" outlineLevel="0" collapsed="false">
      <c r="B237" s="9" t="s">
        <v>90</v>
      </c>
      <c r="C237" s="5" t="s">
        <v>578</v>
      </c>
      <c r="D237" s="5" t="s">
        <v>232</v>
      </c>
      <c r="E237" s="9" t="s">
        <v>159</v>
      </c>
      <c r="F237" s="5" t="n">
        <v>1</v>
      </c>
      <c r="G237" s="5" t="s">
        <v>45</v>
      </c>
      <c r="H237" s="17" t="n">
        <f aca="false">IFERROR(INDEX(MATERIALES!$D$3:$D$57,MATCH(E237,MATERIALES!$B$3:$B$57,0)),"")</f>
        <v>20</v>
      </c>
      <c r="I237" s="17" t="n">
        <f aca="false">IF(H237="","",F237*H237)</f>
        <v>20</v>
      </c>
      <c r="J237" s="19" t="s">
        <v>675</v>
      </c>
      <c r="K237" s="19" t="s">
        <v>676</v>
      </c>
    </row>
    <row r="238" customFormat="false" ht="15" hidden="false" customHeight="false" outlineLevel="0" collapsed="false">
      <c r="B238" s="9" t="s">
        <v>90</v>
      </c>
      <c r="C238" s="5" t="s">
        <v>578</v>
      </c>
      <c r="D238" s="5" t="s">
        <v>652</v>
      </c>
      <c r="E238" s="9" t="s">
        <v>169</v>
      </c>
      <c r="F238" s="5" t="n">
        <v>0.25</v>
      </c>
      <c r="G238" s="5" t="s">
        <v>170</v>
      </c>
      <c r="H238" s="17" t="n">
        <f aca="false">IFERROR(INDEX(MATERIALES!$D$3:$D$57,MATCH(E238,MATERIALES!$B$3:$B$57,0)),"")</f>
        <v>15</v>
      </c>
      <c r="I238" s="17" t="n">
        <f aca="false">IF(H238="","",F238*H238)</f>
        <v>3.75</v>
      </c>
      <c r="J238" s="19" t="s">
        <v>677</v>
      </c>
      <c r="K238" s="19" t="s">
        <v>678</v>
      </c>
    </row>
    <row r="239" customFormat="false" ht="15" hidden="false" customHeight="false" outlineLevel="0" collapsed="false">
      <c r="B239" s="9" t="s">
        <v>90</v>
      </c>
      <c r="C239" s="5" t="s">
        <v>578</v>
      </c>
      <c r="D239" s="5" t="s">
        <v>187</v>
      </c>
      <c r="E239" s="9" t="s">
        <v>177</v>
      </c>
      <c r="F239" s="5" t="n">
        <v>0.25</v>
      </c>
      <c r="G239" s="5" t="s">
        <v>178</v>
      </c>
      <c r="H239" s="17" t="n">
        <f aca="false">IFERROR(INDEX(MATERIALES!$D$3:$D$57,MATCH(E239,MATERIALES!$B$3:$B$57,0)),"")</f>
        <v>4.5</v>
      </c>
      <c r="I239" s="17" t="n">
        <f aca="false">IF(H239="","",F239*H239)</f>
        <v>1.125</v>
      </c>
      <c r="J239" s="19" t="s">
        <v>679</v>
      </c>
      <c r="K239" s="19" t="s">
        <v>680</v>
      </c>
    </row>
    <row r="240" customFormat="false" ht="15" hidden="false" customHeight="false" outlineLevel="0" collapsed="false">
      <c r="B240" s="9" t="s">
        <v>90</v>
      </c>
      <c r="C240" s="5" t="s">
        <v>578</v>
      </c>
      <c r="D240" s="5" t="s">
        <v>187</v>
      </c>
      <c r="E240" s="9" t="s">
        <v>167</v>
      </c>
      <c r="F240" s="5" t="n">
        <v>0.25</v>
      </c>
      <c r="G240" s="5" t="s">
        <v>168</v>
      </c>
      <c r="H240" s="17" t="n">
        <f aca="false">IFERROR(INDEX(MATERIALES!$D$3:$D$57,MATCH(E240,MATERIALES!$B$3:$B$57,0)),"")</f>
        <v>24</v>
      </c>
      <c r="I240" s="17" t="n">
        <f aca="false">IF(H240="","",F240*H240)</f>
        <v>6</v>
      </c>
      <c r="J240" s="19" t="s">
        <v>681</v>
      </c>
      <c r="K240" s="19" t="s">
        <v>682</v>
      </c>
    </row>
    <row r="241" customFormat="false" ht="15" hidden="false" customHeight="false" outlineLevel="0" collapsed="false">
      <c r="B241" s="9" t="s">
        <v>90</v>
      </c>
      <c r="C241" s="5" t="s">
        <v>578</v>
      </c>
      <c r="D241" s="5" t="s">
        <v>192</v>
      </c>
      <c r="E241" s="9" t="s">
        <v>172</v>
      </c>
      <c r="F241" s="5" t="n">
        <v>0.5</v>
      </c>
      <c r="G241" s="5" t="s">
        <v>45</v>
      </c>
      <c r="H241" s="17" t="n">
        <f aca="false">IFERROR(INDEX(MATERIALES!$D$3:$D$57,MATCH(E241,MATERIALES!$B$3:$B$57,0)),"")</f>
        <v>15</v>
      </c>
      <c r="I241" s="17" t="n">
        <f aca="false">IF(H241="","",F241*H241)</f>
        <v>7.5</v>
      </c>
      <c r="J241" s="19" t="s">
        <v>683</v>
      </c>
      <c r="K241" s="19" t="s">
        <v>684</v>
      </c>
    </row>
    <row r="242" customFormat="false" ht="15" hidden="false" customHeight="false" outlineLevel="0" collapsed="false">
      <c r="B242" s="9" t="s">
        <v>108</v>
      </c>
      <c r="C242" s="5" t="s">
        <v>685</v>
      </c>
      <c r="D242" s="5" t="s">
        <v>187</v>
      </c>
      <c r="E242" s="9" t="s">
        <v>177</v>
      </c>
      <c r="F242" s="5" t="n">
        <v>0.25</v>
      </c>
      <c r="G242" s="5" t="s">
        <v>178</v>
      </c>
      <c r="H242" s="17" t="n">
        <f aca="false">IFERROR(INDEX(MATERIALES!$D$3:$D$57,MATCH(E242,MATERIALES!$B$3:$B$57,0)),"")</f>
        <v>4.5</v>
      </c>
      <c r="I242" s="17" t="n">
        <f aca="false">IF(H242="","",F242*H242)</f>
        <v>1.125</v>
      </c>
      <c r="J242" s="19" t="s">
        <v>686</v>
      </c>
      <c r="K242" s="19" t="s">
        <v>687</v>
      </c>
    </row>
    <row r="243" customFormat="false" ht="15" hidden="false" customHeight="false" outlineLevel="0" collapsed="false">
      <c r="B243" s="9" t="s">
        <v>108</v>
      </c>
      <c r="C243" s="5" t="s">
        <v>685</v>
      </c>
      <c r="D243" s="5" t="s">
        <v>187</v>
      </c>
      <c r="E243" s="9" t="s">
        <v>167</v>
      </c>
      <c r="F243" s="5" t="n">
        <v>0.25</v>
      </c>
      <c r="G243" s="5" t="s">
        <v>168</v>
      </c>
      <c r="H243" s="17" t="n">
        <f aca="false">IFERROR(INDEX(MATERIALES!$D$3:$D$57,MATCH(E243,MATERIALES!$B$3:$B$57,0)),"")</f>
        <v>24</v>
      </c>
      <c r="I243" s="17" t="n">
        <f aca="false">IF(H243="","",F243*H243)</f>
        <v>6</v>
      </c>
      <c r="J243" s="19" t="s">
        <v>688</v>
      </c>
      <c r="K243" s="19" t="s">
        <v>689</v>
      </c>
    </row>
    <row r="244" customFormat="false" ht="15" hidden="false" customHeight="false" outlineLevel="0" collapsed="false">
      <c r="B244" s="9" t="s">
        <v>108</v>
      </c>
      <c r="C244" s="5" t="s">
        <v>685</v>
      </c>
      <c r="D244" s="5" t="s">
        <v>192</v>
      </c>
      <c r="E244" s="9" t="s">
        <v>172</v>
      </c>
      <c r="F244" s="5" t="n">
        <v>0.5</v>
      </c>
      <c r="G244" s="5" t="s">
        <v>45</v>
      </c>
      <c r="H244" s="17" t="n">
        <f aca="false">IFERROR(INDEX(MATERIALES!$D$3:$D$57,MATCH(E244,MATERIALES!$B$3:$B$57,0)),"")</f>
        <v>15</v>
      </c>
      <c r="I244" s="17" t="n">
        <f aca="false">IF(H244="","",F244*H244)</f>
        <v>7.5</v>
      </c>
      <c r="J244" s="19" t="s">
        <v>690</v>
      </c>
      <c r="K244" s="19" t="s">
        <v>691</v>
      </c>
    </row>
    <row r="245" customFormat="false" ht="15" hidden="false" customHeight="false" outlineLevel="0" collapsed="false">
      <c r="B245" s="9" t="s">
        <v>108</v>
      </c>
      <c r="C245" s="5" t="s">
        <v>692</v>
      </c>
      <c r="D245" s="5" t="s">
        <v>192</v>
      </c>
      <c r="E245" s="9" t="s">
        <v>162</v>
      </c>
      <c r="F245" s="5" t="n">
        <v>1</v>
      </c>
      <c r="G245" s="5" t="s">
        <v>45</v>
      </c>
      <c r="H245" s="17" t="n">
        <f aca="false">IFERROR(INDEX(MATERIALES!$D$3:$D$57,MATCH(E245,MATERIALES!$B$3:$B$57,0)),"")</f>
        <v>8</v>
      </c>
      <c r="I245" s="17" t="n">
        <f aca="false">IF(H245="","",F245*H245)</f>
        <v>8</v>
      </c>
      <c r="J245" s="19" t="s">
        <v>693</v>
      </c>
      <c r="K245" s="19" t="s">
        <v>694</v>
      </c>
    </row>
    <row r="246" customFormat="false" ht="15" hidden="false" customHeight="false" outlineLevel="0" collapsed="false">
      <c r="B246" s="9" t="s">
        <v>108</v>
      </c>
      <c r="C246" s="5" t="s">
        <v>692</v>
      </c>
      <c r="D246" s="5" t="s">
        <v>192</v>
      </c>
      <c r="E246" s="9" t="s">
        <v>172</v>
      </c>
      <c r="F246" s="5" t="n">
        <v>0.5</v>
      </c>
      <c r="G246" s="5" t="s">
        <v>45</v>
      </c>
      <c r="H246" s="17" t="n">
        <f aca="false">IFERROR(INDEX(MATERIALES!$D$3:$D$57,MATCH(E246,MATERIALES!$B$3:$B$57,0)),"")</f>
        <v>15</v>
      </c>
      <c r="I246" s="17" t="n">
        <f aca="false">IF(H246="","",F246*H246)</f>
        <v>7.5</v>
      </c>
      <c r="J246" s="19" t="s">
        <v>695</v>
      </c>
      <c r="K246" s="19" t="s">
        <v>696</v>
      </c>
    </row>
    <row r="247" customFormat="false" ht="15" hidden="false" customHeight="false" outlineLevel="0" collapsed="false">
      <c r="B247" s="9" t="s">
        <v>108</v>
      </c>
      <c r="C247" s="5" t="s">
        <v>692</v>
      </c>
      <c r="D247" s="5" t="s">
        <v>235</v>
      </c>
      <c r="E247" s="9" t="s">
        <v>135</v>
      </c>
      <c r="F247" s="5" t="n">
        <v>1</v>
      </c>
      <c r="G247" s="5" t="s">
        <v>45</v>
      </c>
      <c r="H247" s="17" t="n">
        <f aca="false">IFERROR(INDEX(MATERIALES!$D$3:$D$57,MATCH(E247,MATERIALES!$B$3:$B$57,0)),"")</f>
        <v>12</v>
      </c>
      <c r="I247" s="17" t="n">
        <f aca="false">IF(H247="","",F247*H247)</f>
        <v>12</v>
      </c>
      <c r="J247" s="19" t="s">
        <v>697</v>
      </c>
      <c r="K247" s="19" t="s">
        <v>698</v>
      </c>
    </row>
    <row r="248" customFormat="false" ht="15" hidden="false" customHeight="false" outlineLevel="0" collapsed="false">
      <c r="B248" s="9" t="s">
        <v>108</v>
      </c>
      <c r="C248" s="5" t="s">
        <v>692</v>
      </c>
      <c r="D248" s="5" t="s">
        <v>187</v>
      </c>
      <c r="E248" s="9" t="s">
        <v>177</v>
      </c>
      <c r="F248" s="5" t="n">
        <v>0.25</v>
      </c>
      <c r="G248" s="5" t="s">
        <v>178</v>
      </c>
      <c r="H248" s="17" t="n">
        <f aca="false">IFERROR(INDEX(MATERIALES!$D$3:$D$57,MATCH(E248,MATERIALES!$B$3:$B$57,0)),"")</f>
        <v>4.5</v>
      </c>
      <c r="I248" s="17" t="n">
        <f aca="false">IF(H248="","",F248*H248)</f>
        <v>1.125</v>
      </c>
      <c r="J248" s="19" t="s">
        <v>699</v>
      </c>
      <c r="K248" s="19" t="s">
        <v>700</v>
      </c>
    </row>
    <row r="249" customFormat="false" ht="15" hidden="false" customHeight="false" outlineLevel="0" collapsed="false">
      <c r="B249" s="9" t="s">
        <v>108</v>
      </c>
      <c r="C249" s="5" t="s">
        <v>692</v>
      </c>
      <c r="D249" s="5" t="s">
        <v>187</v>
      </c>
      <c r="E249" s="9" t="s">
        <v>167</v>
      </c>
      <c r="F249" s="5" t="n">
        <v>0.25</v>
      </c>
      <c r="G249" s="5" t="s">
        <v>168</v>
      </c>
      <c r="H249" s="17" t="n">
        <f aca="false">IFERROR(INDEX(MATERIALES!$D$3:$D$57,MATCH(E249,MATERIALES!$B$3:$B$57,0)),"")</f>
        <v>24</v>
      </c>
      <c r="I249" s="17" t="n">
        <f aca="false">IF(H249="","",F249*H249)</f>
        <v>6</v>
      </c>
      <c r="J249" s="19" t="s">
        <v>701</v>
      </c>
      <c r="K249" s="19" t="s">
        <v>702</v>
      </c>
    </row>
    <row r="250" customFormat="false" ht="15" hidden="false" customHeight="false" outlineLevel="0" collapsed="false">
      <c r="B250" s="9" t="s">
        <v>108</v>
      </c>
      <c r="C250" s="5" t="s">
        <v>703</v>
      </c>
      <c r="D250" s="5" t="s">
        <v>187</v>
      </c>
      <c r="E250" s="9" t="s">
        <v>177</v>
      </c>
      <c r="F250" s="5" t="n">
        <v>0.25</v>
      </c>
      <c r="G250" s="5" t="s">
        <v>178</v>
      </c>
      <c r="H250" s="17" t="n">
        <f aca="false">IFERROR(INDEX(MATERIALES!$D$3:$D$57,MATCH(E250,MATERIALES!$B$3:$B$57,0)),"")</f>
        <v>4.5</v>
      </c>
      <c r="I250" s="17" t="n">
        <f aca="false">IF(H250="","",F250*H250)</f>
        <v>1.125</v>
      </c>
      <c r="J250" s="19" t="s">
        <v>704</v>
      </c>
      <c r="K250" s="19" t="s">
        <v>705</v>
      </c>
    </row>
    <row r="251" customFormat="false" ht="15" hidden="false" customHeight="false" outlineLevel="0" collapsed="false">
      <c r="B251" s="9" t="s">
        <v>108</v>
      </c>
      <c r="C251" s="5" t="s">
        <v>703</v>
      </c>
      <c r="D251" s="5" t="s">
        <v>187</v>
      </c>
      <c r="E251" s="9" t="s">
        <v>167</v>
      </c>
      <c r="F251" s="5" t="n">
        <v>0.25</v>
      </c>
      <c r="G251" s="5" t="s">
        <v>168</v>
      </c>
      <c r="H251" s="17" t="n">
        <f aca="false">IFERROR(INDEX(MATERIALES!$D$3:$D$57,MATCH(E251,MATERIALES!$B$3:$B$57,0)),"")</f>
        <v>24</v>
      </c>
      <c r="I251" s="17" t="n">
        <f aca="false">IF(H251="","",F251*H251)</f>
        <v>6</v>
      </c>
      <c r="J251" s="19" t="s">
        <v>706</v>
      </c>
      <c r="K251" s="19" t="s">
        <v>707</v>
      </c>
    </row>
    <row r="252" customFormat="false" ht="15" hidden="false" customHeight="false" outlineLevel="0" collapsed="false">
      <c r="B252" s="9" t="s">
        <v>108</v>
      </c>
      <c r="C252" s="5" t="s">
        <v>703</v>
      </c>
      <c r="D252" s="5" t="s">
        <v>192</v>
      </c>
      <c r="E252" s="9" t="s">
        <v>172</v>
      </c>
      <c r="F252" s="5" t="n">
        <v>0.5</v>
      </c>
      <c r="G252" s="5" t="s">
        <v>45</v>
      </c>
      <c r="H252" s="17" t="n">
        <f aca="false">IFERROR(INDEX(MATERIALES!$D$3:$D$57,MATCH(E252,MATERIALES!$B$3:$B$57,0)),"")</f>
        <v>15</v>
      </c>
      <c r="I252" s="17" t="n">
        <f aca="false">IF(H252="","",F252*H252)</f>
        <v>7.5</v>
      </c>
      <c r="J252" s="19" t="s">
        <v>708</v>
      </c>
      <c r="K252" s="19" t="s">
        <v>709</v>
      </c>
    </row>
    <row r="253" customFormat="false" ht="15" hidden="false" customHeight="false" outlineLevel="0" collapsed="false">
      <c r="B253" s="9" t="s">
        <v>108</v>
      </c>
      <c r="C253" s="5" t="s">
        <v>710</v>
      </c>
      <c r="D253" s="5" t="s">
        <v>192</v>
      </c>
      <c r="E253" s="9" t="s">
        <v>162</v>
      </c>
      <c r="F253" s="5" t="n">
        <v>1</v>
      </c>
      <c r="G253" s="5" t="s">
        <v>45</v>
      </c>
      <c r="H253" s="17" t="n">
        <f aca="false">IFERROR(INDEX(MATERIALES!$D$3:$D$57,MATCH(E253,MATERIALES!$B$3:$B$57,0)),"")</f>
        <v>8</v>
      </c>
      <c r="I253" s="17" t="n">
        <f aca="false">IF(H253="","",F253*H253)</f>
        <v>8</v>
      </c>
      <c r="J253" s="19" t="s">
        <v>711</v>
      </c>
      <c r="K253" s="19" t="s">
        <v>712</v>
      </c>
    </row>
    <row r="254" customFormat="false" ht="15" hidden="false" customHeight="false" outlineLevel="0" collapsed="false">
      <c r="B254" s="9" t="s">
        <v>108</v>
      </c>
      <c r="C254" s="5" t="s">
        <v>710</v>
      </c>
      <c r="D254" s="5" t="s">
        <v>192</v>
      </c>
      <c r="E254" s="9" t="s">
        <v>172</v>
      </c>
      <c r="F254" s="5" t="n">
        <v>0.5</v>
      </c>
      <c r="G254" s="5" t="s">
        <v>45</v>
      </c>
      <c r="H254" s="17" t="n">
        <f aca="false">IFERROR(INDEX(MATERIALES!$D$3:$D$57,MATCH(E254,MATERIALES!$B$3:$B$57,0)),"")</f>
        <v>15</v>
      </c>
      <c r="I254" s="17" t="n">
        <f aca="false">IF(H254="","",F254*H254)</f>
        <v>7.5</v>
      </c>
      <c r="J254" s="19" t="s">
        <v>713</v>
      </c>
      <c r="K254" s="19" t="s">
        <v>714</v>
      </c>
    </row>
    <row r="255" customFormat="false" ht="15" hidden="false" customHeight="false" outlineLevel="0" collapsed="false">
      <c r="B255" s="9" t="s">
        <v>108</v>
      </c>
      <c r="C255" s="5" t="s">
        <v>710</v>
      </c>
      <c r="D255" s="5" t="s">
        <v>235</v>
      </c>
      <c r="E255" s="9" t="s">
        <v>135</v>
      </c>
      <c r="F255" s="5" t="n">
        <v>1</v>
      </c>
      <c r="G255" s="5" t="s">
        <v>45</v>
      </c>
      <c r="H255" s="17" t="n">
        <f aca="false">IFERROR(INDEX(MATERIALES!$D$3:$D$57,MATCH(E255,MATERIALES!$B$3:$B$57,0)),"")</f>
        <v>12</v>
      </c>
      <c r="I255" s="17" t="n">
        <f aca="false">IF(H255="","",F255*H255)</f>
        <v>12</v>
      </c>
      <c r="J255" s="19" t="s">
        <v>715</v>
      </c>
      <c r="K255" s="19" t="s">
        <v>716</v>
      </c>
    </row>
    <row r="256" customFormat="false" ht="15" hidden="false" customHeight="false" outlineLevel="0" collapsed="false">
      <c r="B256" s="9" t="s">
        <v>108</v>
      </c>
      <c r="C256" s="5" t="s">
        <v>710</v>
      </c>
      <c r="D256" s="5" t="s">
        <v>232</v>
      </c>
      <c r="E256" s="9" t="s">
        <v>157</v>
      </c>
      <c r="F256" s="5" t="n">
        <v>1</v>
      </c>
      <c r="G256" s="5" t="s">
        <v>45</v>
      </c>
      <c r="H256" s="17" t="n">
        <f aca="false">IFERROR(INDEX(MATERIALES!$D$3:$D$57,MATCH(E256,MATERIALES!$B$3:$B$57,0)),"")</f>
        <v>25</v>
      </c>
      <c r="I256" s="17" t="n">
        <f aca="false">IF(H256="","",F256*H256)</f>
        <v>25</v>
      </c>
      <c r="J256" s="19" t="s">
        <v>717</v>
      </c>
      <c r="K256" s="19" t="s">
        <v>718</v>
      </c>
    </row>
    <row r="257" customFormat="false" ht="15" hidden="false" customHeight="false" outlineLevel="0" collapsed="false">
      <c r="B257" s="9" t="s">
        <v>108</v>
      </c>
      <c r="C257" s="5" t="s">
        <v>710</v>
      </c>
      <c r="D257" s="5" t="s">
        <v>187</v>
      </c>
      <c r="E257" s="9" t="s">
        <v>177</v>
      </c>
      <c r="F257" s="5" t="n">
        <v>0.25</v>
      </c>
      <c r="G257" s="5" t="s">
        <v>178</v>
      </c>
      <c r="H257" s="17" t="n">
        <f aca="false">IFERROR(INDEX(MATERIALES!$D$3:$D$57,MATCH(E257,MATERIALES!$B$3:$B$57,0)),"")</f>
        <v>4.5</v>
      </c>
      <c r="I257" s="17" t="n">
        <f aca="false">IF(H257="","",F257*H257)</f>
        <v>1.125</v>
      </c>
      <c r="J257" s="19" t="s">
        <v>719</v>
      </c>
      <c r="K257" s="19" t="s">
        <v>720</v>
      </c>
    </row>
    <row r="258" customFormat="false" ht="15" hidden="false" customHeight="false" outlineLevel="0" collapsed="false">
      <c r="B258" s="9" t="s">
        <v>108</v>
      </c>
      <c r="C258" s="5" t="s">
        <v>710</v>
      </c>
      <c r="D258" s="5" t="s">
        <v>187</v>
      </c>
      <c r="E258" s="9" t="s">
        <v>167</v>
      </c>
      <c r="F258" s="5" t="n">
        <v>0.25</v>
      </c>
      <c r="G258" s="5" t="s">
        <v>168</v>
      </c>
      <c r="H258" s="17" t="n">
        <f aca="false">IFERROR(INDEX(MATERIALES!$D$3:$D$57,MATCH(E258,MATERIALES!$B$3:$B$57,0)),"")</f>
        <v>24</v>
      </c>
      <c r="I258" s="17" t="n">
        <f aca="false">IF(H258="","",F258*H258)</f>
        <v>6</v>
      </c>
      <c r="J258" s="19" t="s">
        <v>721</v>
      </c>
      <c r="K258" s="19" t="s">
        <v>722</v>
      </c>
    </row>
    <row r="259" customFormat="false" ht="15" hidden="false" customHeight="false" outlineLevel="0" collapsed="false">
      <c r="B259" s="9" t="s">
        <v>111</v>
      </c>
      <c r="C259" s="5" t="s">
        <v>685</v>
      </c>
      <c r="D259" s="5" t="s">
        <v>187</v>
      </c>
      <c r="E259" s="9" t="s">
        <v>177</v>
      </c>
      <c r="F259" s="5" t="n">
        <v>0.25</v>
      </c>
      <c r="G259" s="5" t="s">
        <v>178</v>
      </c>
      <c r="H259" s="17" t="n">
        <f aca="false">IFERROR(INDEX(MATERIALES!$D$3:$D$57,MATCH(E259,MATERIALES!$B$3:$B$57,0)),"")</f>
        <v>4.5</v>
      </c>
      <c r="I259" s="17" t="n">
        <f aca="false">IF(H259="","",F259*H259)</f>
        <v>1.125</v>
      </c>
      <c r="J259" s="19" t="s">
        <v>723</v>
      </c>
      <c r="K259" s="19" t="s">
        <v>724</v>
      </c>
    </row>
    <row r="260" customFormat="false" ht="15" hidden="false" customHeight="false" outlineLevel="0" collapsed="false">
      <c r="B260" s="9" t="s">
        <v>111</v>
      </c>
      <c r="C260" s="5" t="s">
        <v>685</v>
      </c>
      <c r="D260" s="5" t="s">
        <v>187</v>
      </c>
      <c r="E260" s="9" t="s">
        <v>167</v>
      </c>
      <c r="F260" s="5" t="n">
        <v>0.25</v>
      </c>
      <c r="G260" s="5" t="s">
        <v>168</v>
      </c>
      <c r="H260" s="17" t="n">
        <f aca="false">IFERROR(INDEX(MATERIALES!$D$3:$D$57,MATCH(E260,MATERIALES!$B$3:$B$57,0)),"")</f>
        <v>24</v>
      </c>
      <c r="I260" s="17" t="n">
        <f aca="false">IF(H260="","",F260*H260)</f>
        <v>6</v>
      </c>
      <c r="J260" s="19" t="s">
        <v>725</v>
      </c>
      <c r="K260" s="19" t="s">
        <v>726</v>
      </c>
    </row>
    <row r="261" customFormat="false" ht="15" hidden="false" customHeight="false" outlineLevel="0" collapsed="false">
      <c r="B261" s="9" t="s">
        <v>111</v>
      </c>
      <c r="C261" s="5" t="s">
        <v>685</v>
      </c>
      <c r="D261" s="5" t="s">
        <v>192</v>
      </c>
      <c r="E261" s="9" t="s">
        <v>172</v>
      </c>
      <c r="F261" s="5" t="n">
        <v>0.5</v>
      </c>
      <c r="G261" s="5" t="s">
        <v>45</v>
      </c>
      <c r="H261" s="17" t="n">
        <f aca="false">IFERROR(INDEX(MATERIALES!$D$3:$D$57,MATCH(E261,MATERIALES!$B$3:$B$57,0)),"")</f>
        <v>15</v>
      </c>
      <c r="I261" s="17" t="n">
        <f aca="false">IF(H261="","",F261*H261)</f>
        <v>7.5</v>
      </c>
      <c r="J261" s="19" t="s">
        <v>727</v>
      </c>
      <c r="K261" s="19" t="s">
        <v>728</v>
      </c>
    </row>
    <row r="262" customFormat="false" ht="22.35" hidden="false" customHeight="false" outlineLevel="0" collapsed="false">
      <c r="B262" s="9" t="s">
        <v>111</v>
      </c>
      <c r="C262" s="5" t="s">
        <v>692</v>
      </c>
      <c r="D262" s="5" t="s">
        <v>192</v>
      </c>
      <c r="E262" s="9" t="s">
        <v>161</v>
      </c>
      <c r="F262" s="5" t="n">
        <v>1</v>
      </c>
      <c r="G262" s="5" t="s">
        <v>45</v>
      </c>
      <c r="H262" s="17" t="n">
        <f aca="false">IFERROR(INDEX(MATERIALES!$D$3:$D$57,MATCH(E262,MATERIALES!$B$3:$B$57,0)),"")</f>
        <v>8</v>
      </c>
      <c r="I262" s="17" t="n">
        <f aca="false">IF(H262="","",F262*H262)</f>
        <v>8</v>
      </c>
      <c r="J262" s="19" t="s">
        <v>729</v>
      </c>
      <c r="K262" s="19" t="s">
        <v>730</v>
      </c>
    </row>
    <row r="263" customFormat="false" ht="15" hidden="false" customHeight="false" outlineLevel="0" collapsed="false">
      <c r="B263" s="9" t="s">
        <v>111</v>
      </c>
      <c r="C263" s="5" t="s">
        <v>692</v>
      </c>
      <c r="D263" s="5" t="s">
        <v>192</v>
      </c>
      <c r="E263" s="9" t="s">
        <v>172</v>
      </c>
      <c r="F263" s="5" t="n">
        <v>0.5</v>
      </c>
      <c r="G263" s="5" t="s">
        <v>45</v>
      </c>
      <c r="H263" s="17" t="n">
        <f aca="false">IFERROR(INDEX(MATERIALES!$D$3:$D$57,MATCH(E263,MATERIALES!$B$3:$B$57,0)),"")</f>
        <v>15</v>
      </c>
      <c r="I263" s="17" t="n">
        <f aca="false">IF(H263="","",F263*H263)</f>
        <v>7.5</v>
      </c>
      <c r="J263" s="19" t="s">
        <v>731</v>
      </c>
      <c r="K263" s="19" t="s">
        <v>732</v>
      </c>
    </row>
    <row r="264" customFormat="false" ht="15" hidden="false" customHeight="false" outlineLevel="0" collapsed="false">
      <c r="B264" s="9" t="s">
        <v>111</v>
      </c>
      <c r="C264" s="5" t="s">
        <v>692</v>
      </c>
      <c r="D264" s="5" t="s">
        <v>235</v>
      </c>
      <c r="E264" s="9" t="s">
        <v>134</v>
      </c>
      <c r="F264" s="5" t="n">
        <v>1</v>
      </c>
      <c r="G264" s="5" t="s">
        <v>45</v>
      </c>
      <c r="H264" s="17" t="n">
        <f aca="false">IFERROR(INDEX(MATERIALES!$D$3:$D$57,MATCH(E264,MATERIALES!$B$3:$B$57,0)),"")</f>
        <v>12</v>
      </c>
      <c r="I264" s="17" t="n">
        <f aca="false">IF(H264="","",F264*H264)</f>
        <v>12</v>
      </c>
      <c r="J264" s="19" t="s">
        <v>733</v>
      </c>
      <c r="K264" s="19" t="s">
        <v>734</v>
      </c>
    </row>
    <row r="265" customFormat="false" ht="15" hidden="false" customHeight="false" outlineLevel="0" collapsed="false">
      <c r="B265" s="9" t="s">
        <v>111</v>
      </c>
      <c r="C265" s="5" t="s">
        <v>692</v>
      </c>
      <c r="D265" s="5" t="s">
        <v>187</v>
      </c>
      <c r="E265" s="9" t="s">
        <v>177</v>
      </c>
      <c r="F265" s="5" t="n">
        <v>0.25</v>
      </c>
      <c r="G265" s="5" t="s">
        <v>178</v>
      </c>
      <c r="H265" s="17" t="n">
        <f aca="false">IFERROR(INDEX(MATERIALES!$D$3:$D$57,MATCH(E265,MATERIALES!$B$3:$B$57,0)),"")</f>
        <v>4.5</v>
      </c>
      <c r="I265" s="17" t="n">
        <f aca="false">IF(H265="","",F265*H265)</f>
        <v>1.125</v>
      </c>
      <c r="J265" s="19" t="s">
        <v>735</v>
      </c>
      <c r="K265" s="19" t="s">
        <v>736</v>
      </c>
    </row>
    <row r="266" customFormat="false" ht="15" hidden="false" customHeight="false" outlineLevel="0" collapsed="false">
      <c r="B266" s="9" t="s">
        <v>111</v>
      </c>
      <c r="C266" s="5" t="s">
        <v>692</v>
      </c>
      <c r="D266" s="5" t="s">
        <v>187</v>
      </c>
      <c r="E266" s="9" t="s">
        <v>167</v>
      </c>
      <c r="F266" s="5" t="n">
        <v>0.25</v>
      </c>
      <c r="G266" s="5" t="s">
        <v>168</v>
      </c>
      <c r="H266" s="17" t="n">
        <f aca="false">IFERROR(INDEX(MATERIALES!$D$3:$D$57,MATCH(E266,MATERIALES!$B$3:$B$57,0)),"")</f>
        <v>24</v>
      </c>
      <c r="I266" s="17" t="n">
        <f aca="false">IF(H266="","",F266*H266)</f>
        <v>6</v>
      </c>
      <c r="J266" s="19" t="s">
        <v>737</v>
      </c>
      <c r="K266" s="19" t="s">
        <v>738</v>
      </c>
    </row>
    <row r="267" customFormat="false" ht="15" hidden="false" customHeight="false" outlineLevel="0" collapsed="false">
      <c r="B267" s="9" t="s">
        <v>111</v>
      </c>
      <c r="C267" s="5" t="s">
        <v>703</v>
      </c>
      <c r="D267" s="5" t="s">
        <v>187</v>
      </c>
      <c r="E267" s="9" t="s">
        <v>177</v>
      </c>
      <c r="F267" s="5" t="n">
        <v>0.25</v>
      </c>
      <c r="G267" s="5" t="s">
        <v>178</v>
      </c>
      <c r="H267" s="17" t="n">
        <f aca="false">IFERROR(INDEX(MATERIALES!$D$3:$D$57,MATCH(E267,MATERIALES!$B$3:$B$57,0)),"")</f>
        <v>4.5</v>
      </c>
      <c r="I267" s="17" t="n">
        <f aca="false">IF(H267="","",F267*H267)</f>
        <v>1.125</v>
      </c>
      <c r="J267" s="19" t="s">
        <v>739</v>
      </c>
      <c r="K267" s="19" t="s">
        <v>740</v>
      </c>
    </row>
    <row r="268" customFormat="false" ht="15" hidden="false" customHeight="false" outlineLevel="0" collapsed="false">
      <c r="B268" s="9" t="s">
        <v>111</v>
      </c>
      <c r="C268" s="5" t="s">
        <v>703</v>
      </c>
      <c r="D268" s="5" t="s">
        <v>187</v>
      </c>
      <c r="E268" s="9" t="s">
        <v>167</v>
      </c>
      <c r="F268" s="5" t="n">
        <v>0.25</v>
      </c>
      <c r="G268" s="5" t="s">
        <v>168</v>
      </c>
      <c r="H268" s="17" t="n">
        <f aca="false">IFERROR(INDEX(MATERIALES!$D$3:$D$57,MATCH(E268,MATERIALES!$B$3:$B$57,0)),"")</f>
        <v>24</v>
      </c>
      <c r="I268" s="17" t="n">
        <f aca="false">IF(H268="","",F268*H268)</f>
        <v>6</v>
      </c>
      <c r="J268" s="19" t="s">
        <v>741</v>
      </c>
      <c r="K268" s="19" t="s">
        <v>742</v>
      </c>
    </row>
    <row r="269" customFormat="false" ht="15" hidden="false" customHeight="false" outlineLevel="0" collapsed="false">
      <c r="B269" s="9" t="s">
        <v>111</v>
      </c>
      <c r="C269" s="5" t="s">
        <v>703</v>
      </c>
      <c r="D269" s="5" t="s">
        <v>192</v>
      </c>
      <c r="E269" s="9" t="s">
        <v>172</v>
      </c>
      <c r="F269" s="5" t="n">
        <v>0.5</v>
      </c>
      <c r="G269" s="5" t="s">
        <v>45</v>
      </c>
      <c r="H269" s="17" t="n">
        <f aca="false">IFERROR(INDEX(MATERIALES!$D$3:$D$57,MATCH(E269,MATERIALES!$B$3:$B$57,0)),"")</f>
        <v>15</v>
      </c>
      <c r="I269" s="17" t="n">
        <f aca="false">IF(H269="","",F269*H269)</f>
        <v>7.5</v>
      </c>
      <c r="J269" s="19" t="s">
        <v>743</v>
      </c>
      <c r="K269" s="19" t="s">
        <v>744</v>
      </c>
    </row>
    <row r="270" customFormat="false" ht="22.35" hidden="false" customHeight="false" outlineLevel="0" collapsed="false">
      <c r="B270" s="9" t="s">
        <v>111</v>
      </c>
      <c r="C270" s="5" t="s">
        <v>710</v>
      </c>
      <c r="D270" s="5" t="s">
        <v>192</v>
      </c>
      <c r="E270" s="9" t="s">
        <v>161</v>
      </c>
      <c r="F270" s="5" t="n">
        <v>1</v>
      </c>
      <c r="G270" s="5" t="s">
        <v>45</v>
      </c>
      <c r="H270" s="17" t="n">
        <f aca="false">IFERROR(INDEX(MATERIALES!$D$3:$D$57,MATCH(E270,MATERIALES!$B$3:$B$57,0)),"")</f>
        <v>8</v>
      </c>
      <c r="I270" s="17" t="n">
        <f aca="false">IF(H270="","",F270*H270)</f>
        <v>8</v>
      </c>
      <c r="J270" s="19" t="s">
        <v>745</v>
      </c>
      <c r="K270" s="19" t="s">
        <v>746</v>
      </c>
    </row>
    <row r="271" customFormat="false" ht="15" hidden="false" customHeight="false" outlineLevel="0" collapsed="false">
      <c r="B271" s="9" t="s">
        <v>111</v>
      </c>
      <c r="C271" s="5" t="s">
        <v>710</v>
      </c>
      <c r="D271" s="5" t="s">
        <v>192</v>
      </c>
      <c r="E271" s="9" t="s">
        <v>172</v>
      </c>
      <c r="F271" s="5" t="n">
        <v>0.5</v>
      </c>
      <c r="G271" s="5" t="s">
        <v>45</v>
      </c>
      <c r="H271" s="17" t="n">
        <f aca="false">IFERROR(INDEX(MATERIALES!$D$3:$D$57,MATCH(E271,MATERIALES!$B$3:$B$57,0)),"")</f>
        <v>15</v>
      </c>
      <c r="I271" s="17" t="n">
        <f aca="false">IF(H271="","",F271*H271)</f>
        <v>7.5</v>
      </c>
      <c r="J271" s="19" t="s">
        <v>747</v>
      </c>
      <c r="K271" s="19" t="s">
        <v>748</v>
      </c>
    </row>
    <row r="272" customFormat="false" ht="15" hidden="false" customHeight="false" outlineLevel="0" collapsed="false">
      <c r="B272" s="9" t="s">
        <v>111</v>
      </c>
      <c r="C272" s="5" t="s">
        <v>710</v>
      </c>
      <c r="D272" s="5" t="s">
        <v>235</v>
      </c>
      <c r="E272" s="9" t="s">
        <v>134</v>
      </c>
      <c r="F272" s="5" t="n">
        <v>1</v>
      </c>
      <c r="G272" s="5" t="s">
        <v>45</v>
      </c>
      <c r="H272" s="17" t="n">
        <f aca="false">IFERROR(INDEX(MATERIALES!$D$3:$D$57,MATCH(E272,MATERIALES!$B$3:$B$57,0)),"")</f>
        <v>12</v>
      </c>
      <c r="I272" s="17" t="n">
        <f aca="false">IF(H272="","",F272*H272)</f>
        <v>12</v>
      </c>
      <c r="J272" s="19" t="s">
        <v>749</v>
      </c>
      <c r="K272" s="19" t="s">
        <v>750</v>
      </c>
    </row>
    <row r="273" customFormat="false" ht="15" hidden="false" customHeight="false" outlineLevel="0" collapsed="false">
      <c r="B273" s="9" t="s">
        <v>111</v>
      </c>
      <c r="C273" s="5" t="s">
        <v>710</v>
      </c>
      <c r="D273" s="5" t="s">
        <v>232</v>
      </c>
      <c r="E273" s="9" t="s">
        <v>149</v>
      </c>
      <c r="F273" s="5" t="n">
        <v>1</v>
      </c>
      <c r="G273" s="5" t="s">
        <v>45</v>
      </c>
      <c r="H273" s="17" t="n">
        <f aca="false">IFERROR(INDEX(MATERIALES!$D$3:$D$57,MATCH(E273,MATERIALES!$B$3:$B$57,0)),"")</f>
        <v>25</v>
      </c>
      <c r="I273" s="17" t="n">
        <f aca="false">IF(H273="","",F273*H273)</f>
        <v>25</v>
      </c>
      <c r="J273" s="19" t="s">
        <v>751</v>
      </c>
      <c r="K273" s="19" t="s">
        <v>752</v>
      </c>
    </row>
    <row r="274" customFormat="false" ht="15" hidden="false" customHeight="false" outlineLevel="0" collapsed="false">
      <c r="B274" s="9" t="s">
        <v>111</v>
      </c>
      <c r="C274" s="5" t="s">
        <v>710</v>
      </c>
      <c r="D274" s="5" t="s">
        <v>187</v>
      </c>
      <c r="E274" s="9" t="s">
        <v>177</v>
      </c>
      <c r="F274" s="5" t="n">
        <v>0.25</v>
      </c>
      <c r="G274" s="5" t="s">
        <v>178</v>
      </c>
      <c r="H274" s="17" t="n">
        <f aca="false">IFERROR(INDEX(MATERIALES!$D$3:$D$57,MATCH(E274,MATERIALES!$B$3:$B$57,0)),"")</f>
        <v>4.5</v>
      </c>
      <c r="I274" s="17" t="n">
        <f aca="false">IF(H274="","",F274*H274)</f>
        <v>1.125</v>
      </c>
      <c r="J274" s="19" t="s">
        <v>753</v>
      </c>
      <c r="K274" s="19" t="s">
        <v>754</v>
      </c>
    </row>
    <row r="275" customFormat="false" ht="15" hidden="false" customHeight="false" outlineLevel="0" collapsed="false">
      <c r="B275" s="9" t="s">
        <v>111</v>
      </c>
      <c r="C275" s="5" t="s">
        <v>710</v>
      </c>
      <c r="D275" s="5" t="s">
        <v>187</v>
      </c>
      <c r="E275" s="9" t="s">
        <v>167</v>
      </c>
      <c r="F275" s="5" t="n">
        <v>0.25</v>
      </c>
      <c r="G275" s="5" t="s">
        <v>168</v>
      </c>
      <c r="H275" s="17" t="n">
        <f aca="false">IFERROR(INDEX(MATERIALES!$D$3:$D$57,MATCH(E275,MATERIALES!$B$3:$B$57,0)),"")</f>
        <v>24</v>
      </c>
      <c r="I275" s="17" t="n">
        <f aca="false">IF(H275="","",F275*H275)</f>
        <v>6</v>
      </c>
      <c r="J275" s="19" t="s">
        <v>755</v>
      </c>
      <c r="K275" s="19" t="s">
        <v>756</v>
      </c>
    </row>
    <row r="276" customFormat="false" ht="22.35" hidden="false" customHeight="false" outlineLevel="0" collapsed="false">
      <c r="B276" s="9" t="s">
        <v>99</v>
      </c>
      <c r="C276" s="5" t="s">
        <v>685</v>
      </c>
      <c r="D276" s="5" t="s">
        <v>365</v>
      </c>
      <c r="E276" s="9" t="s">
        <v>171</v>
      </c>
      <c r="F276" s="5" t="n">
        <v>0.1</v>
      </c>
      <c r="G276" s="5" t="s">
        <v>170</v>
      </c>
      <c r="H276" s="17" t="n">
        <f aca="false">IFERROR(INDEX(MATERIALES!$D$3:$D$57,MATCH(E276,MATERIALES!$B$3:$B$57,0)),"")</f>
        <v>20</v>
      </c>
      <c r="I276" s="17" t="n">
        <f aca="false">IF(H276="","",F276*H276)</f>
        <v>2</v>
      </c>
      <c r="J276" s="19" t="s">
        <v>757</v>
      </c>
      <c r="K276" s="19" t="s">
        <v>758</v>
      </c>
    </row>
    <row r="277" customFormat="false" ht="22.35" hidden="false" customHeight="false" outlineLevel="0" collapsed="false">
      <c r="B277" s="9" t="s">
        <v>99</v>
      </c>
      <c r="C277" s="5" t="s">
        <v>685</v>
      </c>
      <c r="D277" s="5" t="s">
        <v>187</v>
      </c>
      <c r="E277" s="9" t="s">
        <v>177</v>
      </c>
      <c r="F277" s="5" t="n">
        <v>0.25</v>
      </c>
      <c r="G277" s="5" t="s">
        <v>178</v>
      </c>
      <c r="H277" s="17" t="n">
        <f aca="false">IFERROR(INDEX(MATERIALES!$D$3:$D$57,MATCH(E277,MATERIALES!$B$3:$B$57,0)),"")</f>
        <v>4.5</v>
      </c>
      <c r="I277" s="17" t="n">
        <f aca="false">IF(H277="","",F277*H277)</f>
        <v>1.125</v>
      </c>
      <c r="J277" s="19" t="s">
        <v>759</v>
      </c>
      <c r="K277" s="19" t="s">
        <v>760</v>
      </c>
    </row>
    <row r="278" customFormat="false" ht="22.35" hidden="false" customHeight="false" outlineLevel="0" collapsed="false">
      <c r="B278" s="9" t="s">
        <v>99</v>
      </c>
      <c r="C278" s="5" t="s">
        <v>685</v>
      </c>
      <c r="D278" s="5" t="s">
        <v>187</v>
      </c>
      <c r="E278" s="9" t="s">
        <v>167</v>
      </c>
      <c r="F278" s="5" t="n">
        <v>0.25</v>
      </c>
      <c r="G278" s="5" t="s">
        <v>168</v>
      </c>
      <c r="H278" s="17" t="n">
        <f aca="false">IFERROR(INDEX(MATERIALES!$D$3:$D$57,MATCH(E278,MATERIALES!$B$3:$B$57,0)),"")</f>
        <v>24</v>
      </c>
      <c r="I278" s="17" t="n">
        <f aca="false">IF(H278="","",F278*H278)</f>
        <v>6</v>
      </c>
      <c r="J278" s="19" t="s">
        <v>761</v>
      </c>
      <c r="K278" s="19" t="s">
        <v>762</v>
      </c>
    </row>
    <row r="279" customFormat="false" ht="22.35" hidden="false" customHeight="false" outlineLevel="0" collapsed="false">
      <c r="B279" s="9" t="s">
        <v>99</v>
      </c>
      <c r="C279" s="5" t="s">
        <v>685</v>
      </c>
      <c r="D279" s="5" t="s">
        <v>192</v>
      </c>
      <c r="E279" s="9" t="s">
        <v>172</v>
      </c>
      <c r="F279" s="5" t="n">
        <v>0.5</v>
      </c>
      <c r="G279" s="5" t="s">
        <v>45</v>
      </c>
      <c r="H279" s="17" t="n">
        <f aca="false">IFERROR(INDEX(MATERIALES!$D$3:$D$57,MATCH(E279,MATERIALES!$B$3:$B$57,0)),"")</f>
        <v>15</v>
      </c>
      <c r="I279" s="17" t="n">
        <f aca="false">IF(H279="","",F279*H279)</f>
        <v>7.5</v>
      </c>
      <c r="J279" s="19" t="s">
        <v>763</v>
      </c>
      <c r="K279" s="19" t="s">
        <v>764</v>
      </c>
    </row>
    <row r="280" customFormat="false" ht="22.35" hidden="false" customHeight="false" outlineLevel="0" collapsed="false">
      <c r="B280" s="9" t="s">
        <v>99</v>
      </c>
      <c r="C280" s="5" t="s">
        <v>692</v>
      </c>
      <c r="D280" s="5" t="s">
        <v>192</v>
      </c>
      <c r="E280" s="9" t="s">
        <v>163</v>
      </c>
      <c r="F280" s="5" t="n">
        <v>1</v>
      </c>
      <c r="G280" s="5" t="s">
        <v>45</v>
      </c>
      <c r="H280" s="17" t="n">
        <f aca="false">IFERROR(INDEX(MATERIALES!$D$3:$D$57,MATCH(E280,MATERIALES!$B$3:$B$57,0)),"")</f>
        <v>8</v>
      </c>
      <c r="I280" s="17" t="n">
        <f aca="false">IF(H280="","",F280*H280)</f>
        <v>8</v>
      </c>
      <c r="J280" s="19" t="s">
        <v>765</v>
      </c>
      <c r="K280" s="19" t="s">
        <v>766</v>
      </c>
    </row>
    <row r="281" customFormat="false" ht="22.35" hidden="false" customHeight="false" outlineLevel="0" collapsed="false">
      <c r="B281" s="9" t="s">
        <v>99</v>
      </c>
      <c r="C281" s="5" t="s">
        <v>692</v>
      </c>
      <c r="D281" s="5" t="s">
        <v>192</v>
      </c>
      <c r="E281" s="9" t="s">
        <v>172</v>
      </c>
      <c r="F281" s="5" t="n">
        <v>0.5</v>
      </c>
      <c r="G281" s="5" t="s">
        <v>45</v>
      </c>
      <c r="H281" s="17" t="n">
        <f aca="false">IFERROR(INDEX(MATERIALES!$D$3:$D$57,MATCH(E281,MATERIALES!$B$3:$B$57,0)),"")</f>
        <v>15</v>
      </c>
      <c r="I281" s="17" t="n">
        <f aca="false">IF(H281="","",F281*H281)</f>
        <v>7.5</v>
      </c>
      <c r="J281" s="19" t="s">
        <v>767</v>
      </c>
      <c r="K281" s="19" t="s">
        <v>768</v>
      </c>
    </row>
    <row r="282" customFormat="false" ht="22.35" hidden="false" customHeight="false" outlineLevel="0" collapsed="false">
      <c r="B282" s="9" t="s">
        <v>99</v>
      </c>
      <c r="C282" s="5" t="s">
        <v>692</v>
      </c>
      <c r="D282" s="5" t="s">
        <v>235</v>
      </c>
      <c r="E282" s="9" t="s">
        <v>141</v>
      </c>
      <c r="F282" s="5" t="n">
        <v>1</v>
      </c>
      <c r="G282" s="5" t="s">
        <v>45</v>
      </c>
      <c r="H282" s="17" t="n">
        <f aca="false">IFERROR(INDEX(MATERIALES!$D$3:$D$57,MATCH(E282,MATERIALES!$B$3:$B$57,0)),"")</f>
        <v>12</v>
      </c>
      <c r="I282" s="17" t="n">
        <f aca="false">IF(H282="","",F282*H282)</f>
        <v>12</v>
      </c>
      <c r="J282" s="19" t="s">
        <v>769</v>
      </c>
      <c r="K282" s="19" t="s">
        <v>770</v>
      </c>
    </row>
    <row r="283" customFormat="false" ht="22.35" hidden="false" customHeight="false" outlineLevel="0" collapsed="false">
      <c r="B283" s="9" t="s">
        <v>99</v>
      </c>
      <c r="C283" s="5" t="s">
        <v>692</v>
      </c>
      <c r="D283" s="5" t="s">
        <v>365</v>
      </c>
      <c r="E283" s="9" t="s">
        <v>171</v>
      </c>
      <c r="F283" s="5" t="n">
        <v>0.1</v>
      </c>
      <c r="G283" s="5" t="s">
        <v>170</v>
      </c>
      <c r="H283" s="17" t="n">
        <f aca="false">IFERROR(INDEX(MATERIALES!$D$3:$D$57,MATCH(E283,MATERIALES!$B$3:$B$57,0)),"")</f>
        <v>20</v>
      </c>
      <c r="I283" s="17" t="n">
        <f aca="false">IF(H283="","",F283*H283)</f>
        <v>2</v>
      </c>
      <c r="J283" s="19" t="s">
        <v>771</v>
      </c>
      <c r="K283" s="19" t="s">
        <v>772</v>
      </c>
    </row>
    <row r="284" customFormat="false" ht="22.35" hidden="false" customHeight="false" outlineLevel="0" collapsed="false">
      <c r="B284" s="9" t="s">
        <v>99</v>
      </c>
      <c r="C284" s="5" t="s">
        <v>692</v>
      </c>
      <c r="D284" s="5" t="s">
        <v>187</v>
      </c>
      <c r="E284" s="9" t="s">
        <v>177</v>
      </c>
      <c r="F284" s="5" t="n">
        <v>0.25</v>
      </c>
      <c r="G284" s="5" t="s">
        <v>178</v>
      </c>
      <c r="H284" s="17" t="n">
        <f aca="false">IFERROR(INDEX(MATERIALES!$D$3:$D$57,MATCH(E284,MATERIALES!$B$3:$B$57,0)),"")</f>
        <v>4.5</v>
      </c>
      <c r="I284" s="17" t="n">
        <f aca="false">IF(H284="","",F284*H284)</f>
        <v>1.125</v>
      </c>
      <c r="J284" s="19" t="s">
        <v>773</v>
      </c>
      <c r="K284" s="19" t="s">
        <v>774</v>
      </c>
    </row>
    <row r="285" customFormat="false" ht="22.35" hidden="false" customHeight="false" outlineLevel="0" collapsed="false">
      <c r="B285" s="9" t="s">
        <v>99</v>
      </c>
      <c r="C285" s="5" t="s">
        <v>692</v>
      </c>
      <c r="D285" s="5" t="s">
        <v>187</v>
      </c>
      <c r="E285" s="9" t="s">
        <v>167</v>
      </c>
      <c r="F285" s="5" t="n">
        <v>0.25</v>
      </c>
      <c r="G285" s="5" t="s">
        <v>168</v>
      </c>
      <c r="H285" s="17" t="n">
        <f aca="false">IFERROR(INDEX(MATERIALES!$D$3:$D$57,MATCH(E285,MATERIALES!$B$3:$B$57,0)),"")</f>
        <v>24</v>
      </c>
      <c r="I285" s="17" t="n">
        <f aca="false">IF(H285="","",F285*H285)</f>
        <v>6</v>
      </c>
      <c r="J285" s="19" t="s">
        <v>775</v>
      </c>
      <c r="K285" s="19" t="s">
        <v>776</v>
      </c>
    </row>
    <row r="286" customFormat="false" ht="22.35" hidden="false" customHeight="false" outlineLevel="0" collapsed="false">
      <c r="B286" s="9" t="s">
        <v>99</v>
      </c>
      <c r="C286" s="5" t="s">
        <v>703</v>
      </c>
      <c r="D286" s="5" t="s">
        <v>365</v>
      </c>
      <c r="E286" s="9" t="s">
        <v>171</v>
      </c>
      <c r="F286" s="5" t="n">
        <v>0.1</v>
      </c>
      <c r="G286" s="5" t="s">
        <v>170</v>
      </c>
      <c r="H286" s="17" t="n">
        <f aca="false">IFERROR(INDEX(MATERIALES!$D$3:$D$57,MATCH(E286,MATERIALES!$B$3:$B$57,0)),"")</f>
        <v>20</v>
      </c>
      <c r="I286" s="17" t="n">
        <f aca="false">IF(H286="","",F286*H286)</f>
        <v>2</v>
      </c>
      <c r="J286" s="19" t="s">
        <v>777</v>
      </c>
      <c r="K286" s="19" t="s">
        <v>778</v>
      </c>
    </row>
    <row r="287" customFormat="false" ht="22.35" hidden="false" customHeight="false" outlineLevel="0" collapsed="false">
      <c r="B287" s="9" t="s">
        <v>99</v>
      </c>
      <c r="C287" s="5" t="s">
        <v>703</v>
      </c>
      <c r="D287" s="5" t="s">
        <v>187</v>
      </c>
      <c r="E287" s="9" t="s">
        <v>177</v>
      </c>
      <c r="F287" s="5" t="n">
        <v>0.25</v>
      </c>
      <c r="G287" s="5" t="s">
        <v>178</v>
      </c>
      <c r="H287" s="17" t="n">
        <f aca="false">IFERROR(INDEX(MATERIALES!$D$3:$D$57,MATCH(E287,MATERIALES!$B$3:$B$57,0)),"")</f>
        <v>4.5</v>
      </c>
      <c r="I287" s="17" t="n">
        <f aca="false">IF(H287="","",F287*H287)</f>
        <v>1.125</v>
      </c>
      <c r="J287" s="19" t="s">
        <v>779</v>
      </c>
      <c r="K287" s="19" t="s">
        <v>780</v>
      </c>
    </row>
    <row r="288" customFormat="false" ht="22.35" hidden="false" customHeight="false" outlineLevel="0" collapsed="false">
      <c r="B288" s="9" t="s">
        <v>99</v>
      </c>
      <c r="C288" s="5" t="s">
        <v>703</v>
      </c>
      <c r="D288" s="5" t="s">
        <v>187</v>
      </c>
      <c r="E288" s="9" t="s">
        <v>167</v>
      </c>
      <c r="F288" s="5" t="n">
        <v>0.25</v>
      </c>
      <c r="G288" s="5" t="s">
        <v>168</v>
      </c>
      <c r="H288" s="17" t="n">
        <f aca="false">IFERROR(INDEX(MATERIALES!$D$3:$D$57,MATCH(E288,MATERIALES!$B$3:$B$57,0)),"")</f>
        <v>24</v>
      </c>
      <c r="I288" s="17" t="n">
        <f aca="false">IF(H288="","",F288*H288)</f>
        <v>6</v>
      </c>
      <c r="J288" s="19" t="s">
        <v>781</v>
      </c>
      <c r="K288" s="19" t="s">
        <v>782</v>
      </c>
    </row>
    <row r="289" customFormat="false" ht="22.35" hidden="false" customHeight="false" outlineLevel="0" collapsed="false">
      <c r="B289" s="9" t="s">
        <v>99</v>
      </c>
      <c r="C289" s="5" t="s">
        <v>703</v>
      </c>
      <c r="D289" s="5" t="s">
        <v>192</v>
      </c>
      <c r="E289" s="9" t="s">
        <v>172</v>
      </c>
      <c r="F289" s="5" t="n">
        <v>0.5</v>
      </c>
      <c r="G289" s="5" t="s">
        <v>45</v>
      </c>
      <c r="H289" s="17" t="n">
        <f aca="false">IFERROR(INDEX(MATERIALES!$D$3:$D$57,MATCH(E289,MATERIALES!$B$3:$B$57,0)),"")</f>
        <v>15</v>
      </c>
      <c r="I289" s="17" t="n">
        <f aca="false">IF(H289="","",F289*H289)</f>
        <v>7.5</v>
      </c>
      <c r="J289" s="19" t="s">
        <v>783</v>
      </c>
      <c r="K289" s="19" t="s">
        <v>784</v>
      </c>
    </row>
    <row r="290" customFormat="false" ht="22.35" hidden="false" customHeight="false" outlineLevel="0" collapsed="false">
      <c r="B290" s="9" t="s">
        <v>99</v>
      </c>
      <c r="C290" s="5" t="s">
        <v>710</v>
      </c>
      <c r="D290" s="5" t="s">
        <v>192</v>
      </c>
      <c r="E290" s="9" t="s">
        <v>163</v>
      </c>
      <c r="F290" s="5" t="n">
        <v>1</v>
      </c>
      <c r="G290" s="5" t="s">
        <v>45</v>
      </c>
      <c r="H290" s="17" t="n">
        <f aca="false">IFERROR(INDEX(MATERIALES!$D$3:$D$57,MATCH(E290,MATERIALES!$B$3:$B$57,0)),"")</f>
        <v>8</v>
      </c>
      <c r="I290" s="17" t="n">
        <f aca="false">IF(H290="","",F290*H290)</f>
        <v>8</v>
      </c>
      <c r="J290" s="19" t="s">
        <v>785</v>
      </c>
      <c r="K290" s="19" t="s">
        <v>786</v>
      </c>
    </row>
    <row r="291" customFormat="false" ht="22.35" hidden="false" customHeight="false" outlineLevel="0" collapsed="false">
      <c r="B291" s="9" t="s">
        <v>99</v>
      </c>
      <c r="C291" s="5" t="s">
        <v>710</v>
      </c>
      <c r="D291" s="5" t="s">
        <v>192</v>
      </c>
      <c r="E291" s="9" t="s">
        <v>172</v>
      </c>
      <c r="F291" s="5" t="n">
        <v>0.5</v>
      </c>
      <c r="G291" s="5" t="s">
        <v>45</v>
      </c>
      <c r="H291" s="17" t="n">
        <f aca="false">IFERROR(INDEX(MATERIALES!$D$3:$D$57,MATCH(E291,MATERIALES!$B$3:$B$57,0)),"")</f>
        <v>15</v>
      </c>
      <c r="I291" s="17" t="n">
        <f aca="false">IF(H291="","",F291*H291)</f>
        <v>7.5</v>
      </c>
      <c r="J291" s="19" t="s">
        <v>787</v>
      </c>
      <c r="K291" s="19" t="s">
        <v>788</v>
      </c>
    </row>
    <row r="292" customFormat="false" ht="22.35" hidden="false" customHeight="false" outlineLevel="0" collapsed="false">
      <c r="B292" s="9" t="s">
        <v>99</v>
      </c>
      <c r="C292" s="5" t="s">
        <v>710</v>
      </c>
      <c r="D292" s="5" t="s">
        <v>235</v>
      </c>
      <c r="E292" s="9" t="s">
        <v>141</v>
      </c>
      <c r="F292" s="5" t="n">
        <v>1</v>
      </c>
      <c r="G292" s="5" t="s">
        <v>45</v>
      </c>
      <c r="H292" s="17" t="n">
        <f aca="false">IFERROR(INDEX(MATERIALES!$D$3:$D$57,MATCH(E292,MATERIALES!$B$3:$B$57,0)),"")</f>
        <v>12</v>
      </c>
      <c r="I292" s="17" t="n">
        <f aca="false">IF(H292="","",F292*H292)</f>
        <v>12</v>
      </c>
      <c r="J292" s="19" t="s">
        <v>789</v>
      </c>
      <c r="K292" s="19" t="s">
        <v>790</v>
      </c>
    </row>
    <row r="293" customFormat="false" ht="22.35" hidden="false" customHeight="false" outlineLevel="0" collapsed="false">
      <c r="B293" s="9" t="s">
        <v>99</v>
      </c>
      <c r="C293" s="5" t="s">
        <v>710</v>
      </c>
      <c r="D293" s="5" t="s">
        <v>232</v>
      </c>
      <c r="E293" s="9" t="s">
        <v>160</v>
      </c>
      <c r="F293" s="5" t="n">
        <v>1</v>
      </c>
      <c r="G293" s="5" t="s">
        <v>45</v>
      </c>
      <c r="H293" s="17" t="n">
        <f aca="false">IFERROR(INDEX(MATERIALES!$D$3:$D$57,MATCH(E293,MATERIALES!$B$3:$B$57,0)),"")</f>
        <v>20</v>
      </c>
      <c r="I293" s="17" t="n">
        <f aca="false">IF(H293="","",F293*H293)</f>
        <v>20</v>
      </c>
      <c r="J293" s="19" t="s">
        <v>791</v>
      </c>
      <c r="K293" s="19" t="s">
        <v>792</v>
      </c>
    </row>
    <row r="294" customFormat="false" ht="22.35" hidden="false" customHeight="false" outlineLevel="0" collapsed="false">
      <c r="B294" s="9" t="s">
        <v>99</v>
      </c>
      <c r="C294" s="5" t="s">
        <v>710</v>
      </c>
      <c r="D294" s="5" t="s">
        <v>365</v>
      </c>
      <c r="E294" s="9" t="s">
        <v>171</v>
      </c>
      <c r="F294" s="5" t="n">
        <v>0.1</v>
      </c>
      <c r="G294" s="5" t="s">
        <v>170</v>
      </c>
      <c r="H294" s="17" t="n">
        <f aca="false">IFERROR(INDEX(MATERIALES!$D$3:$D$57,MATCH(E294,MATERIALES!$B$3:$B$57,0)),"")</f>
        <v>20</v>
      </c>
      <c r="I294" s="17" t="n">
        <f aca="false">IF(H294="","",F294*H294)</f>
        <v>2</v>
      </c>
      <c r="J294" s="19" t="s">
        <v>793</v>
      </c>
      <c r="K294" s="19" t="s">
        <v>794</v>
      </c>
    </row>
    <row r="295" customFormat="false" ht="22.35" hidden="false" customHeight="false" outlineLevel="0" collapsed="false">
      <c r="B295" s="9" t="s">
        <v>99</v>
      </c>
      <c r="C295" s="5" t="s">
        <v>710</v>
      </c>
      <c r="D295" s="5" t="s">
        <v>187</v>
      </c>
      <c r="E295" s="9" t="s">
        <v>177</v>
      </c>
      <c r="F295" s="5" t="n">
        <v>0.25</v>
      </c>
      <c r="G295" s="5" t="s">
        <v>178</v>
      </c>
      <c r="H295" s="17" t="n">
        <f aca="false">IFERROR(INDEX(MATERIALES!$D$3:$D$57,MATCH(E295,MATERIALES!$B$3:$B$57,0)),"")</f>
        <v>4.5</v>
      </c>
      <c r="I295" s="17" t="n">
        <f aca="false">IF(H295="","",F295*H295)</f>
        <v>1.125</v>
      </c>
      <c r="J295" s="19" t="s">
        <v>795</v>
      </c>
      <c r="K295" s="19" t="s">
        <v>796</v>
      </c>
    </row>
    <row r="296" customFormat="false" ht="22.35" hidden="false" customHeight="false" outlineLevel="0" collapsed="false">
      <c r="B296" s="9" t="s">
        <v>99</v>
      </c>
      <c r="C296" s="5" t="s">
        <v>710</v>
      </c>
      <c r="D296" s="5" t="s">
        <v>187</v>
      </c>
      <c r="E296" s="9" t="s">
        <v>167</v>
      </c>
      <c r="F296" s="5" t="n">
        <v>0.25</v>
      </c>
      <c r="G296" s="5" t="s">
        <v>168</v>
      </c>
      <c r="H296" s="17" t="n">
        <f aca="false">IFERROR(INDEX(MATERIALES!$D$3:$D$57,MATCH(E296,MATERIALES!$B$3:$B$57,0)),"")</f>
        <v>24</v>
      </c>
      <c r="I296" s="17" t="n">
        <f aca="false">IF(H296="","",F296*H296)</f>
        <v>6</v>
      </c>
      <c r="J296" s="19" t="s">
        <v>797</v>
      </c>
      <c r="K296" s="19" t="s">
        <v>798</v>
      </c>
    </row>
    <row r="297" customFormat="false" ht="15" hidden="false" customHeight="false" outlineLevel="0" collapsed="false">
      <c r="B297" s="9" t="s">
        <v>114</v>
      </c>
      <c r="C297" s="5" t="s">
        <v>799</v>
      </c>
      <c r="D297" s="5" t="s">
        <v>800</v>
      </c>
      <c r="E297" s="9" t="s">
        <v>130</v>
      </c>
      <c r="F297" s="5" t="n">
        <v>0.25</v>
      </c>
      <c r="G297" s="5" t="s">
        <v>120</v>
      </c>
      <c r="H297" s="17" t="n">
        <f aca="false">IFERROR(INDEX(MATERIALES!$D$3:$D$57,MATCH(E297,MATERIALES!$B$3:$B$57,0)),"")</f>
        <v>30</v>
      </c>
      <c r="I297" s="17" t="n">
        <f aca="false">IF(H297="","",F297*H297)</f>
        <v>7.5</v>
      </c>
      <c r="J297" s="19" t="s">
        <v>801</v>
      </c>
      <c r="K297" s="19" t="s">
        <v>802</v>
      </c>
    </row>
    <row r="298" customFormat="false" ht="15" hidden="false" customHeight="false" outlineLevel="0" collapsed="false">
      <c r="B298" s="9" t="s">
        <v>114</v>
      </c>
      <c r="C298" s="5" t="s">
        <v>799</v>
      </c>
      <c r="D298" s="5" t="s">
        <v>187</v>
      </c>
      <c r="E298" s="9" t="s">
        <v>177</v>
      </c>
      <c r="F298" s="5" t="n">
        <v>0.25</v>
      </c>
      <c r="G298" s="5" t="s">
        <v>178</v>
      </c>
      <c r="H298" s="17" t="n">
        <f aca="false">IFERROR(INDEX(MATERIALES!$D$3:$D$57,MATCH(E298,MATERIALES!$B$3:$B$57,0)),"")</f>
        <v>4.5</v>
      </c>
      <c r="I298" s="17" t="n">
        <f aca="false">IF(H298="","",F298*H298)</f>
        <v>1.125</v>
      </c>
      <c r="J298" s="19" t="s">
        <v>803</v>
      </c>
      <c r="K298" s="19" t="s">
        <v>804</v>
      </c>
    </row>
    <row r="299" customFormat="false" ht="15" hidden="false" customHeight="false" outlineLevel="0" collapsed="false">
      <c r="B299" s="9" t="s">
        <v>114</v>
      </c>
      <c r="C299" s="5" t="s">
        <v>805</v>
      </c>
      <c r="D299" s="5" t="s">
        <v>800</v>
      </c>
      <c r="E299" s="9" t="s">
        <v>130</v>
      </c>
      <c r="F299" s="5" t="n">
        <v>0.25</v>
      </c>
      <c r="G299" s="5" t="s">
        <v>120</v>
      </c>
      <c r="H299" s="17" t="n">
        <f aca="false">IFERROR(INDEX(MATERIALES!$D$3:$D$57,MATCH(E299,MATERIALES!$B$3:$B$57,0)),"")</f>
        <v>30</v>
      </c>
      <c r="I299" s="17" t="n">
        <f aca="false">IF(H299="","",F299*H299)</f>
        <v>7.5</v>
      </c>
      <c r="J299" s="19" t="s">
        <v>806</v>
      </c>
      <c r="K299" s="19" t="s">
        <v>807</v>
      </c>
    </row>
    <row r="300" customFormat="false" ht="15" hidden="false" customHeight="false" outlineLevel="0" collapsed="false">
      <c r="B300" s="9" t="s">
        <v>114</v>
      </c>
      <c r="C300" s="5" t="s">
        <v>805</v>
      </c>
      <c r="D300" s="5" t="s">
        <v>232</v>
      </c>
      <c r="E300" s="9" t="s">
        <v>151</v>
      </c>
      <c r="F300" s="5" t="n">
        <v>1</v>
      </c>
      <c r="G300" s="5" t="s">
        <v>45</v>
      </c>
      <c r="H300" s="17" t="n">
        <f aca="false">IFERROR(INDEX(MATERIALES!$D$3:$D$57,MATCH(E300,MATERIALES!$B$3:$B$57,0)),"")</f>
        <v>10</v>
      </c>
      <c r="I300" s="17" t="n">
        <f aca="false">IF(H300="","",F300*H300)</f>
        <v>10</v>
      </c>
      <c r="J300" s="19" t="s">
        <v>808</v>
      </c>
      <c r="K300" s="19" t="s">
        <v>809</v>
      </c>
    </row>
    <row r="301" customFormat="false" ht="15" hidden="false" customHeight="false" outlineLevel="0" collapsed="false">
      <c r="B301" s="9" t="s">
        <v>114</v>
      </c>
      <c r="C301" s="5" t="s">
        <v>805</v>
      </c>
      <c r="D301" s="5" t="s">
        <v>187</v>
      </c>
      <c r="E301" s="9" t="s">
        <v>177</v>
      </c>
      <c r="F301" s="5" t="n">
        <v>0.25</v>
      </c>
      <c r="G301" s="5" t="s">
        <v>178</v>
      </c>
      <c r="H301" s="17" t="n">
        <f aca="false">IFERROR(INDEX(MATERIALES!$D$3:$D$57,MATCH(E301,MATERIALES!$B$3:$B$57,0)),"")</f>
        <v>4.5</v>
      </c>
      <c r="I301" s="17" t="n">
        <f aca="false">IF(H301="","",F301*H301)</f>
        <v>1.125</v>
      </c>
      <c r="J301" s="19" t="s">
        <v>810</v>
      </c>
      <c r="K301" s="19" t="s">
        <v>811</v>
      </c>
    </row>
    <row r="302" customFormat="false" ht="15" hidden="false" customHeight="false" outlineLevel="0" collapsed="false">
      <c r="B302" s="9" t="s">
        <v>118</v>
      </c>
      <c r="C302" s="5" t="s">
        <v>799</v>
      </c>
      <c r="D302" s="5" t="s">
        <v>800</v>
      </c>
      <c r="E302" s="9" t="s">
        <v>130</v>
      </c>
      <c r="F302" s="5" t="n">
        <v>0.75</v>
      </c>
      <c r="G302" s="5" t="s">
        <v>120</v>
      </c>
      <c r="H302" s="17" t="n">
        <f aca="false">IFERROR(INDEX(MATERIALES!$D$3:$D$57,MATCH(E302,MATERIALES!$B$3:$B$57,0)),"")</f>
        <v>30</v>
      </c>
      <c r="I302" s="17" t="n">
        <f aca="false">IF(H302="","",F302*H302)</f>
        <v>22.5</v>
      </c>
      <c r="J302" s="19" t="s">
        <v>812</v>
      </c>
      <c r="K302" s="19" t="s">
        <v>813</v>
      </c>
    </row>
    <row r="303" customFormat="false" ht="15" hidden="false" customHeight="false" outlineLevel="0" collapsed="false">
      <c r="B303" s="9" t="s">
        <v>118</v>
      </c>
      <c r="C303" s="5" t="s">
        <v>799</v>
      </c>
      <c r="D303" s="5" t="s">
        <v>187</v>
      </c>
      <c r="E303" s="9" t="s">
        <v>177</v>
      </c>
      <c r="F303" s="5" t="n">
        <v>0.25</v>
      </c>
      <c r="G303" s="5" t="s">
        <v>178</v>
      </c>
      <c r="H303" s="17" t="n">
        <f aca="false">IFERROR(INDEX(MATERIALES!$D$3:$D$57,MATCH(E303,MATERIALES!$B$3:$B$57,0)),"")</f>
        <v>4.5</v>
      </c>
      <c r="I303" s="17" t="n">
        <f aca="false">IF(H303="","",F303*H303)</f>
        <v>1.125</v>
      </c>
      <c r="J303" s="19" t="s">
        <v>814</v>
      </c>
      <c r="K303" s="19" t="s">
        <v>815</v>
      </c>
    </row>
    <row r="304" customFormat="false" ht="15" hidden="false" customHeight="false" outlineLevel="0" collapsed="false">
      <c r="B304" s="9" t="s">
        <v>118</v>
      </c>
      <c r="C304" s="5" t="s">
        <v>805</v>
      </c>
      <c r="D304" s="5" t="s">
        <v>800</v>
      </c>
      <c r="E304" s="9" t="s">
        <v>130</v>
      </c>
      <c r="F304" s="5" t="n">
        <v>0.75</v>
      </c>
      <c r="G304" s="5" t="s">
        <v>120</v>
      </c>
      <c r="H304" s="17" t="n">
        <f aca="false">IFERROR(INDEX(MATERIALES!$D$3:$D$57,MATCH(E304,MATERIALES!$B$3:$B$57,0)),"")</f>
        <v>30</v>
      </c>
      <c r="I304" s="17" t="n">
        <f aca="false">IF(H304="","",F304*H304)</f>
        <v>22.5</v>
      </c>
      <c r="J304" s="19" t="s">
        <v>816</v>
      </c>
      <c r="K304" s="19" t="s">
        <v>817</v>
      </c>
    </row>
    <row r="305" customFormat="false" ht="15" hidden="false" customHeight="false" outlineLevel="0" collapsed="false">
      <c r="B305" s="9" t="s">
        <v>118</v>
      </c>
      <c r="C305" s="5" t="s">
        <v>805</v>
      </c>
      <c r="D305" s="5" t="s">
        <v>232</v>
      </c>
      <c r="E305" s="9" t="s">
        <v>150</v>
      </c>
      <c r="F305" s="5" t="n">
        <v>1</v>
      </c>
      <c r="G305" s="5" t="s">
        <v>45</v>
      </c>
      <c r="H305" s="17" t="n">
        <f aca="false">IFERROR(INDEX(MATERIALES!$D$3:$D$57,MATCH(E305,MATERIALES!$B$3:$B$57,0)),"")</f>
        <v>20</v>
      </c>
      <c r="I305" s="17" t="n">
        <f aca="false">IF(H305="","",F305*H305)</f>
        <v>20</v>
      </c>
      <c r="J305" s="19" t="s">
        <v>818</v>
      </c>
      <c r="K305" s="19" t="s">
        <v>819</v>
      </c>
    </row>
    <row r="306" customFormat="false" ht="15" hidden="false" customHeight="false" outlineLevel="0" collapsed="false">
      <c r="B306" s="9" t="s">
        <v>118</v>
      </c>
      <c r="C306" s="5" t="s">
        <v>805</v>
      </c>
      <c r="D306" s="5" t="s">
        <v>187</v>
      </c>
      <c r="E306" s="9" t="s">
        <v>177</v>
      </c>
      <c r="F306" s="5" t="n">
        <v>0.25</v>
      </c>
      <c r="G306" s="5" t="s">
        <v>178</v>
      </c>
      <c r="H306" s="17" t="n">
        <f aca="false">IFERROR(INDEX(MATERIALES!$D$3:$D$57,MATCH(E306,MATERIALES!$B$3:$B$57,0)),"")</f>
        <v>4.5</v>
      </c>
      <c r="I306" s="17" t="n">
        <f aca="false">IF(H306="","",F306*H306)</f>
        <v>1.125</v>
      </c>
      <c r="J306" s="19" t="s">
        <v>820</v>
      </c>
      <c r="K306" s="19" t="s">
        <v>821</v>
      </c>
    </row>
    <row r="307" customFormat="false" ht="15" hidden="false" customHeight="false" outlineLevel="0" collapsed="false">
      <c r="B307" s="9" t="s">
        <v>118</v>
      </c>
      <c r="C307" s="5" t="s">
        <v>822</v>
      </c>
      <c r="D307" s="5" t="s">
        <v>800</v>
      </c>
      <c r="E307" s="9" t="s">
        <v>130</v>
      </c>
      <c r="F307" s="5" t="n">
        <v>0.75</v>
      </c>
      <c r="G307" s="5" t="s">
        <v>120</v>
      </c>
      <c r="H307" s="17" t="n">
        <f aca="false">IFERROR(INDEX(MATERIALES!$D$3:$D$57,MATCH(E307,MATERIALES!$B$3:$B$57,0)),"")</f>
        <v>30</v>
      </c>
      <c r="I307" s="17" t="n">
        <f aca="false">IF(H307="","",F307*H307)</f>
        <v>22.5</v>
      </c>
      <c r="J307" s="19" t="s">
        <v>823</v>
      </c>
      <c r="K307" s="19" t="s">
        <v>824</v>
      </c>
    </row>
    <row r="308" customFormat="false" ht="15" hidden="false" customHeight="false" outlineLevel="0" collapsed="false">
      <c r="B308" s="9" t="s">
        <v>118</v>
      </c>
      <c r="C308" s="5" t="s">
        <v>822</v>
      </c>
      <c r="D308" s="5" t="s">
        <v>187</v>
      </c>
      <c r="E308" s="9" t="s">
        <v>177</v>
      </c>
      <c r="F308" s="5" t="n">
        <v>0.25</v>
      </c>
      <c r="G308" s="5" t="s">
        <v>178</v>
      </c>
      <c r="H308" s="17" t="n">
        <f aca="false">IFERROR(INDEX(MATERIALES!$D$3:$D$57,MATCH(E308,MATERIALES!$B$3:$B$57,0)),"")</f>
        <v>4.5</v>
      </c>
      <c r="I308" s="17" t="n">
        <f aca="false">IF(H308="","",F308*H308)</f>
        <v>1.125</v>
      </c>
      <c r="J308" s="19" t="s">
        <v>825</v>
      </c>
      <c r="K308" s="19" t="s">
        <v>826</v>
      </c>
    </row>
    <row r="309" customFormat="false" ht="15" hidden="false" customHeight="false" outlineLevel="0" collapsed="false">
      <c r="B309" s="9" t="s">
        <v>118</v>
      </c>
      <c r="C309" s="5" t="s">
        <v>827</v>
      </c>
      <c r="D309" s="5" t="s">
        <v>800</v>
      </c>
      <c r="E309" s="9" t="s">
        <v>130</v>
      </c>
      <c r="F309" s="5" t="n">
        <v>0.75</v>
      </c>
      <c r="G309" s="5" t="s">
        <v>120</v>
      </c>
      <c r="H309" s="17" t="n">
        <f aca="false">IFERROR(INDEX(MATERIALES!$D$3:$D$57,MATCH(E309,MATERIALES!$B$3:$B$57,0)),"")</f>
        <v>30</v>
      </c>
      <c r="I309" s="17" t="n">
        <f aca="false">IF(H309="","",F309*H309)</f>
        <v>22.5</v>
      </c>
      <c r="J309" s="19" t="s">
        <v>828</v>
      </c>
      <c r="K309" s="19" t="s">
        <v>829</v>
      </c>
    </row>
    <row r="310" customFormat="false" ht="15" hidden="false" customHeight="false" outlineLevel="0" collapsed="false">
      <c r="B310" s="9" t="s">
        <v>118</v>
      </c>
      <c r="C310" s="5" t="s">
        <v>827</v>
      </c>
      <c r="D310" s="5" t="s">
        <v>232</v>
      </c>
      <c r="E310" s="9" t="s">
        <v>150</v>
      </c>
      <c r="F310" s="5" t="n">
        <v>1</v>
      </c>
      <c r="G310" s="5" t="s">
        <v>45</v>
      </c>
      <c r="H310" s="17" t="n">
        <f aca="false">IFERROR(INDEX(MATERIALES!$D$3:$D$57,MATCH(E310,MATERIALES!$B$3:$B$57,0)),"")</f>
        <v>20</v>
      </c>
      <c r="I310" s="17" t="n">
        <f aca="false">IF(H310="","",F310*H310)</f>
        <v>20</v>
      </c>
      <c r="J310" s="19" t="s">
        <v>830</v>
      </c>
      <c r="K310" s="19" t="s">
        <v>831</v>
      </c>
    </row>
    <row r="311" customFormat="false" ht="15" hidden="false" customHeight="false" outlineLevel="0" collapsed="false">
      <c r="B311" s="9" t="s">
        <v>118</v>
      </c>
      <c r="C311" s="5" t="s">
        <v>827</v>
      </c>
      <c r="D311" s="5" t="s">
        <v>365</v>
      </c>
      <c r="E311" s="9" t="s">
        <v>143</v>
      </c>
      <c r="F311" s="5" t="n">
        <v>1</v>
      </c>
      <c r="G311" s="5" t="s">
        <v>45</v>
      </c>
      <c r="H311" s="17" t="n">
        <f aca="false">IFERROR(INDEX(MATERIALES!$D$3:$D$57,MATCH(E311,MATERIALES!$B$3:$B$57,0)),"")</f>
        <v>35</v>
      </c>
      <c r="I311" s="17" t="n">
        <f aca="false">IF(H311="","",F311*H311)</f>
        <v>35</v>
      </c>
      <c r="J311" s="19" t="s">
        <v>832</v>
      </c>
      <c r="K311" s="19" t="s">
        <v>833</v>
      </c>
    </row>
    <row r="312" customFormat="false" ht="15" hidden="false" customHeight="false" outlineLevel="0" collapsed="false">
      <c r="B312" s="9" t="s">
        <v>118</v>
      </c>
      <c r="C312" s="5" t="s">
        <v>827</v>
      </c>
      <c r="D312" s="5" t="s">
        <v>187</v>
      </c>
      <c r="E312" s="9" t="s">
        <v>177</v>
      </c>
      <c r="F312" s="5" t="n">
        <v>0.25</v>
      </c>
      <c r="G312" s="5" t="s">
        <v>178</v>
      </c>
      <c r="H312" s="17" t="n">
        <f aca="false">IFERROR(INDEX(MATERIALES!$D$3:$D$57,MATCH(E312,MATERIALES!$B$3:$B$57,0)),"")</f>
        <v>4.5</v>
      </c>
      <c r="I312" s="17" t="n">
        <f aca="false">IF(H312="","",F312*H312)</f>
        <v>1.125</v>
      </c>
      <c r="J312" s="19" t="s">
        <v>834</v>
      </c>
      <c r="K312" s="19" t="s">
        <v>835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8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4" min="3" style="0" width="22"/>
    <col collapsed="false" customWidth="true" hidden="false" outlineLevel="0" max="5" min="5" style="0" width="14"/>
    <col collapsed="false" customWidth="true" hidden="false" outlineLevel="0" max="6" min="6" style="0" width="62"/>
    <col collapsed="false" customWidth="true" hidden="true" outlineLevel="0" max="8" min="7" style="0" width="13"/>
  </cols>
  <sheetData>
    <row r="2" customFormat="false" ht="15" hidden="false" customHeight="false" outlineLevel="0" collapsed="false">
      <c r="B2" s="3" t="s">
        <v>15</v>
      </c>
      <c r="C2" s="3" t="s">
        <v>20</v>
      </c>
      <c r="D2" s="3" t="s">
        <v>26</v>
      </c>
      <c r="E2" s="3" t="s">
        <v>33</v>
      </c>
      <c r="F2" s="3" t="s">
        <v>34</v>
      </c>
    </row>
    <row r="3" customFormat="false" ht="15" hidden="false" customHeight="false" outlineLevel="0" collapsed="false">
      <c r="B3" s="9" t="s">
        <v>68</v>
      </c>
      <c r="C3" s="5" t="s">
        <v>36</v>
      </c>
      <c r="D3" s="5" t="s">
        <v>179</v>
      </c>
      <c r="E3" s="5" t="s">
        <v>836</v>
      </c>
      <c r="F3" s="9" t="s">
        <v>837</v>
      </c>
      <c r="G3" s="19" t="s">
        <v>180</v>
      </c>
      <c r="H3" s="19" t="s">
        <v>181</v>
      </c>
    </row>
    <row r="4" customFormat="false" ht="15" hidden="false" customHeight="false" outlineLevel="0" collapsed="false">
      <c r="B4" s="9" t="s">
        <v>68</v>
      </c>
      <c r="C4" s="5" t="s">
        <v>36</v>
      </c>
      <c r="D4" s="5" t="s">
        <v>179</v>
      </c>
      <c r="E4" s="5" t="s">
        <v>836</v>
      </c>
      <c r="F4" s="9" t="s">
        <v>838</v>
      </c>
      <c r="G4" s="19" t="s">
        <v>182</v>
      </c>
      <c r="H4" s="19" t="s">
        <v>183</v>
      </c>
    </row>
    <row r="5" customFormat="false" ht="15" hidden="false" customHeight="false" outlineLevel="0" collapsed="false">
      <c r="B5" s="9" t="s">
        <v>68</v>
      </c>
      <c r="C5" s="5" t="s">
        <v>36</v>
      </c>
      <c r="D5" s="5" t="s">
        <v>179</v>
      </c>
      <c r="E5" s="5" t="s">
        <v>836</v>
      </c>
      <c r="F5" s="9" t="s">
        <v>839</v>
      </c>
      <c r="G5" s="19" t="s">
        <v>185</v>
      </c>
      <c r="H5" s="19" t="s">
        <v>186</v>
      </c>
    </row>
    <row r="6" customFormat="false" ht="15" hidden="false" customHeight="false" outlineLevel="0" collapsed="false">
      <c r="B6" s="9" t="s">
        <v>68</v>
      </c>
      <c r="C6" s="5" t="s">
        <v>36</v>
      </c>
      <c r="D6" s="5" t="s">
        <v>179</v>
      </c>
      <c r="E6" s="5" t="s">
        <v>840</v>
      </c>
      <c r="F6" s="9" t="s">
        <v>841</v>
      </c>
      <c r="G6" s="19" t="s">
        <v>188</v>
      </c>
      <c r="H6" s="19" t="s">
        <v>189</v>
      </c>
    </row>
    <row r="7" customFormat="false" ht="15" hidden="false" customHeight="false" outlineLevel="0" collapsed="false">
      <c r="B7" s="9" t="s">
        <v>68</v>
      </c>
      <c r="C7" s="5" t="s">
        <v>36</v>
      </c>
      <c r="D7" s="5" t="s">
        <v>232</v>
      </c>
      <c r="E7" s="5" t="s">
        <v>840</v>
      </c>
      <c r="F7" s="9" t="s">
        <v>842</v>
      </c>
      <c r="G7" s="19" t="s">
        <v>190</v>
      </c>
      <c r="H7" s="19" t="s">
        <v>191</v>
      </c>
    </row>
    <row r="8" customFormat="false" ht="15" hidden="false" customHeight="false" outlineLevel="0" collapsed="false">
      <c r="B8" s="9" t="s">
        <v>68</v>
      </c>
      <c r="C8" s="5" t="s">
        <v>36</v>
      </c>
      <c r="D8" s="5" t="s">
        <v>192</v>
      </c>
      <c r="E8" s="5" t="s">
        <v>836</v>
      </c>
      <c r="F8" s="9" t="s">
        <v>843</v>
      </c>
      <c r="G8" s="19" t="s">
        <v>193</v>
      </c>
      <c r="H8" s="19" t="s">
        <v>194</v>
      </c>
    </row>
    <row r="9" customFormat="false" ht="15" hidden="false" customHeight="false" outlineLevel="0" collapsed="false">
      <c r="B9" s="9" t="s">
        <v>68</v>
      </c>
      <c r="C9" s="5" t="s">
        <v>36</v>
      </c>
      <c r="D9" s="5" t="s">
        <v>192</v>
      </c>
      <c r="E9" s="5" t="s">
        <v>836</v>
      </c>
      <c r="F9" s="9" t="s">
        <v>844</v>
      </c>
      <c r="G9" s="19" t="s">
        <v>196</v>
      </c>
      <c r="H9" s="19" t="s">
        <v>845</v>
      </c>
    </row>
    <row r="10" customFormat="false" ht="15" hidden="false" customHeight="false" outlineLevel="0" collapsed="false">
      <c r="B10" s="9" t="s">
        <v>68</v>
      </c>
      <c r="C10" s="5" t="s">
        <v>36</v>
      </c>
      <c r="D10" s="5" t="s">
        <v>235</v>
      </c>
      <c r="E10" s="5" t="s">
        <v>836</v>
      </c>
      <c r="F10" s="9" t="s">
        <v>846</v>
      </c>
      <c r="G10" s="19" t="s">
        <v>198</v>
      </c>
      <c r="H10" s="19" t="s">
        <v>847</v>
      </c>
    </row>
    <row r="11" customFormat="false" ht="15" hidden="false" customHeight="false" outlineLevel="0" collapsed="false">
      <c r="B11" s="9" t="s">
        <v>68</v>
      </c>
      <c r="C11" s="5" t="s">
        <v>36</v>
      </c>
      <c r="D11" s="5" t="s">
        <v>365</v>
      </c>
      <c r="E11" s="5" t="s">
        <v>836</v>
      </c>
      <c r="F11" s="9" t="s">
        <v>848</v>
      </c>
      <c r="G11" s="19" t="s">
        <v>200</v>
      </c>
      <c r="H11" s="19" t="s">
        <v>849</v>
      </c>
    </row>
    <row r="12" customFormat="false" ht="15" hidden="false" customHeight="false" outlineLevel="0" collapsed="false">
      <c r="B12" s="9" t="s">
        <v>68</v>
      </c>
      <c r="C12" s="5" t="s">
        <v>36</v>
      </c>
      <c r="D12" s="5" t="s">
        <v>850</v>
      </c>
      <c r="E12" s="5" t="s">
        <v>836</v>
      </c>
      <c r="F12" s="9" t="s">
        <v>851</v>
      </c>
      <c r="G12" s="19" t="s">
        <v>202</v>
      </c>
      <c r="H12" s="19" t="s">
        <v>852</v>
      </c>
    </row>
    <row r="13" customFormat="false" ht="15" hidden="false" customHeight="false" outlineLevel="0" collapsed="false">
      <c r="B13" s="9" t="s">
        <v>68</v>
      </c>
      <c r="C13" s="5" t="s">
        <v>36</v>
      </c>
      <c r="D13" s="5" t="s">
        <v>850</v>
      </c>
      <c r="E13" s="5" t="s">
        <v>853</v>
      </c>
      <c r="F13" s="9" t="s">
        <v>854</v>
      </c>
      <c r="G13" s="19" t="s">
        <v>204</v>
      </c>
      <c r="H13" s="19" t="s">
        <v>855</v>
      </c>
    </row>
    <row r="14" customFormat="false" ht="15" hidden="false" customHeight="false" outlineLevel="0" collapsed="false">
      <c r="B14" s="9" t="s">
        <v>68</v>
      </c>
      <c r="C14" s="5" t="s">
        <v>36</v>
      </c>
      <c r="D14" s="5" t="s">
        <v>270</v>
      </c>
      <c r="E14" s="5" t="s">
        <v>836</v>
      </c>
      <c r="F14" s="9" t="s">
        <v>856</v>
      </c>
      <c r="G14" s="19" t="s">
        <v>206</v>
      </c>
      <c r="H14" s="19" t="s">
        <v>857</v>
      </c>
    </row>
    <row r="15" customFormat="false" ht="15" hidden="false" customHeight="false" outlineLevel="0" collapsed="false">
      <c r="B15" s="9" t="s">
        <v>68</v>
      </c>
      <c r="C15" s="5" t="s">
        <v>36</v>
      </c>
      <c r="D15" s="5" t="s">
        <v>270</v>
      </c>
      <c r="E15" s="5" t="s">
        <v>836</v>
      </c>
      <c r="F15" s="9" t="s">
        <v>858</v>
      </c>
      <c r="G15" s="19" t="s">
        <v>208</v>
      </c>
      <c r="H15" s="19" t="s">
        <v>859</v>
      </c>
    </row>
    <row r="16" customFormat="false" ht="15" hidden="false" customHeight="false" outlineLevel="0" collapsed="false">
      <c r="B16" s="9" t="s">
        <v>68</v>
      </c>
      <c r="C16" s="5" t="s">
        <v>36</v>
      </c>
      <c r="D16" s="5" t="s">
        <v>860</v>
      </c>
      <c r="E16" s="5" t="s">
        <v>836</v>
      </c>
      <c r="F16" s="9" t="s">
        <v>861</v>
      </c>
      <c r="G16" s="19" t="s">
        <v>211</v>
      </c>
      <c r="H16" s="19" t="s">
        <v>862</v>
      </c>
    </row>
    <row r="17" customFormat="false" ht="15" hidden="false" customHeight="false" outlineLevel="0" collapsed="false">
      <c r="B17" s="9" t="s">
        <v>68</v>
      </c>
      <c r="C17" s="5" t="s">
        <v>36</v>
      </c>
      <c r="D17" s="5" t="s">
        <v>863</v>
      </c>
      <c r="E17" s="5" t="s">
        <v>836</v>
      </c>
      <c r="F17" s="9" t="s">
        <v>864</v>
      </c>
      <c r="G17" s="19" t="s">
        <v>213</v>
      </c>
      <c r="H17" s="19" t="s">
        <v>865</v>
      </c>
    </row>
    <row r="18" customFormat="false" ht="15" hidden="false" customHeight="false" outlineLevel="0" collapsed="false">
      <c r="B18" s="9" t="s">
        <v>68</v>
      </c>
      <c r="C18" s="5" t="s">
        <v>36</v>
      </c>
      <c r="D18" s="5" t="s">
        <v>866</v>
      </c>
      <c r="E18" s="5" t="s">
        <v>836</v>
      </c>
      <c r="F18" s="9" t="s">
        <v>867</v>
      </c>
      <c r="G18" s="19" t="s">
        <v>215</v>
      </c>
      <c r="H18" s="19" t="s">
        <v>868</v>
      </c>
    </row>
    <row r="19" customFormat="false" ht="15" hidden="false" customHeight="false" outlineLevel="0" collapsed="false">
      <c r="B19" s="9" t="s">
        <v>68</v>
      </c>
      <c r="C19" s="5" t="s">
        <v>36</v>
      </c>
      <c r="D19" s="5" t="s">
        <v>866</v>
      </c>
      <c r="E19" s="5" t="s">
        <v>853</v>
      </c>
      <c r="F19" s="9" t="s">
        <v>869</v>
      </c>
      <c r="G19" s="19" t="s">
        <v>217</v>
      </c>
      <c r="H19" s="19" t="s">
        <v>870</v>
      </c>
    </row>
    <row r="20" customFormat="false" ht="15" hidden="false" customHeight="false" outlineLevel="0" collapsed="false">
      <c r="B20" s="9" t="s">
        <v>68</v>
      </c>
      <c r="C20" s="5" t="s">
        <v>36</v>
      </c>
      <c r="D20" s="5" t="s">
        <v>871</v>
      </c>
      <c r="E20" s="5" t="s">
        <v>836</v>
      </c>
      <c r="F20" s="9" t="s">
        <v>872</v>
      </c>
      <c r="G20" s="19" t="s">
        <v>219</v>
      </c>
      <c r="H20" s="19" t="s">
        <v>873</v>
      </c>
    </row>
    <row r="21" customFormat="false" ht="15" hidden="false" customHeight="false" outlineLevel="0" collapsed="false">
      <c r="B21" s="9" t="s">
        <v>68</v>
      </c>
      <c r="C21" s="5" t="s">
        <v>36</v>
      </c>
      <c r="D21" s="5" t="s">
        <v>874</v>
      </c>
      <c r="E21" s="5" t="s">
        <v>836</v>
      </c>
      <c r="F21" s="9" t="s">
        <v>875</v>
      </c>
      <c r="G21" s="19" t="s">
        <v>221</v>
      </c>
      <c r="H21" s="19" t="s">
        <v>876</v>
      </c>
    </row>
    <row r="22" customFormat="false" ht="15" hidden="false" customHeight="false" outlineLevel="0" collapsed="false">
      <c r="B22" s="9" t="s">
        <v>68</v>
      </c>
      <c r="C22" s="5" t="s">
        <v>36</v>
      </c>
      <c r="D22" s="5" t="s">
        <v>877</v>
      </c>
      <c r="E22" s="5" t="s">
        <v>853</v>
      </c>
      <c r="F22" s="9" t="s">
        <v>878</v>
      </c>
      <c r="G22" s="19" t="s">
        <v>224</v>
      </c>
      <c r="H22" s="19" t="s">
        <v>879</v>
      </c>
    </row>
    <row r="23" customFormat="false" ht="15" hidden="false" customHeight="false" outlineLevel="0" collapsed="false">
      <c r="B23" s="9" t="s">
        <v>68</v>
      </c>
      <c r="C23" s="5" t="s">
        <v>36</v>
      </c>
      <c r="D23" s="5" t="s">
        <v>880</v>
      </c>
      <c r="E23" s="5" t="s">
        <v>836</v>
      </c>
      <c r="F23" s="9" t="s">
        <v>881</v>
      </c>
      <c r="G23" s="19" t="s">
        <v>226</v>
      </c>
      <c r="H23" s="19" t="s">
        <v>882</v>
      </c>
    </row>
    <row r="24" customFormat="false" ht="15" hidden="false" customHeight="false" outlineLevel="0" collapsed="false">
      <c r="B24" s="9" t="s">
        <v>68</v>
      </c>
      <c r="C24" s="5" t="s">
        <v>36</v>
      </c>
      <c r="D24" s="5" t="s">
        <v>883</v>
      </c>
      <c r="E24" s="5" t="s">
        <v>836</v>
      </c>
      <c r="F24" s="9" t="s">
        <v>884</v>
      </c>
      <c r="G24" s="19" t="s">
        <v>228</v>
      </c>
      <c r="H24" s="19" t="s">
        <v>885</v>
      </c>
    </row>
    <row r="25" customFormat="false" ht="15" hidden="false" customHeight="false" outlineLevel="0" collapsed="false">
      <c r="B25" s="9" t="s">
        <v>68</v>
      </c>
      <c r="C25" s="5" t="s">
        <v>36</v>
      </c>
      <c r="D25" s="5" t="s">
        <v>886</v>
      </c>
      <c r="E25" s="5" t="s">
        <v>836</v>
      </c>
      <c r="F25" s="9" t="s">
        <v>887</v>
      </c>
      <c r="G25" s="19" t="s">
        <v>230</v>
      </c>
      <c r="H25" s="19" t="s">
        <v>888</v>
      </c>
    </row>
    <row r="26" customFormat="false" ht="15" hidden="false" customHeight="false" outlineLevel="0" collapsed="false">
      <c r="B26" s="9" t="s">
        <v>68</v>
      </c>
      <c r="C26" s="5" t="s">
        <v>195</v>
      </c>
      <c r="D26" s="5" t="s">
        <v>179</v>
      </c>
      <c r="E26" s="5" t="s">
        <v>836</v>
      </c>
      <c r="F26" s="9" t="s">
        <v>837</v>
      </c>
      <c r="G26" s="19" t="s">
        <v>233</v>
      </c>
      <c r="H26" s="19" t="s">
        <v>197</v>
      </c>
    </row>
    <row r="27" customFormat="false" ht="15" hidden="false" customHeight="false" outlineLevel="0" collapsed="false">
      <c r="B27" s="9" t="s">
        <v>68</v>
      </c>
      <c r="C27" s="5" t="s">
        <v>195</v>
      </c>
      <c r="D27" s="5" t="s">
        <v>179</v>
      </c>
      <c r="E27" s="5" t="s">
        <v>836</v>
      </c>
      <c r="F27" s="9" t="s">
        <v>838</v>
      </c>
      <c r="G27" s="19" t="s">
        <v>236</v>
      </c>
      <c r="H27" s="19" t="s">
        <v>199</v>
      </c>
    </row>
    <row r="28" customFormat="false" ht="15" hidden="false" customHeight="false" outlineLevel="0" collapsed="false">
      <c r="B28" s="9" t="s">
        <v>68</v>
      </c>
      <c r="C28" s="5" t="s">
        <v>195</v>
      </c>
      <c r="D28" s="5" t="s">
        <v>179</v>
      </c>
      <c r="E28" s="5" t="s">
        <v>836</v>
      </c>
      <c r="F28" s="9" t="s">
        <v>839</v>
      </c>
      <c r="G28" s="19" t="s">
        <v>238</v>
      </c>
      <c r="H28" s="19" t="s">
        <v>201</v>
      </c>
    </row>
    <row r="29" customFormat="false" ht="15" hidden="false" customHeight="false" outlineLevel="0" collapsed="false">
      <c r="B29" s="9" t="s">
        <v>68</v>
      </c>
      <c r="C29" s="5" t="s">
        <v>195</v>
      </c>
      <c r="D29" s="5" t="s">
        <v>179</v>
      </c>
      <c r="E29" s="5" t="s">
        <v>840</v>
      </c>
      <c r="F29" s="9" t="s">
        <v>841</v>
      </c>
      <c r="G29" s="19" t="s">
        <v>240</v>
      </c>
      <c r="H29" s="19" t="s">
        <v>203</v>
      </c>
    </row>
    <row r="30" customFormat="false" ht="15" hidden="false" customHeight="false" outlineLevel="0" collapsed="false">
      <c r="B30" s="9" t="s">
        <v>68</v>
      </c>
      <c r="C30" s="5" t="s">
        <v>195</v>
      </c>
      <c r="D30" s="5" t="s">
        <v>232</v>
      </c>
      <c r="E30" s="5" t="s">
        <v>840</v>
      </c>
      <c r="F30" s="9" t="s">
        <v>842</v>
      </c>
      <c r="G30" s="19" t="s">
        <v>242</v>
      </c>
      <c r="H30" s="19" t="s">
        <v>205</v>
      </c>
    </row>
    <row r="31" customFormat="false" ht="15" hidden="false" customHeight="false" outlineLevel="0" collapsed="false">
      <c r="B31" s="9" t="s">
        <v>68</v>
      </c>
      <c r="C31" s="5" t="s">
        <v>195</v>
      </c>
      <c r="D31" s="5" t="s">
        <v>192</v>
      </c>
      <c r="E31" s="5" t="s">
        <v>836</v>
      </c>
      <c r="F31" s="9" t="s">
        <v>843</v>
      </c>
      <c r="G31" s="19" t="s">
        <v>245</v>
      </c>
      <c r="H31" s="19" t="s">
        <v>207</v>
      </c>
    </row>
    <row r="32" customFormat="false" ht="15" hidden="false" customHeight="false" outlineLevel="0" collapsed="false">
      <c r="B32" s="9" t="s">
        <v>68</v>
      </c>
      <c r="C32" s="5" t="s">
        <v>195</v>
      </c>
      <c r="D32" s="5" t="s">
        <v>192</v>
      </c>
      <c r="E32" s="5" t="s">
        <v>836</v>
      </c>
      <c r="F32" s="9" t="s">
        <v>844</v>
      </c>
      <c r="G32" s="19" t="s">
        <v>247</v>
      </c>
      <c r="H32" s="19" t="s">
        <v>209</v>
      </c>
    </row>
    <row r="33" customFormat="false" ht="15" hidden="false" customHeight="false" outlineLevel="0" collapsed="false">
      <c r="B33" s="9" t="s">
        <v>68</v>
      </c>
      <c r="C33" s="5" t="s">
        <v>195</v>
      </c>
      <c r="D33" s="5" t="s">
        <v>235</v>
      </c>
      <c r="E33" s="5" t="s">
        <v>836</v>
      </c>
      <c r="F33" s="9" t="s">
        <v>846</v>
      </c>
      <c r="G33" s="19" t="s">
        <v>249</v>
      </c>
      <c r="H33" s="19" t="s">
        <v>889</v>
      </c>
    </row>
    <row r="34" customFormat="false" ht="15" hidden="false" customHeight="false" outlineLevel="0" collapsed="false">
      <c r="B34" s="9" t="s">
        <v>68</v>
      </c>
      <c r="C34" s="5" t="s">
        <v>195</v>
      </c>
      <c r="D34" s="5" t="s">
        <v>365</v>
      </c>
      <c r="E34" s="5" t="s">
        <v>836</v>
      </c>
      <c r="F34" s="9" t="s">
        <v>848</v>
      </c>
      <c r="G34" s="19" t="s">
        <v>251</v>
      </c>
      <c r="H34" s="19" t="s">
        <v>890</v>
      </c>
    </row>
    <row r="35" customFormat="false" ht="15" hidden="false" customHeight="false" outlineLevel="0" collapsed="false">
      <c r="B35" s="9" t="s">
        <v>68</v>
      </c>
      <c r="C35" s="5" t="s">
        <v>195</v>
      </c>
      <c r="D35" s="5" t="s">
        <v>850</v>
      </c>
      <c r="E35" s="5" t="s">
        <v>836</v>
      </c>
      <c r="F35" s="9" t="s">
        <v>851</v>
      </c>
      <c r="G35" s="19" t="s">
        <v>253</v>
      </c>
      <c r="H35" s="19" t="s">
        <v>891</v>
      </c>
    </row>
    <row r="36" customFormat="false" ht="15" hidden="false" customHeight="false" outlineLevel="0" collapsed="false">
      <c r="B36" s="9" t="s">
        <v>68</v>
      </c>
      <c r="C36" s="5" t="s">
        <v>195</v>
      </c>
      <c r="D36" s="5" t="s">
        <v>850</v>
      </c>
      <c r="E36" s="5" t="s">
        <v>853</v>
      </c>
      <c r="F36" s="9" t="s">
        <v>854</v>
      </c>
      <c r="G36" s="19" t="s">
        <v>255</v>
      </c>
      <c r="H36" s="19" t="s">
        <v>892</v>
      </c>
    </row>
    <row r="37" customFormat="false" ht="15" hidden="false" customHeight="false" outlineLevel="0" collapsed="false">
      <c r="B37" s="9" t="s">
        <v>68</v>
      </c>
      <c r="C37" s="5" t="s">
        <v>195</v>
      </c>
      <c r="D37" s="5" t="s">
        <v>270</v>
      </c>
      <c r="E37" s="5" t="s">
        <v>836</v>
      </c>
      <c r="F37" s="9" t="s">
        <v>856</v>
      </c>
      <c r="G37" s="19" t="s">
        <v>258</v>
      </c>
      <c r="H37" s="19" t="s">
        <v>893</v>
      </c>
    </row>
    <row r="38" customFormat="false" ht="15" hidden="false" customHeight="false" outlineLevel="0" collapsed="false">
      <c r="B38" s="9" t="s">
        <v>68</v>
      </c>
      <c r="C38" s="5" t="s">
        <v>195</v>
      </c>
      <c r="D38" s="5" t="s">
        <v>270</v>
      </c>
      <c r="E38" s="5" t="s">
        <v>836</v>
      </c>
      <c r="F38" s="9" t="s">
        <v>858</v>
      </c>
      <c r="G38" s="19" t="s">
        <v>260</v>
      </c>
      <c r="H38" s="19" t="s">
        <v>894</v>
      </c>
    </row>
    <row r="39" customFormat="false" ht="15" hidden="false" customHeight="false" outlineLevel="0" collapsed="false">
      <c r="B39" s="9" t="s">
        <v>68</v>
      </c>
      <c r="C39" s="5" t="s">
        <v>195</v>
      </c>
      <c r="D39" s="5" t="s">
        <v>860</v>
      </c>
      <c r="E39" s="5" t="s">
        <v>836</v>
      </c>
      <c r="F39" s="9" t="s">
        <v>861</v>
      </c>
      <c r="G39" s="19" t="s">
        <v>262</v>
      </c>
      <c r="H39" s="19" t="s">
        <v>895</v>
      </c>
    </row>
    <row r="40" customFormat="false" ht="15" hidden="false" customHeight="false" outlineLevel="0" collapsed="false">
      <c r="B40" s="9" t="s">
        <v>68</v>
      </c>
      <c r="C40" s="5" t="s">
        <v>195</v>
      </c>
      <c r="D40" s="5" t="s">
        <v>863</v>
      </c>
      <c r="E40" s="5" t="s">
        <v>836</v>
      </c>
      <c r="F40" s="9" t="s">
        <v>864</v>
      </c>
      <c r="G40" s="19" t="s">
        <v>264</v>
      </c>
      <c r="H40" s="19" t="s">
        <v>896</v>
      </c>
    </row>
    <row r="41" customFormat="false" ht="15" hidden="false" customHeight="false" outlineLevel="0" collapsed="false">
      <c r="B41" s="9" t="s">
        <v>68</v>
      </c>
      <c r="C41" s="5" t="s">
        <v>195</v>
      </c>
      <c r="D41" s="5" t="s">
        <v>866</v>
      </c>
      <c r="E41" s="5" t="s">
        <v>836</v>
      </c>
      <c r="F41" s="9" t="s">
        <v>867</v>
      </c>
      <c r="G41" s="19" t="s">
        <v>266</v>
      </c>
      <c r="H41" s="19" t="s">
        <v>897</v>
      </c>
    </row>
    <row r="42" customFormat="false" ht="15" hidden="false" customHeight="false" outlineLevel="0" collapsed="false">
      <c r="B42" s="9" t="s">
        <v>68</v>
      </c>
      <c r="C42" s="5" t="s">
        <v>195</v>
      </c>
      <c r="D42" s="5" t="s">
        <v>866</v>
      </c>
      <c r="E42" s="5" t="s">
        <v>853</v>
      </c>
      <c r="F42" s="9" t="s">
        <v>869</v>
      </c>
      <c r="G42" s="19" t="s">
        <v>268</v>
      </c>
      <c r="H42" s="19" t="s">
        <v>898</v>
      </c>
    </row>
    <row r="43" customFormat="false" ht="15" hidden="false" customHeight="false" outlineLevel="0" collapsed="false">
      <c r="B43" s="9" t="s">
        <v>68</v>
      </c>
      <c r="C43" s="5" t="s">
        <v>195</v>
      </c>
      <c r="D43" s="5" t="s">
        <v>871</v>
      </c>
      <c r="E43" s="5" t="s">
        <v>836</v>
      </c>
      <c r="F43" s="9" t="s">
        <v>872</v>
      </c>
      <c r="G43" s="19" t="s">
        <v>271</v>
      </c>
      <c r="H43" s="19" t="s">
        <v>899</v>
      </c>
    </row>
    <row r="44" customFormat="false" ht="15" hidden="false" customHeight="false" outlineLevel="0" collapsed="false">
      <c r="B44" s="9" t="s">
        <v>68</v>
      </c>
      <c r="C44" s="5" t="s">
        <v>195</v>
      </c>
      <c r="D44" s="5" t="s">
        <v>874</v>
      </c>
      <c r="E44" s="5" t="s">
        <v>836</v>
      </c>
      <c r="F44" s="9" t="s">
        <v>875</v>
      </c>
      <c r="G44" s="19" t="s">
        <v>273</v>
      </c>
      <c r="H44" s="19" t="s">
        <v>900</v>
      </c>
    </row>
    <row r="45" customFormat="false" ht="15" hidden="false" customHeight="false" outlineLevel="0" collapsed="false">
      <c r="B45" s="9" t="s">
        <v>68</v>
      </c>
      <c r="C45" s="5" t="s">
        <v>195</v>
      </c>
      <c r="D45" s="5" t="s">
        <v>877</v>
      </c>
      <c r="E45" s="5" t="s">
        <v>853</v>
      </c>
      <c r="F45" s="9" t="s">
        <v>878</v>
      </c>
      <c r="G45" s="19" t="s">
        <v>275</v>
      </c>
      <c r="H45" s="19" t="s">
        <v>901</v>
      </c>
    </row>
    <row r="46" customFormat="false" ht="15" hidden="false" customHeight="false" outlineLevel="0" collapsed="false">
      <c r="B46" s="9" t="s">
        <v>68</v>
      </c>
      <c r="C46" s="5" t="s">
        <v>195</v>
      </c>
      <c r="D46" s="5" t="s">
        <v>880</v>
      </c>
      <c r="E46" s="5" t="s">
        <v>836</v>
      </c>
      <c r="F46" s="9" t="s">
        <v>881</v>
      </c>
      <c r="G46" s="19" t="s">
        <v>277</v>
      </c>
      <c r="H46" s="19" t="s">
        <v>902</v>
      </c>
    </row>
    <row r="47" customFormat="false" ht="15" hidden="false" customHeight="false" outlineLevel="0" collapsed="false">
      <c r="B47" s="9" t="s">
        <v>68</v>
      </c>
      <c r="C47" s="5" t="s">
        <v>195</v>
      </c>
      <c r="D47" s="5" t="s">
        <v>883</v>
      </c>
      <c r="E47" s="5" t="s">
        <v>836</v>
      </c>
      <c r="F47" s="9" t="s">
        <v>884</v>
      </c>
      <c r="G47" s="19" t="s">
        <v>903</v>
      </c>
      <c r="H47" s="19" t="s">
        <v>904</v>
      </c>
    </row>
    <row r="48" customFormat="false" ht="15" hidden="false" customHeight="false" outlineLevel="0" collapsed="false">
      <c r="B48" s="9" t="s">
        <v>68</v>
      </c>
      <c r="C48" s="5" t="s">
        <v>195</v>
      </c>
      <c r="D48" s="5" t="s">
        <v>886</v>
      </c>
      <c r="E48" s="5" t="s">
        <v>836</v>
      </c>
      <c r="F48" s="9" t="s">
        <v>887</v>
      </c>
      <c r="G48" s="19" t="s">
        <v>905</v>
      </c>
      <c r="H48" s="19" t="s">
        <v>906</v>
      </c>
    </row>
    <row r="49" customFormat="false" ht="15" hidden="false" customHeight="false" outlineLevel="0" collapsed="false">
      <c r="B49" s="9" t="s">
        <v>68</v>
      </c>
      <c r="C49" s="5" t="s">
        <v>210</v>
      </c>
      <c r="D49" s="5" t="s">
        <v>179</v>
      </c>
      <c r="E49" s="5" t="s">
        <v>836</v>
      </c>
      <c r="F49" s="9" t="s">
        <v>837</v>
      </c>
      <c r="G49" s="19" t="s">
        <v>907</v>
      </c>
      <c r="H49" s="19" t="s">
        <v>212</v>
      </c>
    </row>
    <row r="50" customFormat="false" ht="15" hidden="false" customHeight="false" outlineLevel="0" collapsed="false">
      <c r="B50" s="9" t="s">
        <v>68</v>
      </c>
      <c r="C50" s="5" t="s">
        <v>210</v>
      </c>
      <c r="D50" s="5" t="s">
        <v>179</v>
      </c>
      <c r="E50" s="5" t="s">
        <v>836</v>
      </c>
      <c r="F50" s="9" t="s">
        <v>838</v>
      </c>
      <c r="G50" s="19" t="s">
        <v>908</v>
      </c>
      <c r="H50" s="19" t="s">
        <v>214</v>
      </c>
    </row>
    <row r="51" customFormat="false" ht="15" hidden="false" customHeight="false" outlineLevel="0" collapsed="false">
      <c r="B51" s="9" t="s">
        <v>68</v>
      </c>
      <c r="C51" s="5" t="s">
        <v>210</v>
      </c>
      <c r="D51" s="5" t="s">
        <v>179</v>
      </c>
      <c r="E51" s="5" t="s">
        <v>836</v>
      </c>
      <c r="F51" s="9" t="s">
        <v>839</v>
      </c>
      <c r="G51" s="19" t="s">
        <v>909</v>
      </c>
      <c r="H51" s="19" t="s">
        <v>216</v>
      </c>
    </row>
    <row r="52" customFormat="false" ht="15" hidden="false" customHeight="false" outlineLevel="0" collapsed="false">
      <c r="B52" s="9" t="s">
        <v>68</v>
      </c>
      <c r="C52" s="5" t="s">
        <v>210</v>
      </c>
      <c r="D52" s="5" t="s">
        <v>179</v>
      </c>
      <c r="E52" s="5" t="s">
        <v>840</v>
      </c>
      <c r="F52" s="9" t="s">
        <v>841</v>
      </c>
      <c r="G52" s="19" t="s">
        <v>910</v>
      </c>
      <c r="H52" s="19" t="s">
        <v>218</v>
      </c>
    </row>
    <row r="53" customFormat="false" ht="15" hidden="false" customHeight="false" outlineLevel="0" collapsed="false">
      <c r="B53" s="9" t="s">
        <v>68</v>
      </c>
      <c r="C53" s="5" t="s">
        <v>210</v>
      </c>
      <c r="D53" s="5" t="s">
        <v>232</v>
      </c>
      <c r="E53" s="5" t="s">
        <v>840</v>
      </c>
      <c r="F53" s="9" t="s">
        <v>842</v>
      </c>
      <c r="G53" s="19" t="s">
        <v>911</v>
      </c>
      <c r="H53" s="19" t="s">
        <v>220</v>
      </c>
    </row>
    <row r="54" customFormat="false" ht="15" hidden="false" customHeight="false" outlineLevel="0" collapsed="false">
      <c r="B54" s="9" t="s">
        <v>68</v>
      </c>
      <c r="C54" s="5" t="s">
        <v>210</v>
      </c>
      <c r="D54" s="5" t="s">
        <v>192</v>
      </c>
      <c r="E54" s="5" t="s">
        <v>836</v>
      </c>
      <c r="F54" s="9" t="s">
        <v>843</v>
      </c>
      <c r="G54" s="19" t="s">
        <v>912</v>
      </c>
      <c r="H54" s="19" t="s">
        <v>222</v>
      </c>
    </row>
    <row r="55" customFormat="false" ht="15" hidden="false" customHeight="false" outlineLevel="0" collapsed="false">
      <c r="B55" s="9" t="s">
        <v>68</v>
      </c>
      <c r="C55" s="5" t="s">
        <v>210</v>
      </c>
      <c r="D55" s="5" t="s">
        <v>192</v>
      </c>
      <c r="E55" s="5" t="s">
        <v>836</v>
      </c>
      <c r="F55" s="9" t="s">
        <v>844</v>
      </c>
      <c r="G55" s="19" t="s">
        <v>913</v>
      </c>
      <c r="H55" s="19" t="s">
        <v>914</v>
      </c>
    </row>
    <row r="56" customFormat="false" ht="15" hidden="false" customHeight="false" outlineLevel="0" collapsed="false">
      <c r="B56" s="9" t="s">
        <v>68</v>
      </c>
      <c r="C56" s="5" t="s">
        <v>210</v>
      </c>
      <c r="D56" s="5" t="s">
        <v>235</v>
      </c>
      <c r="E56" s="5" t="s">
        <v>836</v>
      </c>
      <c r="F56" s="9" t="s">
        <v>846</v>
      </c>
      <c r="G56" s="19" t="s">
        <v>915</v>
      </c>
      <c r="H56" s="19" t="s">
        <v>916</v>
      </c>
    </row>
    <row r="57" customFormat="false" ht="15" hidden="false" customHeight="false" outlineLevel="0" collapsed="false">
      <c r="B57" s="9" t="s">
        <v>68</v>
      </c>
      <c r="C57" s="5" t="s">
        <v>210</v>
      </c>
      <c r="D57" s="5" t="s">
        <v>365</v>
      </c>
      <c r="E57" s="5" t="s">
        <v>836</v>
      </c>
      <c r="F57" s="9" t="s">
        <v>848</v>
      </c>
      <c r="G57" s="19" t="s">
        <v>917</v>
      </c>
      <c r="H57" s="19" t="s">
        <v>918</v>
      </c>
    </row>
    <row r="58" customFormat="false" ht="15" hidden="false" customHeight="false" outlineLevel="0" collapsed="false">
      <c r="B58" s="9" t="s">
        <v>68</v>
      </c>
      <c r="C58" s="5" t="s">
        <v>210</v>
      </c>
      <c r="D58" s="5" t="s">
        <v>850</v>
      </c>
      <c r="E58" s="5" t="s">
        <v>836</v>
      </c>
      <c r="F58" s="9" t="s">
        <v>851</v>
      </c>
      <c r="G58" s="19" t="s">
        <v>919</v>
      </c>
      <c r="H58" s="19" t="s">
        <v>920</v>
      </c>
    </row>
    <row r="59" customFormat="false" ht="15" hidden="false" customHeight="false" outlineLevel="0" collapsed="false">
      <c r="B59" s="9" t="s">
        <v>68</v>
      </c>
      <c r="C59" s="5" t="s">
        <v>210</v>
      </c>
      <c r="D59" s="5" t="s">
        <v>850</v>
      </c>
      <c r="E59" s="5" t="s">
        <v>853</v>
      </c>
      <c r="F59" s="9" t="s">
        <v>854</v>
      </c>
      <c r="G59" s="19" t="s">
        <v>921</v>
      </c>
      <c r="H59" s="19" t="s">
        <v>922</v>
      </c>
    </row>
    <row r="60" customFormat="false" ht="15" hidden="false" customHeight="false" outlineLevel="0" collapsed="false">
      <c r="B60" s="9" t="s">
        <v>68</v>
      </c>
      <c r="C60" s="5" t="s">
        <v>210</v>
      </c>
      <c r="D60" s="5" t="s">
        <v>270</v>
      </c>
      <c r="E60" s="5" t="s">
        <v>836</v>
      </c>
      <c r="F60" s="9" t="s">
        <v>856</v>
      </c>
      <c r="G60" s="19" t="s">
        <v>923</v>
      </c>
      <c r="H60" s="19" t="s">
        <v>924</v>
      </c>
    </row>
    <row r="61" customFormat="false" ht="15" hidden="false" customHeight="false" outlineLevel="0" collapsed="false">
      <c r="B61" s="9" t="s">
        <v>68</v>
      </c>
      <c r="C61" s="5" t="s">
        <v>210</v>
      </c>
      <c r="D61" s="5" t="s">
        <v>270</v>
      </c>
      <c r="E61" s="5" t="s">
        <v>836</v>
      </c>
      <c r="F61" s="9" t="s">
        <v>858</v>
      </c>
      <c r="G61" s="19" t="s">
        <v>925</v>
      </c>
      <c r="H61" s="19" t="s">
        <v>926</v>
      </c>
    </row>
    <row r="62" customFormat="false" ht="15" hidden="false" customHeight="false" outlineLevel="0" collapsed="false">
      <c r="B62" s="9" t="s">
        <v>68</v>
      </c>
      <c r="C62" s="5" t="s">
        <v>210</v>
      </c>
      <c r="D62" s="5" t="s">
        <v>860</v>
      </c>
      <c r="E62" s="5" t="s">
        <v>836</v>
      </c>
      <c r="F62" s="9" t="s">
        <v>861</v>
      </c>
      <c r="G62" s="19" t="s">
        <v>927</v>
      </c>
      <c r="H62" s="19" t="s">
        <v>928</v>
      </c>
    </row>
    <row r="63" customFormat="false" ht="15" hidden="false" customHeight="false" outlineLevel="0" collapsed="false">
      <c r="B63" s="9" t="s">
        <v>68</v>
      </c>
      <c r="C63" s="5" t="s">
        <v>210</v>
      </c>
      <c r="D63" s="5" t="s">
        <v>863</v>
      </c>
      <c r="E63" s="5" t="s">
        <v>836</v>
      </c>
      <c r="F63" s="9" t="s">
        <v>864</v>
      </c>
      <c r="G63" s="19" t="s">
        <v>929</v>
      </c>
      <c r="H63" s="19" t="s">
        <v>930</v>
      </c>
    </row>
    <row r="64" customFormat="false" ht="15" hidden="false" customHeight="false" outlineLevel="0" collapsed="false">
      <c r="B64" s="9" t="s">
        <v>68</v>
      </c>
      <c r="C64" s="5" t="s">
        <v>210</v>
      </c>
      <c r="D64" s="5" t="s">
        <v>866</v>
      </c>
      <c r="E64" s="5" t="s">
        <v>836</v>
      </c>
      <c r="F64" s="9" t="s">
        <v>867</v>
      </c>
      <c r="G64" s="19" t="s">
        <v>931</v>
      </c>
      <c r="H64" s="19" t="s">
        <v>932</v>
      </c>
    </row>
    <row r="65" customFormat="false" ht="15" hidden="false" customHeight="false" outlineLevel="0" collapsed="false">
      <c r="B65" s="9" t="s">
        <v>68</v>
      </c>
      <c r="C65" s="5" t="s">
        <v>210</v>
      </c>
      <c r="D65" s="5" t="s">
        <v>866</v>
      </c>
      <c r="E65" s="5" t="s">
        <v>853</v>
      </c>
      <c r="F65" s="9" t="s">
        <v>869</v>
      </c>
      <c r="G65" s="19" t="s">
        <v>933</v>
      </c>
      <c r="H65" s="19" t="s">
        <v>934</v>
      </c>
    </row>
    <row r="66" customFormat="false" ht="15" hidden="false" customHeight="false" outlineLevel="0" collapsed="false">
      <c r="B66" s="9" t="s">
        <v>68</v>
      </c>
      <c r="C66" s="5" t="s">
        <v>210</v>
      </c>
      <c r="D66" s="5" t="s">
        <v>871</v>
      </c>
      <c r="E66" s="5" t="s">
        <v>836</v>
      </c>
      <c r="F66" s="9" t="s">
        <v>872</v>
      </c>
      <c r="G66" s="19" t="s">
        <v>935</v>
      </c>
      <c r="H66" s="19" t="s">
        <v>936</v>
      </c>
    </row>
    <row r="67" customFormat="false" ht="15" hidden="false" customHeight="false" outlineLevel="0" collapsed="false">
      <c r="B67" s="9" t="s">
        <v>68</v>
      </c>
      <c r="C67" s="5" t="s">
        <v>210</v>
      </c>
      <c r="D67" s="5" t="s">
        <v>874</v>
      </c>
      <c r="E67" s="5" t="s">
        <v>836</v>
      </c>
      <c r="F67" s="9" t="s">
        <v>875</v>
      </c>
      <c r="G67" s="19" t="s">
        <v>937</v>
      </c>
      <c r="H67" s="19" t="s">
        <v>938</v>
      </c>
    </row>
    <row r="68" customFormat="false" ht="15" hidden="false" customHeight="false" outlineLevel="0" collapsed="false">
      <c r="B68" s="9" t="s">
        <v>68</v>
      </c>
      <c r="C68" s="5" t="s">
        <v>210</v>
      </c>
      <c r="D68" s="5" t="s">
        <v>877</v>
      </c>
      <c r="E68" s="5" t="s">
        <v>853</v>
      </c>
      <c r="F68" s="9" t="s">
        <v>878</v>
      </c>
      <c r="G68" s="19" t="s">
        <v>939</v>
      </c>
      <c r="H68" s="19" t="s">
        <v>940</v>
      </c>
    </row>
    <row r="69" customFormat="false" ht="15" hidden="false" customHeight="false" outlineLevel="0" collapsed="false">
      <c r="B69" s="9" t="s">
        <v>68</v>
      </c>
      <c r="C69" s="5" t="s">
        <v>210</v>
      </c>
      <c r="D69" s="5" t="s">
        <v>880</v>
      </c>
      <c r="E69" s="5" t="s">
        <v>836</v>
      </c>
      <c r="F69" s="9" t="s">
        <v>881</v>
      </c>
      <c r="G69" s="19" t="s">
        <v>941</v>
      </c>
      <c r="H69" s="19" t="s">
        <v>942</v>
      </c>
    </row>
    <row r="70" customFormat="false" ht="15" hidden="false" customHeight="false" outlineLevel="0" collapsed="false">
      <c r="B70" s="9" t="s">
        <v>68</v>
      </c>
      <c r="C70" s="5" t="s">
        <v>210</v>
      </c>
      <c r="D70" s="5" t="s">
        <v>883</v>
      </c>
      <c r="E70" s="5" t="s">
        <v>836</v>
      </c>
      <c r="F70" s="9" t="s">
        <v>884</v>
      </c>
      <c r="G70" s="19" t="s">
        <v>943</v>
      </c>
      <c r="H70" s="19" t="s">
        <v>944</v>
      </c>
    </row>
    <row r="71" customFormat="false" ht="15" hidden="false" customHeight="false" outlineLevel="0" collapsed="false">
      <c r="B71" s="9" t="s">
        <v>68</v>
      </c>
      <c r="C71" s="5" t="s">
        <v>210</v>
      </c>
      <c r="D71" s="5" t="s">
        <v>886</v>
      </c>
      <c r="E71" s="5" t="s">
        <v>836</v>
      </c>
      <c r="F71" s="9" t="s">
        <v>887</v>
      </c>
      <c r="G71" s="19" t="s">
        <v>945</v>
      </c>
      <c r="H71" s="19" t="s">
        <v>946</v>
      </c>
    </row>
    <row r="72" customFormat="false" ht="15" hidden="false" customHeight="false" outlineLevel="0" collapsed="false">
      <c r="B72" s="9" t="s">
        <v>68</v>
      </c>
      <c r="C72" s="5" t="s">
        <v>223</v>
      </c>
      <c r="D72" s="5" t="s">
        <v>179</v>
      </c>
      <c r="E72" s="5" t="s">
        <v>836</v>
      </c>
      <c r="F72" s="9" t="s">
        <v>837</v>
      </c>
      <c r="G72" s="19" t="s">
        <v>947</v>
      </c>
      <c r="H72" s="19" t="s">
        <v>225</v>
      </c>
    </row>
    <row r="73" customFormat="false" ht="15" hidden="false" customHeight="false" outlineLevel="0" collapsed="false">
      <c r="B73" s="9" t="s">
        <v>68</v>
      </c>
      <c r="C73" s="5" t="s">
        <v>223</v>
      </c>
      <c r="D73" s="5" t="s">
        <v>179</v>
      </c>
      <c r="E73" s="5" t="s">
        <v>836</v>
      </c>
      <c r="F73" s="9" t="s">
        <v>838</v>
      </c>
      <c r="G73" s="19" t="s">
        <v>948</v>
      </c>
      <c r="H73" s="19" t="s">
        <v>227</v>
      </c>
    </row>
    <row r="74" customFormat="false" ht="15" hidden="false" customHeight="false" outlineLevel="0" collapsed="false">
      <c r="B74" s="9" t="s">
        <v>68</v>
      </c>
      <c r="C74" s="5" t="s">
        <v>223</v>
      </c>
      <c r="D74" s="5" t="s">
        <v>179</v>
      </c>
      <c r="E74" s="5" t="s">
        <v>836</v>
      </c>
      <c r="F74" s="9" t="s">
        <v>839</v>
      </c>
      <c r="G74" s="19" t="s">
        <v>949</v>
      </c>
      <c r="H74" s="19" t="s">
        <v>229</v>
      </c>
    </row>
    <row r="75" customFormat="false" ht="15" hidden="false" customHeight="false" outlineLevel="0" collapsed="false">
      <c r="B75" s="9" t="s">
        <v>68</v>
      </c>
      <c r="C75" s="5" t="s">
        <v>223</v>
      </c>
      <c r="D75" s="5" t="s">
        <v>179</v>
      </c>
      <c r="E75" s="5" t="s">
        <v>840</v>
      </c>
      <c r="F75" s="9" t="s">
        <v>841</v>
      </c>
      <c r="G75" s="19" t="s">
        <v>950</v>
      </c>
      <c r="H75" s="19" t="s">
        <v>231</v>
      </c>
    </row>
    <row r="76" customFormat="false" ht="15" hidden="false" customHeight="false" outlineLevel="0" collapsed="false">
      <c r="B76" s="9" t="s">
        <v>68</v>
      </c>
      <c r="C76" s="5" t="s">
        <v>223</v>
      </c>
      <c r="D76" s="5" t="s">
        <v>192</v>
      </c>
      <c r="E76" s="5" t="s">
        <v>836</v>
      </c>
      <c r="F76" s="9" t="s">
        <v>843</v>
      </c>
      <c r="G76" s="19" t="s">
        <v>951</v>
      </c>
      <c r="H76" s="19" t="s">
        <v>234</v>
      </c>
    </row>
    <row r="77" customFormat="false" ht="15" hidden="false" customHeight="false" outlineLevel="0" collapsed="false">
      <c r="B77" s="9" t="s">
        <v>68</v>
      </c>
      <c r="C77" s="5" t="s">
        <v>223</v>
      </c>
      <c r="D77" s="5" t="s">
        <v>192</v>
      </c>
      <c r="E77" s="5" t="s">
        <v>836</v>
      </c>
      <c r="F77" s="9" t="s">
        <v>844</v>
      </c>
      <c r="G77" s="19" t="s">
        <v>952</v>
      </c>
      <c r="H77" s="19" t="s">
        <v>237</v>
      </c>
    </row>
    <row r="78" customFormat="false" ht="15" hidden="false" customHeight="false" outlineLevel="0" collapsed="false">
      <c r="B78" s="9" t="s">
        <v>68</v>
      </c>
      <c r="C78" s="5" t="s">
        <v>223</v>
      </c>
      <c r="D78" s="5" t="s">
        <v>365</v>
      </c>
      <c r="E78" s="5" t="s">
        <v>836</v>
      </c>
      <c r="F78" s="9" t="s">
        <v>848</v>
      </c>
      <c r="G78" s="19" t="s">
        <v>953</v>
      </c>
      <c r="H78" s="19" t="s">
        <v>239</v>
      </c>
    </row>
    <row r="79" customFormat="false" ht="15" hidden="false" customHeight="false" outlineLevel="0" collapsed="false">
      <c r="B79" s="9" t="s">
        <v>68</v>
      </c>
      <c r="C79" s="5" t="s">
        <v>223</v>
      </c>
      <c r="D79" s="5" t="s">
        <v>850</v>
      </c>
      <c r="E79" s="5" t="s">
        <v>836</v>
      </c>
      <c r="F79" s="9" t="s">
        <v>851</v>
      </c>
      <c r="G79" s="19" t="s">
        <v>954</v>
      </c>
      <c r="H79" s="19" t="s">
        <v>241</v>
      </c>
    </row>
    <row r="80" customFormat="false" ht="15" hidden="false" customHeight="false" outlineLevel="0" collapsed="false">
      <c r="B80" s="9" t="s">
        <v>68</v>
      </c>
      <c r="C80" s="5" t="s">
        <v>223</v>
      </c>
      <c r="D80" s="5" t="s">
        <v>850</v>
      </c>
      <c r="E80" s="5" t="s">
        <v>853</v>
      </c>
      <c r="F80" s="9" t="s">
        <v>854</v>
      </c>
      <c r="G80" s="19" t="s">
        <v>955</v>
      </c>
      <c r="H80" s="19" t="s">
        <v>243</v>
      </c>
    </row>
    <row r="81" customFormat="false" ht="15" hidden="false" customHeight="false" outlineLevel="0" collapsed="false">
      <c r="B81" s="9" t="s">
        <v>68</v>
      </c>
      <c r="C81" s="5" t="s">
        <v>223</v>
      </c>
      <c r="D81" s="5" t="s">
        <v>270</v>
      </c>
      <c r="E81" s="5" t="s">
        <v>836</v>
      </c>
      <c r="F81" s="9" t="s">
        <v>856</v>
      </c>
      <c r="G81" s="19" t="s">
        <v>956</v>
      </c>
      <c r="H81" s="19" t="s">
        <v>957</v>
      </c>
    </row>
    <row r="82" customFormat="false" ht="15" hidden="false" customHeight="false" outlineLevel="0" collapsed="false">
      <c r="B82" s="9" t="s">
        <v>68</v>
      </c>
      <c r="C82" s="5" t="s">
        <v>223</v>
      </c>
      <c r="D82" s="5" t="s">
        <v>270</v>
      </c>
      <c r="E82" s="5" t="s">
        <v>836</v>
      </c>
      <c r="F82" s="9" t="s">
        <v>858</v>
      </c>
      <c r="G82" s="19" t="s">
        <v>958</v>
      </c>
      <c r="H82" s="19" t="s">
        <v>959</v>
      </c>
    </row>
    <row r="83" customFormat="false" ht="15" hidden="false" customHeight="false" outlineLevel="0" collapsed="false">
      <c r="B83" s="9" t="s">
        <v>68</v>
      </c>
      <c r="C83" s="5" t="s">
        <v>223</v>
      </c>
      <c r="D83" s="5" t="s">
        <v>860</v>
      </c>
      <c r="E83" s="5" t="s">
        <v>836</v>
      </c>
      <c r="F83" s="9" t="s">
        <v>861</v>
      </c>
      <c r="G83" s="19" t="s">
        <v>960</v>
      </c>
      <c r="H83" s="19" t="s">
        <v>961</v>
      </c>
    </row>
    <row r="84" customFormat="false" ht="15" hidden="false" customHeight="false" outlineLevel="0" collapsed="false">
      <c r="B84" s="9" t="s">
        <v>68</v>
      </c>
      <c r="C84" s="5" t="s">
        <v>223</v>
      </c>
      <c r="D84" s="5" t="s">
        <v>863</v>
      </c>
      <c r="E84" s="5" t="s">
        <v>836</v>
      </c>
      <c r="F84" s="9" t="s">
        <v>864</v>
      </c>
      <c r="G84" s="19" t="s">
        <v>962</v>
      </c>
      <c r="H84" s="19" t="s">
        <v>963</v>
      </c>
    </row>
    <row r="85" customFormat="false" ht="15" hidden="false" customHeight="false" outlineLevel="0" collapsed="false">
      <c r="B85" s="9" t="s">
        <v>68</v>
      </c>
      <c r="C85" s="5" t="s">
        <v>223</v>
      </c>
      <c r="D85" s="5" t="s">
        <v>866</v>
      </c>
      <c r="E85" s="5" t="s">
        <v>836</v>
      </c>
      <c r="F85" s="9" t="s">
        <v>867</v>
      </c>
      <c r="G85" s="19" t="s">
        <v>964</v>
      </c>
      <c r="H85" s="19" t="s">
        <v>965</v>
      </c>
    </row>
    <row r="86" customFormat="false" ht="15" hidden="false" customHeight="false" outlineLevel="0" collapsed="false">
      <c r="B86" s="9" t="s">
        <v>68</v>
      </c>
      <c r="C86" s="5" t="s">
        <v>223</v>
      </c>
      <c r="D86" s="5" t="s">
        <v>866</v>
      </c>
      <c r="E86" s="5" t="s">
        <v>853</v>
      </c>
      <c r="F86" s="9" t="s">
        <v>869</v>
      </c>
      <c r="G86" s="19" t="s">
        <v>966</v>
      </c>
      <c r="H86" s="19" t="s">
        <v>967</v>
      </c>
    </row>
    <row r="87" customFormat="false" ht="15" hidden="false" customHeight="false" outlineLevel="0" collapsed="false">
      <c r="B87" s="9" t="s">
        <v>68</v>
      </c>
      <c r="C87" s="5" t="s">
        <v>223</v>
      </c>
      <c r="D87" s="5" t="s">
        <v>871</v>
      </c>
      <c r="E87" s="5" t="s">
        <v>836</v>
      </c>
      <c r="F87" s="9" t="s">
        <v>872</v>
      </c>
      <c r="G87" s="19" t="s">
        <v>968</v>
      </c>
      <c r="H87" s="19" t="s">
        <v>969</v>
      </c>
    </row>
    <row r="88" customFormat="false" ht="15" hidden="false" customHeight="false" outlineLevel="0" collapsed="false">
      <c r="B88" s="9" t="s">
        <v>68</v>
      </c>
      <c r="C88" s="5" t="s">
        <v>223</v>
      </c>
      <c r="D88" s="5" t="s">
        <v>874</v>
      </c>
      <c r="E88" s="5" t="s">
        <v>836</v>
      </c>
      <c r="F88" s="9" t="s">
        <v>875</v>
      </c>
      <c r="G88" s="19" t="s">
        <v>970</v>
      </c>
      <c r="H88" s="19" t="s">
        <v>971</v>
      </c>
    </row>
    <row r="89" customFormat="false" ht="15" hidden="false" customHeight="false" outlineLevel="0" collapsed="false">
      <c r="B89" s="9" t="s">
        <v>68</v>
      </c>
      <c r="C89" s="5" t="s">
        <v>223</v>
      </c>
      <c r="D89" s="5" t="s">
        <v>877</v>
      </c>
      <c r="E89" s="5" t="s">
        <v>853</v>
      </c>
      <c r="F89" s="9" t="s">
        <v>878</v>
      </c>
      <c r="G89" s="19" t="s">
        <v>972</v>
      </c>
      <c r="H89" s="19" t="s">
        <v>973</v>
      </c>
    </row>
    <row r="90" customFormat="false" ht="15" hidden="false" customHeight="false" outlineLevel="0" collapsed="false">
      <c r="B90" s="9" t="s">
        <v>68</v>
      </c>
      <c r="C90" s="5" t="s">
        <v>223</v>
      </c>
      <c r="D90" s="5" t="s">
        <v>880</v>
      </c>
      <c r="E90" s="5" t="s">
        <v>836</v>
      </c>
      <c r="F90" s="9" t="s">
        <v>881</v>
      </c>
      <c r="G90" s="19" t="s">
        <v>974</v>
      </c>
      <c r="H90" s="19" t="s">
        <v>975</v>
      </c>
    </row>
    <row r="91" customFormat="false" ht="15" hidden="false" customHeight="false" outlineLevel="0" collapsed="false">
      <c r="B91" s="9" t="s">
        <v>68</v>
      </c>
      <c r="C91" s="5" t="s">
        <v>223</v>
      </c>
      <c r="D91" s="5" t="s">
        <v>883</v>
      </c>
      <c r="E91" s="5" t="s">
        <v>836</v>
      </c>
      <c r="F91" s="9" t="s">
        <v>884</v>
      </c>
      <c r="G91" s="19" t="s">
        <v>976</v>
      </c>
      <c r="H91" s="19" t="s">
        <v>977</v>
      </c>
    </row>
    <row r="92" customFormat="false" ht="15" hidden="false" customHeight="false" outlineLevel="0" collapsed="false">
      <c r="B92" s="9" t="s">
        <v>68</v>
      </c>
      <c r="C92" s="5" t="s">
        <v>223</v>
      </c>
      <c r="D92" s="5" t="s">
        <v>886</v>
      </c>
      <c r="E92" s="5" t="s">
        <v>836</v>
      </c>
      <c r="F92" s="9" t="s">
        <v>887</v>
      </c>
      <c r="G92" s="19" t="s">
        <v>978</v>
      </c>
      <c r="H92" s="19" t="s">
        <v>979</v>
      </c>
    </row>
    <row r="93" customFormat="false" ht="15" hidden="false" customHeight="false" outlineLevel="0" collapsed="false">
      <c r="B93" s="9" t="s">
        <v>68</v>
      </c>
      <c r="C93" s="5" t="s">
        <v>244</v>
      </c>
      <c r="D93" s="5" t="s">
        <v>179</v>
      </c>
      <c r="E93" s="5" t="s">
        <v>836</v>
      </c>
      <c r="F93" s="9" t="s">
        <v>837</v>
      </c>
      <c r="G93" s="19" t="s">
        <v>980</v>
      </c>
      <c r="H93" s="19" t="s">
        <v>246</v>
      </c>
    </row>
    <row r="94" customFormat="false" ht="15" hidden="false" customHeight="false" outlineLevel="0" collapsed="false">
      <c r="B94" s="9" t="s">
        <v>68</v>
      </c>
      <c r="C94" s="5" t="s">
        <v>244</v>
      </c>
      <c r="D94" s="5" t="s">
        <v>179</v>
      </c>
      <c r="E94" s="5" t="s">
        <v>836</v>
      </c>
      <c r="F94" s="9" t="s">
        <v>838</v>
      </c>
      <c r="G94" s="19" t="s">
        <v>981</v>
      </c>
      <c r="H94" s="19" t="s">
        <v>248</v>
      </c>
    </row>
    <row r="95" customFormat="false" ht="15" hidden="false" customHeight="false" outlineLevel="0" collapsed="false">
      <c r="B95" s="9" t="s">
        <v>68</v>
      </c>
      <c r="C95" s="5" t="s">
        <v>244</v>
      </c>
      <c r="D95" s="5" t="s">
        <v>179</v>
      </c>
      <c r="E95" s="5" t="s">
        <v>836</v>
      </c>
      <c r="F95" s="9" t="s">
        <v>839</v>
      </c>
      <c r="G95" s="19" t="s">
        <v>982</v>
      </c>
      <c r="H95" s="19" t="s">
        <v>250</v>
      </c>
    </row>
    <row r="96" customFormat="false" ht="15" hidden="false" customHeight="false" outlineLevel="0" collapsed="false">
      <c r="B96" s="9" t="s">
        <v>68</v>
      </c>
      <c r="C96" s="5" t="s">
        <v>244</v>
      </c>
      <c r="D96" s="5" t="s">
        <v>179</v>
      </c>
      <c r="E96" s="5" t="s">
        <v>840</v>
      </c>
      <c r="F96" s="9" t="s">
        <v>841</v>
      </c>
      <c r="G96" s="19" t="s">
        <v>983</v>
      </c>
      <c r="H96" s="19" t="s">
        <v>252</v>
      </c>
    </row>
    <row r="97" customFormat="false" ht="15" hidden="false" customHeight="false" outlineLevel="0" collapsed="false">
      <c r="B97" s="9" t="s">
        <v>68</v>
      </c>
      <c r="C97" s="5" t="s">
        <v>244</v>
      </c>
      <c r="D97" s="5" t="s">
        <v>232</v>
      </c>
      <c r="E97" s="5" t="s">
        <v>840</v>
      </c>
      <c r="F97" s="9" t="s">
        <v>842</v>
      </c>
      <c r="G97" s="19" t="s">
        <v>984</v>
      </c>
      <c r="H97" s="19" t="s">
        <v>254</v>
      </c>
    </row>
    <row r="98" customFormat="false" ht="15" hidden="false" customHeight="false" outlineLevel="0" collapsed="false">
      <c r="B98" s="9" t="s">
        <v>68</v>
      </c>
      <c r="C98" s="5" t="s">
        <v>244</v>
      </c>
      <c r="D98" s="5" t="s">
        <v>192</v>
      </c>
      <c r="E98" s="5" t="s">
        <v>836</v>
      </c>
      <c r="F98" s="9" t="s">
        <v>843</v>
      </c>
      <c r="G98" s="19" t="s">
        <v>985</v>
      </c>
      <c r="H98" s="19" t="s">
        <v>256</v>
      </c>
    </row>
    <row r="99" customFormat="false" ht="15" hidden="false" customHeight="false" outlineLevel="0" collapsed="false">
      <c r="B99" s="9" t="s">
        <v>68</v>
      </c>
      <c r="C99" s="5" t="s">
        <v>244</v>
      </c>
      <c r="D99" s="5" t="s">
        <v>192</v>
      </c>
      <c r="E99" s="5" t="s">
        <v>836</v>
      </c>
      <c r="F99" s="9" t="s">
        <v>844</v>
      </c>
      <c r="G99" s="19" t="s">
        <v>986</v>
      </c>
      <c r="H99" s="19" t="s">
        <v>987</v>
      </c>
    </row>
    <row r="100" customFormat="false" ht="15" hidden="false" customHeight="false" outlineLevel="0" collapsed="false">
      <c r="B100" s="9" t="s">
        <v>68</v>
      </c>
      <c r="C100" s="5" t="s">
        <v>244</v>
      </c>
      <c r="D100" s="5" t="s">
        <v>235</v>
      </c>
      <c r="E100" s="5" t="s">
        <v>836</v>
      </c>
      <c r="F100" s="9" t="s">
        <v>846</v>
      </c>
      <c r="G100" s="19" t="s">
        <v>988</v>
      </c>
      <c r="H100" s="19" t="s">
        <v>989</v>
      </c>
    </row>
    <row r="101" customFormat="false" ht="15" hidden="false" customHeight="false" outlineLevel="0" collapsed="false">
      <c r="B101" s="9" t="s">
        <v>68</v>
      </c>
      <c r="C101" s="5" t="s">
        <v>244</v>
      </c>
      <c r="D101" s="5" t="s">
        <v>365</v>
      </c>
      <c r="E101" s="5" t="s">
        <v>836</v>
      </c>
      <c r="F101" s="9" t="s">
        <v>848</v>
      </c>
      <c r="G101" s="19" t="s">
        <v>990</v>
      </c>
      <c r="H101" s="19" t="s">
        <v>991</v>
      </c>
    </row>
    <row r="102" customFormat="false" ht="15" hidden="false" customHeight="false" outlineLevel="0" collapsed="false">
      <c r="B102" s="9" t="s">
        <v>68</v>
      </c>
      <c r="C102" s="5" t="s">
        <v>244</v>
      </c>
      <c r="D102" s="5" t="s">
        <v>850</v>
      </c>
      <c r="E102" s="5" t="s">
        <v>836</v>
      </c>
      <c r="F102" s="9" t="s">
        <v>851</v>
      </c>
      <c r="G102" s="19" t="s">
        <v>992</v>
      </c>
      <c r="H102" s="19" t="s">
        <v>993</v>
      </c>
    </row>
    <row r="103" customFormat="false" ht="15" hidden="false" customHeight="false" outlineLevel="0" collapsed="false">
      <c r="B103" s="9" t="s">
        <v>68</v>
      </c>
      <c r="C103" s="5" t="s">
        <v>244</v>
      </c>
      <c r="D103" s="5" t="s">
        <v>850</v>
      </c>
      <c r="E103" s="5" t="s">
        <v>853</v>
      </c>
      <c r="F103" s="9" t="s">
        <v>854</v>
      </c>
      <c r="G103" s="19" t="s">
        <v>994</v>
      </c>
      <c r="H103" s="19" t="s">
        <v>995</v>
      </c>
    </row>
    <row r="104" customFormat="false" ht="15" hidden="false" customHeight="false" outlineLevel="0" collapsed="false">
      <c r="B104" s="9" t="s">
        <v>68</v>
      </c>
      <c r="C104" s="5" t="s">
        <v>244</v>
      </c>
      <c r="D104" s="5" t="s">
        <v>270</v>
      </c>
      <c r="E104" s="5" t="s">
        <v>836</v>
      </c>
      <c r="F104" s="9" t="s">
        <v>856</v>
      </c>
      <c r="G104" s="19" t="s">
        <v>996</v>
      </c>
      <c r="H104" s="19" t="s">
        <v>997</v>
      </c>
    </row>
    <row r="105" customFormat="false" ht="15" hidden="false" customHeight="false" outlineLevel="0" collapsed="false">
      <c r="B105" s="9" t="s">
        <v>68</v>
      </c>
      <c r="C105" s="5" t="s">
        <v>244</v>
      </c>
      <c r="D105" s="5" t="s">
        <v>270</v>
      </c>
      <c r="E105" s="5" t="s">
        <v>836</v>
      </c>
      <c r="F105" s="9" t="s">
        <v>858</v>
      </c>
      <c r="G105" s="19" t="s">
        <v>998</v>
      </c>
      <c r="H105" s="19" t="s">
        <v>999</v>
      </c>
    </row>
    <row r="106" customFormat="false" ht="15" hidden="false" customHeight="false" outlineLevel="0" collapsed="false">
      <c r="B106" s="9" t="s">
        <v>68</v>
      </c>
      <c r="C106" s="5" t="s">
        <v>244</v>
      </c>
      <c r="D106" s="5" t="s">
        <v>860</v>
      </c>
      <c r="E106" s="5" t="s">
        <v>836</v>
      </c>
      <c r="F106" s="9" t="s">
        <v>861</v>
      </c>
      <c r="G106" s="19" t="s">
        <v>1000</v>
      </c>
      <c r="H106" s="19" t="s">
        <v>1001</v>
      </c>
    </row>
    <row r="107" customFormat="false" ht="15" hidden="false" customHeight="false" outlineLevel="0" collapsed="false">
      <c r="B107" s="9" t="s">
        <v>68</v>
      </c>
      <c r="C107" s="5" t="s">
        <v>244</v>
      </c>
      <c r="D107" s="5" t="s">
        <v>863</v>
      </c>
      <c r="E107" s="5" t="s">
        <v>836</v>
      </c>
      <c r="F107" s="9" t="s">
        <v>864</v>
      </c>
      <c r="G107" s="19" t="s">
        <v>1002</v>
      </c>
      <c r="H107" s="19" t="s">
        <v>1003</v>
      </c>
    </row>
    <row r="108" customFormat="false" ht="15" hidden="false" customHeight="false" outlineLevel="0" collapsed="false">
      <c r="B108" s="9" t="s">
        <v>68</v>
      </c>
      <c r="C108" s="5" t="s">
        <v>244</v>
      </c>
      <c r="D108" s="5" t="s">
        <v>866</v>
      </c>
      <c r="E108" s="5" t="s">
        <v>836</v>
      </c>
      <c r="F108" s="9" t="s">
        <v>867</v>
      </c>
      <c r="G108" s="19" t="s">
        <v>1004</v>
      </c>
      <c r="H108" s="19" t="s">
        <v>1005</v>
      </c>
    </row>
    <row r="109" customFormat="false" ht="15" hidden="false" customHeight="false" outlineLevel="0" collapsed="false">
      <c r="B109" s="9" t="s">
        <v>68</v>
      </c>
      <c r="C109" s="5" t="s">
        <v>244</v>
      </c>
      <c r="D109" s="5" t="s">
        <v>866</v>
      </c>
      <c r="E109" s="5" t="s">
        <v>853</v>
      </c>
      <c r="F109" s="9" t="s">
        <v>869</v>
      </c>
      <c r="G109" s="19" t="s">
        <v>1006</v>
      </c>
      <c r="H109" s="19" t="s">
        <v>1007</v>
      </c>
    </row>
    <row r="110" customFormat="false" ht="15" hidden="false" customHeight="false" outlineLevel="0" collapsed="false">
      <c r="B110" s="9" t="s">
        <v>68</v>
      </c>
      <c r="C110" s="5" t="s">
        <v>244</v>
      </c>
      <c r="D110" s="5" t="s">
        <v>871</v>
      </c>
      <c r="E110" s="5" t="s">
        <v>836</v>
      </c>
      <c r="F110" s="9" t="s">
        <v>872</v>
      </c>
      <c r="G110" s="19" t="s">
        <v>1008</v>
      </c>
      <c r="H110" s="19" t="s">
        <v>1009</v>
      </c>
    </row>
    <row r="111" customFormat="false" ht="15" hidden="false" customHeight="false" outlineLevel="0" collapsed="false">
      <c r="B111" s="9" t="s">
        <v>68</v>
      </c>
      <c r="C111" s="5" t="s">
        <v>244</v>
      </c>
      <c r="D111" s="5" t="s">
        <v>874</v>
      </c>
      <c r="E111" s="5" t="s">
        <v>836</v>
      </c>
      <c r="F111" s="9" t="s">
        <v>875</v>
      </c>
      <c r="G111" s="19" t="s">
        <v>1010</v>
      </c>
      <c r="H111" s="19" t="s">
        <v>1011</v>
      </c>
    </row>
    <row r="112" customFormat="false" ht="15" hidden="false" customHeight="false" outlineLevel="0" collapsed="false">
      <c r="B112" s="9" t="s">
        <v>68</v>
      </c>
      <c r="C112" s="5" t="s">
        <v>244</v>
      </c>
      <c r="D112" s="5" t="s">
        <v>877</v>
      </c>
      <c r="E112" s="5" t="s">
        <v>853</v>
      </c>
      <c r="F112" s="9" t="s">
        <v>878</v>
      </c>
      <c r="G112" s="19" t="s">
        <v>1012</v>
      </c>
      <c r="H112" s="19" t="s">
        <v>1013</v>
      </c>
    </row>
    <row r="113" customFormat="false" ht="15" hidden="false" customHeight="false" outlineLevel="0" collapsed="false">
      <c r="B113" s="9" t="s">
        <v>68</v>
      </c>
      <c r="C113" s="5" t="s">
        <v>244</v>
      </c>
      <c r="D113" s="5" t="s">
        <v>880</v>
      </c>
      <c r="E113" s="5" t="s">
        <v>836</v>
      </c>
      <c r="F113" s="9" t="s">
        <v>881</v>
      </c>
      <c r="G113" s="19" t="s">
        <v>1014</v>
      </c>
      <c r="H113" s="19" t="s">
        <v>1015</v>
      </c>
    </row>
    <row r="114" customFormat="false" ht="15" hidden="false" customHeight="false" outlineLevel="0" collapsed="false">
      <c r="B114" s="9" t="s">
        <v>68</v>
      </c>
      <c r="C114" s="5" t="s">
        <v>244</v>
      </c>
      <c r="D114" s="5" t="s">
        <v>883</v>
      </c>
      <c r="E114" s="5" t="s">
        <v>836</v>
      </c>
      <c r="F114" s="9" t="s">
        <v>884</v>
      </c>
      <c r="G114" s="19" t="s">
        <v>1016</v>
      </c>
      <c r="H114" s="19" t="s">
        <v>1017</v>
      </c>
    </row>
    <row r="115" customFormat="false" ht="15" hidden="false" customHeight="false" outlineLevel="0" collapsed="false">
      <c r="B115" s="9" t="s">
        <v>68</v>
      </c>
      <c r="C115" s="5" t="s">
        <v>244</v>
      </c>
      <c r="D115" s="5" t="s">
        <v>886</v>
      </c>
      <c r="E115" s="5" t="s">
        <v>836</v>
      </c>
      <c r="F115" s="9" t="s">
        <v>887</v>
      </c>
      <c r="G115" s="19" t="s">
        <v>1018</v>
      </c>
      <c r="H115" s="19" t="s">
        <v>1019</v>
      </c>
    </row>
    <row r="116" customFormat="false" ht="15" hidden="false" customHeight="false" outlineLevel="0" collapsed="false">
      <c r="B116" s="9" t="s">
        <v>68</v>
      </c>
      <c r="C116" s="5" t="s">
        <v>257</v>
      </c>
      <c r="D116" s="5" t="s">
        <v>179</v>
      </c>
      <c r="E116" s="5" t="s">
        <v>836</v>
      </c>
      <c r="F116" s="9" t="s">
        <v>837</v>
      </c>
      <c r="G116" s="19" t="s">
        <v>1020</v>
      </c>
      <c r="H116" s="19" t="s">
        <v>259</v>
      </c>
    </row>
    <row r="117" customFormat="false" ht="15" hidden="false" customHeight="false" outlineLevel="0" collapsed="false">
      <c r="B117" s="9" t="s">
        <v>68</v>
      </c>
      <c r="C117" s="5" t="s">
        <v>257</v>
      </c>
      <c r="D117" s="5" t="s">
        <v>179</v>
      </c>
      <c r="E117" s="5" t="s">
        <v>836</v>
      </c>
      <c r="F117" s="9" t="s">
        <v>838</v>
      </c>
      <c r="G117" s="19" t="s">
        <v>1021</v>
      </c>
      <c r="H117" s="19" t="s">
        <v>261</v>
      </c>
    </row>
    <row r="118" customFormat="false" ht="15" hidden="false" customHeight="false" outlineLevel="0" collapsed="false">
      <c r="B118" s="9" t="s">
        <v>68</v>
      </c>
      <c r="C118" s="5" t="s">
        <v>257</v>
      </c>
      <c r="D118" s="5" t="s">
        <v>179</v>
      </c>
      <c r="E118" s="5" t="s">
        <v>836</v>
      </c>
      <c r="F118" s="9" t="s">
        <v>839</v>
      </c>
      <c r="G118" s="19" t="s">
        <v>1022</v>
      </c>
      <c r="H118" s="19" t="s">
        <v>263</v>
      </c>
    </row>
    <row r="119" customFormat="false" ht="15" hidden="false" customHeight="false" outlineLevel="0" collapsed="false">
      <c r="B119" s="9" t="s">
        <v>68</v>
      </c>
      <c r="C119" s="5" t="s">
        <v>257</v>
      </c>
      <c r="D119" s="5" t="s">
        <v>179</v>
      </c>
      <c r="E119" s="5" t="s">
        <v>840</v>
      </c>
      <c r="F119" s="9" t="s">
        <v>841</v>
      </c>
      <c r="G119" s="19" t="s">
        <v>1023</v>
      </c>
      <c r="H119" s="19" t="s">
        <v>265</v>
      </c>
    </row>
    <row r="120" customFormat="false" ht="15" hidden="false" customHeight="false" outlineLevel="0" collapsed="false">
      <c r="B120" s="9" t="s">
        <v>68</v>
      </c>
      <c r="C120" s="5" t="s">
        <v>257</v>
      </c>
      <c r="D120" s="5" t="s">
        <v>192</v>
      </c>
      <c r="E120" s="5" t="s">
        <v>836</v>
      </c>
      <c r="F120" s="9" t="s">
        <v>843</v>
      </c>
      <c r="G120" s="19" t="s">
        <v>1024</v>
      </c>
      <c r="H120" s="19" t="s">
        <v>267</v>
      </c>
    </row>
    <row r="121" customFormat="false" ht="15" hidden="false" customHeight="false" outlineLevel="0" collapsed="false">
      <c r="B121" s="9" t="s">
        <v>68</v>
      </c>
      <c r="C121" s="5" t="s">
        <v>257</v>
      </c>
      <c r="D121" s="5" t="s">
        <v>192</v>
      </c>
      <c r="E121" s="5" t="s">
        <v>836</v>
      </c>
      <c r="F121" s="9" t="s">
        <v>844</v>
      </c>
      <c r="G121" s="19" t="s">
        <v>1025</v>
      </c>
      <c r="H121" s="19" t="s">
        <v>269</v>
      </c>
    </row>
    <row r="122" customFormat="false" ht="15" hidden="false" customHeight="false" outlineLevel="0" collapsed="false">
      <c r="B122" s="9" t="s">
        <v>68</v>
      </c>
      <c r="C122" s="5" t="s">
        <v>257</v>
      </c>
      <c r="D122" s="5" t="s">
        <v>365</v>
      </c>
      <c r="E122" s="5" t="s">
        <v>836</v>
      </c>
      <c r="F122" s="9" t="s">
        <v>848</v>
      </c>
      <c r="G122" s="19" t="s">
        <v>1026</v>
      </c>
      <c r="H122" s="19" t="s">
        <v>272</v>
      </c>
    </row>
    <row r="123" customFormat="false" ht="15" hidden="false" customHeight="false" outlineLevel="0" collapsed="false">
      <c r="B123" s="9" t="s">
        <v>68</v>
      </c>
      <c r="C123" s="5" t="s">
        <v>257</v>
      </c>
      <c r="D123" s="5" t="s">
        <v>850</v>
      </c>
      <c r="E123" s="5" t="s">
        <v>836</v>
      </c>
      <c r="F123" s="9" t="s">
        <v>851</v>
      </c>
      <c r="G123" s="19" t="s">
        <v>1027</v>
      </c>
      <c r="H123" s="19" t="s">
        <v>274</v>
      </c>
    </row>
    <row r="124" customFormat="false" ht="15" hidden="false" customHeight="false" outlineLevel="0" collapsed="false">
      <c r="B124" s="9" t="s">
        <v>68</v>
      </c>
      <c r="C124" s="5" t="s">
        <v>257</v>
      </c>
      <c r="D124" s="5" t="s">
        <v>850</v>
      </c>
      <c r="E124" s="5" t="s">
        <v>853</v>
      </c>
      <c r="F124" s="9" t="s">
        <v>854</v>
      </c>
      <c r="G124" s="19" t="s">
        <v>1028</v>
      </c>
      <c r="H124" s="19" t="s">
        <v>276</v>
      </c>
    </row>
    <row r="125" customFormat="false" ht="15" hidden="false" customHeight="false" outlineLevel="0" collapsed="false">
      <c r="B125" s="9" t="s">
        <v>68</v>
      </c>
      <c r="C125" s="5" t="s">
        <v>257</v>
      </c>
      <c r="D125" s="5" t="s">
        <v>270</v>
      </c>
      <c r="E125" s="5" t="s">
        <v>836</v>
      </c>
      <c r="F125" s="9" t="s">
        <v>858</v>
      </c>
      <c r="G125" s="19" t="s">
        <v>1029</v>
      </c>
      <c r="H125" s="19" t="s">
        <v>278</v>
      </c>
    </row>
    <row r="126" customFormat="false" ht="15" hidden="false" customHeight="false" outlineLevel="0" collapsed="false">
      <c r="B126" s="9" t="s">
        <v>68</v>
      </c>
      <c r="C126" s="5" t="s">
        <v>257</v>
      </c>
      <c r="D126" s="5" t="s">
        <v>860</v>
      </c>
      <c r="E126" s="5" t="s">
        <v>836</v>
      </c>
      <c r="F126" s="9" t="s">
        <v>861</v>
      </c>
      <c r="G126" s="19" t="s">
        <v>1030</v>
      </c>
      <c r="H126" s="19" t="s">
        <v>1031</v>
      </c>
    </row>
    <row r="127" customFormat="false" ht="15" hidden="false" customHeight="false" outlineLevel="0" collapsed="false">
      <c r="B127" s="9" t="s">
        <v>68</v>
      </c>
      <c r="C127" s="5" t="s">
        <v>257</v>
      </c>
      <c r="D127" s="5" t="s">
        <v>863</v>
      </c>
      <c r="E127" s="5" t="s">
        <v>836</v>
      </c>
      <c r="F127" s="9" t="s">
        <v>864</v>
      </c>
      <c r="G127" s="19" t="s">
        <v>1032</v>
      </c>
      <c r="H127" s="19" t="s">
        <v>1033</v>
      </c>
    </row>
    <row r="128" customFormat="false" ht="15" hidden="false" customHeight="false" outlineLevel="0" collapsed="false">
      <c r="B128" s="9" t="s">
        <v>68</v>
      </c>
      <c r="C128" s="5" t="s">
        <v>257</v>
      </c>
      <c r="D128" s="5" t="s">
        <v>866</v>
      </c>
      <c r="E128" s="5" t="s">
        <v>836</v>
      </c>
      <c r="F128" s="9" t="s">
        <v>867</v>
      </c>
      <c r="G128" s="19" t="s">
        <v>1034</v>
      </c>
      <c r="H128" s="19" t="s">
        <v>1035</v>
      </c>
    </row>
    <row r="129" customFormat="false" ht="15" hidden="false" customHeight="false" outlineLevel="0" collapsed="false">
      <c r="B129" s="9" t="s">
        <v>68</v>
      </c>
      <c r="C129" s="5" t="s">
        <v>257</v>
      </c>
      <c r="D129" s="5" t="s">
        <v>866</v>
      </c>
      <c r="E129" s="5" t="s">
        <v>853</v>
      </c>
      <c r="F129" s="9" t="s">
        <v>869</v>
      </c>
      <c r="G129" s="19" t="s">
        <v>1036</v>
      </c>
      <c r="H129" s="19" t="s">
        <v>1037</v>
      </c>
    </row>
    <row r="130" customFormat="false" ht="15" hidden="false" customHeight="false" outlineLevel="0" collapsed="false">
      <c r="B130" s="9" t="s">
        <v>68</v>
      </c>
      <c r="C130" s="5" t="s">
        <v>257</v>
      </c>
      <c r="D130" s="5" t="s">
        <v>871</v>
      </c>
      <c r="E130" s="5" t="s">
        <v>836</v>
      </c>
      <c r="F130" s="9" t="s">
        <v>872</v>
      </c>
      <c r="G130" s="19" t="s">
        <v>1038</v>
      </c>
      <c r="H130" s="19" t="s">
        <v>1039</v>
      </c>
    </row>
    <row r="131" customFormat="false" ht="15" hidden="false" customHeight="false" outlineLevel="0" collapsed="false">
      <c r="B131" s="9" t="s">
        <v>68</v>
      </c>
      <c r="C131" s="5" t="s">
        <v>257</v>
      </c>
      <c r="D131" s="5" t="s">
        <v>874</v>
      </c>
      <c r="E131" s="5" t="s">
        <v>836</v>
      </c>
      <c r="F131" s="9" t="s">
        <v>875</v>
      </c>
      <c r="G131" s="19" t="s">
        <v>1040</v>
      </c>
      <c r="H131" s="19" t="s">
        <v>1041</v>
      </c>
    </row>
    <row r="132" customFormat="false" ht="15" hidden="false" customHeight="false" outlineLevel="0" collapsed="false">
      <c r="B132" s="9" t="s">
        <v>68</v>
      </c>
      <c r="C132" s="5" t="s">
        <v>257</v>
      </c>
      <c r="D132" s="5" t="s">
        <v>877</v>
      </c>
      <c r="E132" s="5" t="s">
        <v>853</v>
      </c>
      <c r="F132" s="9" t="s">
        <v>878</v>
      </c>
      <c r="G132" s="19" t="s">
        <v>1042</v>
      </c>
      <c r="H132" s="19" t="s">
        <v>1043</v>
      </c>
    </row>
    <row r="133" customFormat="false" ht="15" hidden="false" customHeight="false" outlineLevel="0" collapsed="false">
      <c r="B133" s="9" t="s">
        <v>68</v>
      </c>
      <c r="C133" s="5" t="s">
        <v>257</v>
      </c>
      <c r="D133" s="5" t="s">
        <v>880</v>
      </c>
      <c r="E133" s="5" t="s">
        <v>836</v>
      </c>
      <c r="F133" s="9" t="s">
        <v>881</v>
      </c>
      <c r="G133" s="19" t="s">
        <v>1044</v>
      </c>
      <c r="H133" s="19" t="s">
        <v>1045</v>
      </c>
    </row>
    <row r="134" customFormat="false" ht="15" hidden="false" customHeight="false" outlineLevel="0" collapsed="false">
      <c r="B134" s="9" t="s">
        <v>68</v>
      </c>
      <c r="C134" s="5" t="s">
        <v>257</v>
      </c>
      <c r="D134" s="5" t="s">
        <v>883</v>
      </c>
      <c r="E134" s="5" t="s">
        <v>836</v>
      </c>
      <c r="F134" s="9" t="s">
        <v>884</v>
      </c>
      <c r="G134" s="19" t="s">
        <v>1046</v>
      </c>
      <c r="H134" s="19" t="s">
        <v>1047</v>
      </c>
    </row>
    <row r="135" customFormat="false" ht="15" hidden="false" customHeight="false" outlineLevel="0" collapsed="false">
      <c r="B135" s="9" t="s">
        <v>68</v>
      </c>
      <c r="C135" s="5" t="s">
        <v>257</v>
      </c>
      <c r="D135" s="5" t="s">
        <v>886</v>
      </c>
      <c r="E135" s="5" t="s">
        <v>836</v>
      </c>
      <c r="F135" s="9" t="s">
        <v>887</v>
      </c>
      <c r="G135" s="19" t="s">
        <v>1048</v>
      </c>
      <c r="H135" s="19" t="s">
        <v>1049</v>
      </c>
    </row>
    <row r="136" customFormat="false" ht="15" hidden="false" customHeight="false" outlineLevel="0" collapsed="false">
      <c r="B136" s="9" t="s">
        <v>76</v>
      </c>
      <c r="C136" s="5" t="s">
        <v>36</v>
      </c>
      <c r="D136" s="5" t="s">
        <v>179</v>
      </c>
      <c r="E136" s="5" t="s">
        <v>836</v>
      </c>
      <c r="F136" s="9" t="s">
        <v>837</v>
      </c>
      <c r="G136" s="19" t="s">
        <v>279</v>
      </c>
      <c r="H136" s="19" t="s">
        <v>280</v>
      </c>
    </row>
    <row r="137" customFormat="false" ht="15" hidden="false" customHeight="false" outlineLevel="0" collapsed="false">
      <c r="B137" s="9" t="s">
        <v>76</v>
      </c>
      <c r="C137" s="5" t="s">
        <v>36</v>
      </c>
      <c r="D137" s="5" t="s">
        <v>179</v>
      </c>
      <c r="E137" s="5" t="s">
        <v>836</v>
      </c>
      <c r="F137" s="9" t="s">
        <v>838</v>
      </c>
      <c r="G137" s="19" t="s">
        <v>281</v>
      </c>
      <c r="H137" s="19" t="s">
        <v>282</v>
      </c>
    </row>
    <row r="138" customFormat="false" ht="15" hidden="false" customHeight="false" outlineLevel="0" collapsed="false">
      <c r="B138" s="9" t="s">
        <v>76</v>
      </c>
      <c r="C138" s="5" t="s">
        <v>36</v>
      </c>
      <c r="D138" s="5" t="s">
        <v>179</v>
      </c>
      <c r="E138" s="5" t="s">
        <v>836</v>
      </c>
      <c r="F138" s="9" t="s">
        <v>839</v>
      </c>
      <c r="G138" s="19" t="s">
        <v>283</v>
      </c>
      <c r="H138" s="19" t="s">
        <v>284</v>
      </c>
    </row>
    <row r="139" customFormat="false" ht="15" hidden="false" customHeight="false" outlineLevel="0" collapsed="false">
      <c r="B139" s="9" t="s">
        <v>76</v>
      </c>
      <c r="C139" s="5" t="s">
        <v>36</v>
      </c>
      <c r="D139" s="5" t="s">
        <v>232</v>
      </c>
      <c r="E139" s="5" t="s">
        <v>840</v>
      </c>
      <c r="F139" s="9" t="s">
        <v>1050</v>
      </c>
      <c r="G139" s="19" t="s">
        <v>285</v>
      </c>
      <c r="H139" s="19" t="s">
        <v>286</v>
      </c>
    </row>
    <row r="140" customFormat="false" ht="15" hidden="false" customHeight="false" outlineLevel="0" collapsed="false">
      <c r="B140" s="9" t="s">
        <v>76</v>
      </c>
      <c r="C140" s="5" t="s">
        <v>36</v>
      </c>
      <c r="D140" s="5" t="s">
        <v>232</v>
      </c>
      <c r="E140" s="5" t="s">
        <v>836</v>
      </c>
      <c r="F140" s="9" t="s">
        <v>1051</v>
      </c>
      <c r="G140" s="19" t="s">
        <v>287</v>
      </c>
      <c r="H140" s="19" t="s">
        <v>288</v>
      </c>
    </row>
    <row r="141" customFormat="false" ht="15" hidden="false" customHeight="false" outlineLevel="0" collapsed="false">
      <c r="B141" s="9" t="s">
        <v>76</v>
      </c>
      <c r="C141" s="5" t="s">
        <v>36</v>
      </c>
      <c r="D141" s="5" t="s">
        <v>192</v>
      </c>
      <c r="E141" s="5" t="s">
        <v>836</v>
      </c>
      <c r="F141" s="9" t="s">
        <v>843</v>
      </c>
      <c r="G141" s="19" t="s">
        <v>289</v>
      </c>
      <c r="H141" s="19" t="s">
        <v>290</v>
      </c>
    </row>
    <row r="142" customFormat="false" ht="15" hidden="false" customHeight="false" outlineLevel="0" collapsed="false">
      <c r="B142" s="9" t="s">
        <v>76</v>
      </c>
      <c r="C142" s="5" t="s">
        <v>36</v>
      </c>
      <c r="D142" s="5" t="s">
        <v>192</v>
      </c>
      <c r="E142" s="5" t="s">
        <v>836</v>
      </c>
      <c r="F142" s="9" t="s">
        <v>844</v>
      </c>
      <c r="G142" s="19" t="s">
        <v>291</v>
      </c>
      <c r="H142" s="19" t="s">
        <v>1052</v>
      </c>
    </row>
    <row r="143" customFormat="false" ht="15" hidden="false" customHeight="false" outlineLevel="0" collapsed="false">
      <c r="B143" s="9" t="s">
        <v>76</v>
      </c>
      <c r="C143" s="5" t="s">
        <v>36</v>
      </c>
      <c r="D143" s="5" t="s">
        <v>235</v>
      </c>
      <c r="E143" s="5" t="s">
        <v>836</v>
      </c>
      <c r="F143" s="9" t="s">
        <v>846</v>
      </c>
      <c r="G143" s="19" t="s">
        <v>293</v>
      </c>
      <c r="H143" s="19" t="s">
        <v>1053</v>
      </c>
    </row>
    <row r="144" customFormat="false" ht="15" hidden="false" customHeight="false" outlineLevel="0" collapsed="false">
      <c r="B144" s="9" t="s">
        <v>76</v>
      </c>
      <c r="C144" s="5" t="s">
        <v>36</v>
      </c>
      <c r="D144" s="5" t="s">
        <v>365</v>
      </c>
      <c r="E144" s="5" t="s">
        <v>836</v>
      </c>
      <c r="F144" s="9" t="s">
        <v>1054</v>
      </c>
      <c r="G144" s="19" t="s">
        <v>295</v>
      </c>
      <c r="H144" s="19" t="s">
        <v>1055</v>
      </c>
    </row>
    <row r="145" customFormat="false" ht="15" hidden="false" customHeight="false" outlineLevel="0" collapsed="false">
      <c r="B145" s="9" t="s">
        <v>76</v>
      </c>
      <c r="C145" s="5" t="s">
        <v>36</v>
      </c>
      <c r="D145" s="5" t="s">
        <v>365</v>
      </c>
      <c r="E145" s="5" t="s">
        <v>836</v>
      </c>
      <c r="F145" s="9" t="s">
        <v>1056</v>
      </c>
      <c r="G145" s="19" t="s">
        <v>297</v>
      </c>
      <c r="H145" s="19" t="s">
        <v>1057</v>
      </c>
    </row>
    <row r="146" customFormat="false" ht="15" hidden="false" customHeight="false" outlineLevel="0" collapsed="false">
      <c r="B146" s="9" t="s">
        <v>76</v>
      </c>
      <c r="C146" s="5" t="s">
        <v>36</v>
      </c>
      <c r="D146" s="5" t="s">
        <v>863</v>
      </c>
      <c r="E146" s="5" t="s">
        <v>836</v>
      </c>
      <c r="F146" s="9" t="s">
        <v>1058</v>
      </c>
      <c r="G146" s="19" t="s">
        <v>299</v>
      </c>
      <c r="H146" s="19" t="s">
        <v>1059</v>
      </c>
    </row>
    <row r="147" customFormat="false" ht="15" hidden="false" customHeight="false" outlineLevel="0" collapsed="false">
      <c r="B147" s="9" t="s">
        <v>76</v>
      </c>
      <c r="C147" s="5" t="s">
        <v>36</v>
      </c>
      <c r="D147" s="5" t="s">
        <v>866</v>
      </c>
      <c r="E147" s="5" t="s">
        <v>836</v>
      </c>
      <c r="F147" s="9" t="s">
        <v>1060</v>
      </c>
      <c r="G147" s="19" t="s">
        <v>301</v>
      </c>
      <c r="H147" s="19" t="s">
        <v>1061</v>
      </c>
    </row>
    <row r="148" customFormat="false" ht="15" hidden="false" customHeight="false" outlineLevel="0" collapsed="false">
      <c r="B148" s="9" t="s">
        <v>76</v>
      </c>
      <c r="C148" s="5" t="s">
        <v>36</v>
      </c>
      <c r="D148" s="5" t="s">
        <v>1062</v>
      </c>
      <c r="E148" s="5" t="s">
        <v>836</v>
      </c>
      <c r="F148" s="9" t="s">
        <v>1063</v>
      </c>
      <c r="G148" s="19" t="s">
        <v>303</v>
      </c>
      <c r="H148" s="19" t="s">
        <v>1064</v>
      </c>
    </row>
    <row r="149" customFormat="false" ht="15" hidden="false" customHeight="false" outlineLevel="0" collapsed="false">
      <c r="B149" s="9" t="s">
        <v>76</v>
      </c>
      <c r="C149" s="5" t="s">
        <v>36</v>
      </c>
      <c r="D149" s="5" t="s">
        <v>860</v>
      </c>
      <c r="E149" s="5" t="s">
        <v>836</v>
      </c>
      <c r="F149" s="9" t="s">
        <v>1065</v>
      </c>
      <c r="G149" s="19" t="s">
        <v>305</v>
      </c>
      <c r="H149" s="19" t="s">
        <v>1066</v>
      </c>
    </row>
    <row r="150" customFormat="false" ht="15" hidden="false" customHeight="false" outlineLevel="0" collapsed="false">
      <c r="B150" s="9" t="s">
        <v>76</v>
      </c>
      <c r="C150" s="5" t="s">
        <v>36</v>
      </c>
      <c r="D150" s="5" t="s">
        <v>880</v>
      </c>
      <c r="E150" s="5" t="s">
        <v>836</v>
      </c>
      <c r="F150" s="9" t="s">
        <v>881</v>
      </c>
      <c r="G150" s="19" t="s">
        <v>307</v>
      </c>
      <c r="H150" s="19" t="s">
        <v>1067</v>
      </c>
    </row>
    <row r="151" customFormat="false" ht="15" hidden="false" customHeight="false" outlineLevel="0" collapsed="false">
      <c r="B151" s="9" t="s">
        <v>76</v>
      </c>
      <c r="C151" s="5" t="s">
        <v>36</v>
      </c>
      <c r="D151" s="5" t="s">
        <v>883</v>
      </c>
      <c r="E151" s="5" t="s">
        <v>836</v>
      </c>
      <c r="F151" s="9" t="s">
        <v>1068</v>
      </c>
      <c r="G151" s="19" t="s">
        <v>309</v>
      </c>
      <c r="H151" s="19" t="s">
        <v>1069</v>
      </c>
    </row>
    <row r="152" customFormat="false" ht="15" hidden="false" customHeight="false" outlineLevel="0" collapsed="false">
      <c r="B152" s="9" t="s">
        <v>76</v>
      </c>
      <c r="C152" s="5" t="s">
        <v>36</v>
      </c>
      <c r="D152" s="5" t="s">
        <v>184</v>
      </c>
      <c r="E152" s="5" t="s">
        <v>836</v>
      </c>
      <c r="F152" s="9" t="s">
        <v>1070</v>
      </c>
      <c r="G152" s="19" t="s">
        <v>311</v>
      </c>
      <c r="H152" s="19" t="s">
        <v>1071</v>
      </c>
    </row>
    <row r="153" customFormat="false" ht="15" hidden="false" customHeight="false" outlineLevel="0" collapsed="false">
      <c r="B153" s="9" t="s">
        <v>76</v>
      </c>
      <c r="C153" s="5" t="s">
        <v>195</v>
      </c>
      <c r="D153" s="5" t="s">
        <v>179</v>
      </c>
      <c r="E153" s="5" t="s">
        <v>840</v>
      </c>
      <c r="F153" s="9" t="s">
        <v>1072</v>
      </c>
      <c r="G153" s="19" t="s">
        <v>313</v>
      </c>
      <c r="H153" s="19" t="s">
        <v>292</v>
      </c>
    </row>
    <row r="154" customFormat="false" ht="15" hidden="false" customHeight="false" outlineLevel="0" collapsed="false">
      <c r="B154" s="9" t="s">
        <v>76</v>
      </c>
      <c r="C154" s="5" t="s">
        <v>195</v>
      </c>
      <c r="D154" s="5" t="s">
        <v>179</v>
      </c>
      <c r="E154" s="5" t="s">
        <v>840</v>
      </c>
      <c r="F154" s="9" t="s">
        <v>1073</v>
      </c>
      <c r="G154" s="19" t="s">
        <v>315</v>
      </c>
      <c r="H154" s="19" t="s">
        <v>294</v>
      </c>
    </row>
    <row r="155" customFormat="false" ht="15" hidden="false" customHeight="false" outlineLevel="0" collapsed="false">
      <c r="B155" s="9" t="s">
        <v>76</v>
      </c>
      <c r="C155" s="5" t="s">
        <v>195</v>
      </c>
      <c r="D155" s="5" t="s">
        <v>179</v>
      </c>
      <c r="E155" s="5" t="s">
        <v>836</v>
      </c>
      <c r="F155" s="9" t="s">
        <v>837</v>
      </c>
      <c r="G155" s="19" t="s">
        <v>317</v>
      </c>
      <c r="H155" s="19" t="s">
        <v>296</v>
      </c>
    </row>
    <row r="156" customFormat="false" ht="15" hidden="false" customHeight="false" outlineLevel="0" collapsed="false">
      <c r="B156" s="9" t="s">
        <v>76</v>
      </c>
      <c r="C156" s="5" t="s">
        <v>195</v>
      </c>
      <c r="D156" s="5" t="s">
        <v>179</v>
      </c>
      <c r="E156" s="5" t="s">
        <v>836</v>
      </c>
      <c r="F156" s="9" t="s">
        <v>838</v>
      </c>
      <c r="G156" s="19" t="s">
        <v>319</v>
      </c>
      <c r="H156" s="19" t="s">
        <v>298</v>
      </c>
    </row>
    <row r="157" customFormat="false" ht="15" hidden="false" customHeight="false" outlineLevel="0" collapsed="false">
      <c r="B157" s="9" t="s">
        <v>76</v>
      </c>
      <c r="C157" s="5" t="s">
        <v>195</v>
      </c>
      <c r="D157" s="5" t="s">
        <v>179</v>
      </c>
      <c r="E157" s="5" t="s">
        <v>836</v>
      </c>
      <c r="F157" s="9" t="s">
        <v>839</v>
      </c>
      <c r="G157" s="19" t="s">
        <v>321</v>
      </c>
      <c r="H157" s="19" t="s">
        <v>300</v>
      </c>
    </row>
    <row r="158" customFormat="false" ht="15" hidden="false" customHeight="false" outlineLevel="0" collapsed="false">
      <c r="B158" s="9" t="s">
        <v>76</v>
      </c>
      <c r="C158" s="5" t="s">
        <v>195</v>
      </c>
      <c r="D158" s="5" t="s">
        <v>232</v>
      </c>
      <c r="E158" s="5" t="s">
        <v>840</v>
      </c>
      <c r="F158" s="9" t="s">
        <v>1050</v>
      </c>
      <c r="G158" s="19" t="s">
        <v>323</v>
      </c>
      <c r="H158" s="19" t="s">
        <v>302</v>
      </c>
    </row>
    <row r="159" customFormat="false" ht="15" hidden="false" customHeight="false" outlineLevel="0" collapsed="false">
      <c r="B159" s="9" t="s">
        <v>76</v>
      </c>
      <c r="C159" s="5" t="s">
        <v>195</v>
      </c>
      <c r="D159" s="5" t="s">
        <v>232</v>
      </c>
      <c r="E159" s="5" t="s">
        <v>836</v>
      </c>
      <c r="F159" s="9" t="s">
        <v>1051</v>
      </c>
      <c r="G159" s="19" t="s">
        <v>325</v>
      </c>
      <c r="H159" s="19" t="s">
        <v>304</v>
      </c>
    </row>
    <row r="160" customFormat="false" ht="15" hidden="false" customHeight="false" outlineLevel="0" collapsed="false">
      <c r="B160" s="9" t="s">
        <v>76</v>
      </c>
      <c r="C160" s="5" t="s">
        <v>195</v>
      </c>
      <c r="D160" s="5" t="s">
        <v>192</v>
      </c>
      <c r="E160" s="5" t="s">
        <v>836</v>
      </c>
      <c r="F160" s="9" t="s">
        <v>843</v>
      </c>
      <c r="G160" s="19" t="s">
        <v>327</v>
      </c>
      <c r="H160" s="19" t="s">
        <v>306</v>
      </c>
    </row>
    <row r="161" customFormat="false" ht="15" hidden="false" customHeight="false" outlineLevel="0" collapsed="false">
      <c r="B161" s="9" t="s">
        <v>76</v>
      </c>
      <c r="C161" s="5" t="s">
        <v>195</v>
      </c>
      <c r="D161" s="5" t="s">
        <v>192</v>
      </c>
      <c r="E161" s="5" t="s">
        <v>836</v>
      </c>
      <c r="F161" s="9" t="s">
        <v>844</v>
      </c>
      <c r="G161" s="19" t="s">
        <v>329</v>
      </c>
      <c r="H161" s="19" t="s">
        <v>1074</v>
      </c>
    </row>
    <row r="162" customFormat="false" ht="15" hidden="false" customHeight="false" outlineLevel="0" collapsed="false">
      <c r="B162" s="9" t="s">
        <v>76</v>
      </c>
      <c r="C162" s="5" t="s">
        <v>195</v>
      </c>
      <c r="D162" s="5" t="s">
        <v>235</v>
      </c>
      <c r="E162" s="5" t="s">
        <v>836</v>
      </c>
      <c r="F162" s="9" t="s">
        <v>846</v>
      </c>
      <c r="G162" s="19" t="s">
        <v>331</v>
      </c>
      <c r="H162" s="19" t="s">
        <v>1075</v>
      </c>
    </row>
    <row r="163" customFormat="false" ht="15" hidden="false" customHeight="false" outlineLevel="0" collapsed="false">
      <c r="B163" s="9" t="s">
        <v>76</v>
      </c>
      <c r="C163" s="5" t="s">
        <v>195</v>
      </c>
      <c r="D163" s="5" t="s">
        <v>365</v>
      </c>
      <c r="E163" s="5" t="s">
        <v>836</v>
      </c>
      <c r="F163" s="9" t="s">
        <v>1054</v>
      </c>
      <c r="G163" s="19" t="s">
        <v>333</v>
      </c>
      <c r="H163" s="19" t="s">
        <v>1076</v>
      </c>
    </row>
    <row r="164" customFormat="false" ht="15" hidden="false" customHeight="false" outlineLevel="0" collapsed="false">
      <c r="B164" s="9" t="s">
        <v>76</v>
      </c>
      <c r="C164" s="5" t="s">
        <v>195</v>
      </c>
      <c r="D164" s="5" t="s">
        <v>365</v>
      </c>
      <c r="E164" s="5" t="s">
        <v>836</v>
      </c>
      <c r="F164" s="9" t="s">
        <v>1056</v>
      </c>
      <c r="G164" s="19" t="s">
        <v>335</v>
      </c>
      <c r="H164" s="19" t="s">
        <v>1077</v>
      </c>
    </row>
    <row r="165" customFormat="false" ht="15" hidden="false" customHeight="false" outlineLevel="0" collapsed="false">
      <c r="B165" s="9" t="s">
        <v>76</v>
      </c>
      <c r="C165" s="5" t="s">
        <v>195</v>
      </c>
      <c r="D165" s="5" t="s">
        <v>863</v>
      </c>
      <c r="E165" s="5" t="s">
        <v>836</v>
      </c>
      <c r="F165" s="9" t="s">
        <v>1058</v>
      </c>
      <c r="G165" s="19" t="s">
        <v>337</v>
      </c>
      <c r="H165" s="19" t="s">
        <v>1078</v>
      </c>
    </row>
    <row r="166" customFormat="false" ht="15" hidden="false" customHeight="false" outlineLevel="0" collapsed="false">
      <c r="B166" s="9" t="s">
        <v>76</v>
      </c>
      <c r="C166" s="5" t="s">
        <v>195</v>
      </c>
      <c r="D166" s="5" t="s">
        <v>866</v>
      </c>
      <c r="E166" s="5" t="s">
        <v>836</v>
      </c>
      <c r="F166" s="9" t="s">
        <v>1060</v>
      </c>
      <c r="G166" s="19" t="s">
        <v>339</v>
      </c>
      <c r="H166" s="19" t="s">
        <v>1079</v>
      </c>
    </row>
    <row r="167" customFormat="false" ht="15" hidden="false" customHeight="false" outlineLevel="0" collapsed="false">
      <c r="B167" s="9" t="s">
        <v>76</v>
      </c>
      <c r="C167" s="5" t="s">
        <v>195</v>
      </c>
      <c r="D167" s="5" t="s">
        <v>1062</v>
      </c>
      <c r="E167" s="5" t="s">
        <v>836</v>
      </c>
      <c r="F167" s="9" t="s">
        <v>1063</v>
      </c>
      <c r="G167" s="19" t="s">
        <v>341</v>
      </c>
      <c r="H167" s="19" t="s">
        <v>1080</v>
      </c>
    </row>
    <row r="168" customFormat="false" ht="15" hidden="false" customHeight="false" outlineLevel="0" collapsed="false">
      <c r="B168" s="9" t="s">
        <v>76</v>
      </c>
      <c r="C168" s="5" t="s">
        <v>195</v>
      </c>
      <c r="D168" s="5" t="s">
        <v>860</v>
      </c>
      <c r="E168" s="5" t="s">
        <v>836</v>
      </c>
      <c r="F168" s="9" t="s">
        <v>1065</v>
      </c>
      <c r="G168" s="19" t="s">
        <v>343</v>
      </c>
      <c r="H168" s="19" t="s">
        <v>1081</v>
      </c>
    </row>
    <row r="169" customFormat="false" ht="15" hidden="false" customHeight="false" outlineLevel="0" collapsed="false">
      <c r="B169" s="9" t="s">
        <v>76</v>
      </c>
      <c r="C169" s="5" t="s">
        <v>195</v>
      </c>
      <c r="D169" s="5" t="s">
        <v>880</v>
      </c>
      <c r="E169" s="5" t="s">
        <v>836</v>
      </c>
      <c r="F169" s="9" t="s">
        <v>881</v>
      </c>
      <c r="G169" s="19" t="s">
        <v>345</v>
      </c>
      <c r="H169" s="19" t="s">
        <v>1082</v>
      </c>
    </row>
    <row r="170" customFormat="false" ht="15" hidden="false" customHeight="false" outlineLevel="0" collapsed="false">
      <c r="B170" s="9" t="s">
        <v>76</v>
      </c>
      <c r="C170" s="5" t="s">
        <v>195</v>
      </c>
      <c r="D170" s="5" t="s">
        <v>883</v>
      </c>
      <c r="E170" s="5" t="s">
        <v>836</v>
      </c>
      <c r="F170" s="9" t="s">
        <v>1068</v>
      </c>
      <c r="G170" s="19" t="s">
        <v>347</v>
      </c>
      <c r="H170" s="19" t="s">
        <v>1083</v>
      </c>
    </row>
    <row r="171" customFormat="false" ht="15" hidden="false" customHeight="false" outlineLevel="0" collapsed="false">
      <c r="B171" s="9" t="s">
        <v>76</v>
      </c>
      <c r="C171" s="5" t="s">
        <v>195</v>
      </c>
      <c r="D171" s="5" t="s">
        <v>1084</v>
      </c>
      <c r="E171" s="5" t="s">
        <v>840</v>
      </c>
      <c r="F171" s="9" t="s">
        <v>1085</v>
      </c>
      <c r="G171" s="19" t="s">
        <v>349</v>
      </c>
      <c r="H171" s="19" t="s">
        <v>1086</v>
      </c>
    </row>
    <row r="172" customFormat="false" ht="15" hidden="false" customHeight="false" outlineLevel="0" collapsed="false">
      <c r="B172" s="9" t="s">
        <v>76</v>
      </c>
      <c r="C172" s="5" t="s">
        <v>195</v>
      </c>
      <c r="D172" s="5" t="s">
        <v>184</v>
      </c>
      <c r="E172" s="5" t="s">
        <v>836</v>
      </c>
      <c r="F172" s="9" t="s">
        <v>1070</v>
      </c>
      <c r="G172" s="19" t="s">
        <v>351</v>
      </c>
      <c r="H172" s="19" t="s">
        <v>1087</v>
      </c>
    </row>
    <row r="173" customFormat="false" ht="15" hidden="false" customHeight="false" outlineLevel="0" collapsed="false">
      <c r="B173" s="9" t="s">
        <v>76</v>
      </c>
      <c r="C173" s="5" t="s">
        <v>210</v>
      </c>
      <c r="D173" s="5" t="s">
        <v>179</v>
      </c>
      <c r="E173" s="5" t="s">
        <v>836</v>
      </c>
      <c r="F173" s="9" t="s">
        <v>837</v>
      </c>
      <c r="G173" s="19" t="s">
        <v>353</v>
      </c>
      <c r="H173" s="19" t="s">
        <v>308</v>
      </c>
    </row>
    <row r="174" customFormat="false" ht="15" hidden="false" customHeight="false" outlineLevel="0" collapsed="false">
      <c r="B174" s="9" t="s">
        <v>76</v>
      </c>
      <c r="C174" s="5" t="s">
        <v>210</v>
      </c>
      <c r="D174" s="5" t="s">
        <v>179</v>
      </c>
      <c r="E174" s="5" t="s">
        <v>836</v>
      </c>
      <c r="F174" s="9" t="s">
        <v>838</v>
      </c>
      <c r="G174" s="19" t="s">
        <v>355</v>
      </c>
      <c r="H174" s="19" t="s">
        <v>310</v>
      </c>
    </row>
    <row r="175" customFormat="false" ht="15" hidden="false" customHeight="false" outlineLevel="0" collapsed="false">
      <c r="B175" s="9" t="s">
        <v>76</v>
      </c>
      <c r="C175" s="5" t="s">
        <v>210</v>
      </c>
      <c r="D175" s="5" t="s">
        <v>179</v>
      </c>
      <c r="E175" s="5" t="s">
        <v>836</v>
      </c>
      <c r="F175" s="9" t="s">
        <v>839</v>
      </c>
      <c r="G175" s="19" t="s">
        <v>357</v>
      </c>
      <c r="H175" s="19" t="s">
        <v>312</v>
      </c>
    </row>
    <row r="176" customFormat="false" ht="15" hidden="false" customHeight="false" outlineLevel="0" collapsed="false">
      <c r="B176" s="9" t="s">
        <v>76</v>
      </c>
      <c r="C176" s="5" t="s">
        <v>210</v>
      </c>
      <c r="D176" s="5" t="s">
        <v>232</v>
      </c>
      <c r="E176" s="5" t="s">
        <v>840</v>
      </c>
      <c r="F176" s="9" t="s">
        <v>1050</v>
      </c>
      <c r="G176" s="19" t="s">
        <v>359</v>
      </c>
      <c r="H176" s="19" t="s">
        <v>314</v>
      </c>
    </row>
    <row r="177" customFormat="false" ht="15" hidden="false" customHeight="false" outlineLevel="0" collapsed="false">
      <c r="B177" s="9" t="s">
        <v>76</v>
      </c>
      <c r="C177" s="5" t="s">
        <v>210</v>
      </c>
      <c r="D177" s="5" t="s">
        <v>232</v>
      </c>
      <c r="E177" s="5" t="s">
        <v>836</v>
      </c>
      <c r="F177" s="9" t="s">
        <v>1051</v>
      </c>
      <c r="G177" s="19" t="s">
        <v>361</v>
      </c>
      <c r="H177" s="19" t="s">
        <v>316</v>
      </c>
    </row>
    <row r="178" customFormat="false" ht="15" hidden="false" customHeight="false" outlineLevel="0" collapsed="false">
      <c r="B178" s="9" t="s">
        <v>76</v>
      </c>
      <c r="C178" s="5" t="s">
        <v>210</v>
      </c>
      <c r="D178" s="5" t="s">
        <v>192</v>
      </c>
      <c r="E178" s="5" t="s">
        <v>836</v>
      </c>
      <c r="F178" s="9" t="s">
        <v>843</v>
      </c>
      <c r="G178" s="19" t="s">
        <v>363</v>
      </c>
      <c r="H178" s="19" t="s">
        <v>318</v>
      </c>
    </row>
    <row r="179" customFormat="false" ht="15" hidden="false" customHeight="false" outlineLevel="0" collapsed="false">
      <c r="B179" s="9" t="s">
        <v>76</v>
      </c>
      <c r="C179" s="5" t="s">
        <v>210</v>
      </c>
      <c r="D179" s="5" t="s">
        <v>192</v>
      </c>
      <c r="E179" s="5" t="s">
        <v>836</v>
      </c>
      <c r="F179" s="9" t="s">
        <v>844</v>
      </c>
      <c r="G179" s="19" t="s">
        <v>366</v>
      </c>
      <c r="H179" s="19" t="s">
        <v>1088</v>
      </c>
    </row>
    <row r="180" customFormat="false" ht="15" hidden="false" customHeight="false" outlineLevel="0" collapsed="false">
      <c r="B180" s="9" t="s">
        <v>76</v>
      </c>
      <c r="C180" s="5" t="s">
        <v>210</v>
      </c>
      <c r="D180" s="5" t="s">
        <v>235</v>
      </c>
      <c r="E180" s="5" t="s">
        <v>836</v>
      </c>
      <c r="F180" s="9" t="s">
        <v>846</v>
      </c>
      <c r="G180" s="19" t="s">
        <v>368</v>
      </c>
      <c r="H180" s="19" t="s">
        <v>1089</v>
      </c>
    </row>
    <row r="181" customFormat="false" ht="15" hidden="false" customHeight="false" outlineLevel="0" collapsed="false">
      <c r="B181" s="9" t="s">
        <v>76</v>
      </c>
      <c r="C181" s="5" t="s">
        <v>210</v>
      </c>
      <c r="D181" s="5" t="s">
        <v>365</v>
      </c>
      <c r="E181" s="5" t="s">
        <v>836</v>
      </c>
      <c r="F181" s="9" t="s">
        <v>1054</v>
      </c>
      <c r="G181" s="19" t="s">
        <v>370</v>
      </c>
      <c r="H181" s="19" t="s">
        <v>1090</v>
      </c>
    </row>
    <row r="182" customFormat="false" ht="15" hidden="false" customHeight="false" outlineLevel="0" collapsed="false">
      <c r="B182" s="9" t="s">
        <v>76</v>
      </c>
      <c r="C182" s="5" t="s">
        <v>210</v>
      </c>
      <c r="D182" s="5" t="s">
        <v>365</v>
      </c>
      <c r="E182" s="5" t="s">
        <v>836</v>
      </c>
      <c r="F182" s="9" t="s">
        <v>1056</v>
      </c>
      <c r="G182" s="19" t="s">
        <v>372</v>
      </c>
      <c r="H182" s="19" t="s">
        <v>1091</v>
      </c>
    </row>
    <row r="183" customFormat="false" ht="15" hidden="false" customHeight="false" outlineLevel="0" collapsed="false">
      <c r="B183" s="9" t="s">
        <v>76</v>
      </c>
      <c r="C183" s="5" t="s">
        <v>210</v>
      </c>
      <c r="D183" s="5" t="s">
        <v>863</v>
      </c>
      <c r="E183" s="5" t="s">
        <v>836</v>
      </c>
      <c r="F183" s="9" t="s">
        <v>1058</v>
      </c>
      <c r="G183" s="19" t="s">
        <v>1092</v>
      </c>
      <c r="H183" s="19" t="s">
        <v>1093</v>
      </c>
    </row>
    <row r="184" customFormat="false" ht="15" hidden="false" customHeight="false" outlineLevel="0" collapsed="false">
      <c r="B184" s="9" t="s">
        <v>76</v>
      </c>
      <c r="C184" s="5" t="s">
        <v>210</v>
      </c>
      <c r="D184" s="5" t="s">
        <v>866</v>
      </c>
      <c r="E184" s="5" t="s">
        <v>836</v>
      </c>
      <c r="F184" s="9" t="s">
        <v>1060</v>
      </c>
      <c r="G184" s="19" t="s">
        <v>1094</v>
      </c>
      <c r="H184" s="19" t="s">
        <v>1095</v>
      </c>
    </row>
    <row r="185" customFormat="false" ht="15" hidden="false" customHeight="false" outlineLevel="0" collapsed="false">
      <c r="B185" s="9" t="s">
        <v>76</v>
      </c>
      <c r="C185" s="5" t="s">
        <v>210</v>
      </c>
      <c r="D185" s="5" t="s">
        <v>1062</v>
      </c>
      <c r="E185" s="5" t="s">
        <v>836</v>
      </c>
      <c r="F185" s="9" t="s">
        <v>1063</v>
      </c>
      <c r="G185" s="19" t="s">
        <v>1096</v>
      </c>
      <c r="H185" s="19" t="s">
        <v>1097</v>
      </c>
    </row>
    <row r="186" customFormat="false" ht="15" hidden="false" customHeight="false" outlineLevel="0" collapsed="false">
      <c r="B186" s="9" t="s">
        <v>76</v>
      </c>
      <c r="C186" s="5" t="s">
        <v>210</v>
      </c>
      <c r="D186" s="5" t="s">
        <v>860</v>
      </c>
      <c r="E186" s="5" t="s">
        <v>836</v>
      </c>
      <c r="F186" s="9" t="s">
        <v>1065</v>
      </c>
      <c r="G186" s="19" t="s">
        <v>1098</v>
      </c>
      <c r="H186" s="19" t="s">
        <v>1099</v>
      </c>
    </row>
    <row r="187" customFormat="false" ht="15" hidden="false" customHeight="false" outlineLevel="0" collapsed="false">
      <c r="B187" s="9" t="s">
        <v>76</v>
      </c>
      <c r="C187" s="5" t="s">
        <v>210</v>
      </c>
      <c r="D187" s="5" t="s">
        <v>880</v>
      </c>
      <c r="E187" s="5" t="s">
        <v>836</v>
      </c>
      <c r="F187" s="9" t="s">
        <v>881</v>
      </c>
      <c r="G187" s="19" t="s">
        <v>1100</v>
      </c>
      <c r="H187" s="19" t="s">
        <v>1101</v>
      </c>
    </row>
    <row r="188" customFormat="false" ht="15" hidden="false" customHeight="false" outlineLevel="0" collapsed="false">
      <c r="B188" s="9" t="s">
        <v>76</v>
      </c>
      <c r="C188" s="5" t="s">
        <v>210</v>
      </c>
      <c r="D188" s="5" t="s">
        <v>883</v>
      </c>
      <c r="E188" s="5" t="s">
        <v>836</v>
      </c>
      <c r="F188" s="9" t="s">
        <v>1068</v>
      </c>
      <c r="G188" s="19" t="s">
        <v>1102</v>
      </c>
      <c r="H188" s="19" t="s">
        <v>1103</v>
      </c>
    </row>
    <row r="189" customFormat="false" ht="15" hidden="false" customHeight="false" outlineLevel="0" collapsed="false">
      <c r="B189" s="9" t="s">
        <v>76</v>
      </c>
      <c r="C189" s="5" t="s">
        <v>210</v>
      </c>
      <c r="D189" s="5" t="s">
        <v>184</v>
      </c>
      <c r="E189" s="5" t="s">
        <v>836</v>
      </c>
      <c r="F189" s="9" t="s">
        <v>1070</v>
      </c>
      <c r="G189" s="19" t="s">
        <v>1104</v>
      </c>
      <c r="H189" s="19" t="s">
        <v>1105</v>
      </c>
    </row>
    <row r="190" customFormat="false" ht="15" hidden="false" customHeight="false" outlineLevel="0" collapsed="false">
      <c r="B190" s="9" t="s">
        <v>76</v>
      </c>
      <c r="C190" s="5" t="s">
        <v>223</v>
      </c>
      <c r="D190" s="5" t="s">
        <v>179</v>
      </c>
      <c r="E190" s="5" t="s">
        <v>840</v>
      </c>
      <c r="F190" s="9" t="s">
        <v>1072</v>
      </c>
      <c r="G190" s="19" t="s">
        <v>1106</v>
      </c>
      <c r="H190" s="19" t="s">
        <v>320</v>
      </c>
    </row>
    <row r="191" customFormat="false" ht="15" hidden="false" customHeight="false" outlineLevel="0" collapsed="false">
      <c r="B191" s="9" t="s">
        <v>76</v>
      </c>
      <c r="C191" s="5" t="s">
        <v>223</v>
      </c>
      <c r="D191" s="5" t="s">
        <v>179</v>
      </c>
      <c r="E191" s="5" t="s">
        <v>840</v>
      </c>
      <c r="F191" s="9" t="s">
        <v>1073</v>
      </c>
      <c r="G191" s="19" t="s">
        <v>1107</v>
      </c>
      <c r="H191" s="19" t="s">
        <v>322</v>
      </c>
    </row>
    <row r="192" customFormat="false" ht="15" hidden="false" customHeight="false" outlineLevel="0" collapsed="false">
      <c r="B192" s="9" t="s">
        <v>76</v>
      </c>
      <c r="C192" s="5" t="s">
        <v>223</v>
      </c>
      <c r="D192" s="5" t="s">
        <v>179</v>
      </c>
      <c r="E192" s="5" t="s">
        <v>836</v>
      </c>
      <c r="F192" s="9" t="s">
        <v>837</v>
      </c>
      <c r="G192" s="19" t="s">
        <v>1108</v>
      </c>
      <c r="H192" s="19" t="s">
        <v>324</v>
      </c>
    </row>
    <row r="193" customFormat="false" ht="15" hidden="false" customHeight="false" outlineLevel="0" collapsed="false">
      <c r="B193" s="9" t="s">
        <v>76</v>
      </c>
      <c r="C193" s="5" t="s">
        <v>223</v>
      </c>
      <c r="D193" s="5" t="s">
        <v>179</v>
      </c>
      <c r="E193" s="5" t="s">
        <v>836</v>
      </c>
      <c r="F193" s="9" t="s">
        <v>838</v>
      </c>
      <c r="G193" s="19" t="s">
        <v>1109</v>
      </c>
      <c r="H193" s="19" t="s">
        <v>326</v>
      </c>
    </row>
    <row r="194" customFormat="false" ht="15" hidden="false" customHeight="false" outlineLevel="0" collapsed="false">
      <c r="B194" s="9" t="s">
        <v>76</v>
      </c>
      <c r="C194" s="5" t="s">
        <v>223</v>
      </c>
      <c r="D194" s="5" t="s">
        <v>179</v>
      </c>
      <c r="E194" s="5" t="s">
        <v>836</v>
      </c>
      <c r="F194" s="9" t="s">
        <v>839</v>
      </c>
      <c r="G194" s="19" t="s">
        <v>1110</v>
      </c>
      <c r="H194" s="19" t="s">
        <v>328</v>
      </c>
    </row>
    <row r="195" customFormat="false" ht="15" hidden="false" customHeight="false" outlineLevel="0" collapsed="false">
      <c r="B195" s="9" t="s">
        <v>76</v>
      </c>
      <c r="C195" s="5" t="s">
        <v>223</v>
      </c>
      <c r="D195" s="5" t="s">
        <v>232</v>
      </c>
      <c r="E195" s="5" t="s">
        <v>836</v>
      </c>
      <c r="F195" s="9" t="s">
        <v>1051</v>
      </c>
      <c r="G195" s="19" t="s">
        <v>1111</v>
      </c>
      <c r="H195" s="19" t="s">
        <v>330</v>
      </c>
    </row>
    <row r="196" customFormat="false" ht="15" hidden="false" customHeight="false" outlineLevel="0" collapsed="false">
      <c r="B196" s="9" t="s">
        <v>76</v>
      </c>
      <c r="C196" s="5" t="s">
        <v>223</v>
      </c>
      <c r="D196" s="5" t="s">
        <v>192</v>
      </c>
      <c r="E196" s="5" t="s">
        <v>836</v>
      </c>
      <c r="F196" s="9" t="s">
        <v>843</v>
      </c>
      <c r="G196" s="19" t="s">
        <v>1112</v>
      </c>
      <c r="H196" s="19" t="s">
        <v>332</v>
      </c>
    </row>
    <row r="197" customFormat="false" ht="15" hidden="false" customHeight="false" outlineLevel="0" collapsed="false">
      <c r="B197" s="9" t="s">
        <v>76</v>
      </c>
      <c r="C197" s="5" t="s">
        <v>223</v>
      </c>
      <c r="D197" s="5" t="s">
        <v>192</v>
      </c>
      <c r="E197" s="5" t="s">
        <v>836</v>
      </c>
      <c r="F197" s="9" t="s">
        <v>844</v>
      </c>
      <c r="G197" s="19" t="s">
        <v>1113</v>
      </c>
      <c r="H197" s="19" t="s">
        <v>334</v>
      </c>
    </row>
    <row r="198" customFormat="false" ht="15" hidden="false" customHeight="false" outlineLevel="0" collapsed="false">
      <c r="B198" s="9" t="s">
        <v>76</v>
      </c>
      <c r="C198" s="5" t="s">
        <v>223</v>
      </c>
      <c r="D198" s="5" t="s">
        <v>365</v>
      </c>
      <c r="E198" s="5" t="s">
        <v>836</v>
      </c>
      <c r="F198" s="9" t="s">
        <v>1054</v>
      </c>
      <c r="G198" s="19" t="s">
        <v>1114</v>
      </c>
      <c r="H198" s="19" t="s">
        <v>336</v>
      </c>
    </row>
    <row r="199" customFormat="false" ht="15" hidden="false" customHeight="false" outlineLevel="0" collapsed="false">
      <c r="B199" s="9" t="s">
        <v>76</v>
      </c>
      <c r="C199" s="5" t="s">
        <v>223</v>
      </c>
      <c r="D199" s="5" t="s">
        <v>365</v>
      </c>
      <c r="E199" s="5" t="s">
        <v>836</v>
      </c>
      <c r="F199" s="9" t="s">
        <v>1056</v>
      </c>
      <c r="G199" s="19" t="s">
        <v>1115</v>
      </c>
      <c r="H199" s="19" t="s">
        <v>338</v>
      </c>
    </row>
    <row r="200" customFormat="false" ht="15" hidden="false" customHeight="false" outlineLevel="0" collapsed="false">
      <c r="B200" s="9" t="s">
        <v>76</v>
      </c>
      <c r="C200" s="5" t="s">
        <v>223</v>
      </c>
      <c r="D200" s="5" t="s">
        <v>863</v>
      </c>
      <c r="E200" s="5" t="s">
        <v>836</v>
      </c>
      <c r="F200" s="9" t="s">
        <v>1058</v>
      </c>
      <c r="G200" s="19" t="s">
        <v>1116</v>
      </c>
      <c r="H200" s="19" t="s">
        <v>1117</v>
      </c>
    </row>
    <row r="201" customFormat="false" ht="15" hidden="false" customHeight="false" outlineLevel="0" collapsed="false">
      <c r="B201" s="9" t="s">
        <v>76</v>
      </c>
      <c r="C201" s="5" t="s">
        <v>223</v>
      </c>
      <c r="D201" s="5" t="s">
        <v>866</v>
      </c>
      <c r="E201" s="5" t="s">
        <v>836</v>
      </c>
      <c r="F201" s="9" t="s">
        <v>1060</v>
      </c>
      <c r="G201" s="19" t="s">
        <v>1118</v>
      </c>
      <c r="H201" s="19" t="s">
        <v>1119</v>
      </c>
    </row>
    <row r="202" customFormat="false" ht="15" hidden="false" customHeight="false" outlineLevel="0" collapsed="false">
      <c r="B202" s="9" t="s">
        <v>76</v>
      </c>
      <c r="C202" s="5" t="s">
        <v>223</v>
      </c>
      <c r="D202" s="5" t="s">
        <v>1062</v>
      </c>
      <c r="E202" s="5" t="s">
        <v>836</v>
      </c>
      <c r="F202" s="9" t="s">
        <v>1063</v>
      </c>
      <c r="G202" s="19" t="s">
        <v>1120</v>
      </c>
      <c r="H202" s="19" t="s">
        <v>1121</v>
      </c>
    </row>
    <row r="203" customFormat="false" ht="15" hidden="false" customHeight="false" outlineLevel="0" collapsed="false">
      <c r="B203" s="9" t="s">
        <v>76</v>
      </c>
      <c r="C203" s="5" t="s">
        <v>223</v>
      </c>
      <c r="D203" s="5" t="s">
        <v>860</v>
      </c>
      <c r="E203" s="5" t="s">
        <v>836</v>
      </c>
      <c r="F203" s="9" t="s">
        <v>1065</v>
      </c>
      <c r="G203" s="19" t="s">
        <v>1122</v>
      </c>
      <c r="H203" s="19" t="s">
        <v>1123</v>
      </c>
    </row>
    <row r="204" customFormat="false" ht="15" hidden="false" customHeight="false" outlineLevel="0" collapsed="false">
      <c r="B204" s="9" t="s">
        <v>76</v>
      </c>
      <c r="C204" s="5" t="s">
        <v>223</v>
      </c>
      <c r="D204" s="5" t="s">
        <v>880</v>
      </c>
      <c r="E204" s="5" t="s">
        <v>836</v>
      </c>
      <c r="F204" s="9" t="s">
        <v>881</v>
      </c>
      <c r="G204" s="19" t="s">
        <v>1124</v>
      </c>
      <c r="H204" s="19" t="s">
        <v>1125</v>
      </c>
    </row>
    <row r="205" customFormat="false" ht="15" hidden="false" customHeight="false" outlineLevel="0" collapsed="false">
      <c r="B205" s="9" t="s">
        <v>76</v>
      </c>
      <c r="C205" s="5" t="s">
        <v>223</v>
      </c>
      <c r="D205" s="5" t="s">
        <v>883</v>
      </c>
      <c r="E205" s="5" t="s">
        <v>836</v>
      </c>
      <c r="F205" s="9" t="s">
        <v>1068</v>
      </c>
      <c r="G205" s="19" t="s">
        <v>1126</v>
      </c>
      <c r="H205" s="19" t="s">
        <v>1127</v>
      </c>
    </row>
    <row r="206" customFormat="false" ht="15" hidden="false" customHeight="false" outlineLevel="0" collapsed="false">
      <c r="B206" s="9" t="s">
        <v>76</v>
      </c>
      <c r="C206" s="5" t="s">
        <v>223</v>
      </c>
      <c r="D206" s="5" t="s">
        <v>1084</v>
      </c>
      <c r="E206" s="5" t="s">
        <v>840</v>
      </c>
      <c r="F206" s="9" t="s">
        <v>1085</v>
      </c>
      <c r="G206" s="19" t="s">
        <v>1128</v>
      </c>
      <c r="H206" s="19" t="s">
        <v>1129</v>
      </c>
    </row>
    <row r="207" customFormat="false" ht="15" hidden="false" customHeight="false" outlineLevel="0" collapsed="false">
      <c r="B207" s="9" t="s">
        <v>76</v>
      </c>
      <c r="C207" s="5" t="s">
        <v>223</v>
      </c>
      <c r="D207" s="5" t="s">
        <v>184</v>
      </c>
      <c r="E207" s="5" t="s">
        <v>836</v>
      </c>
      <c r="F207" s="9" t="s">
        <v>1070</v>
      </c>
      <c r="G207" s="19" t="s">
        <v>1130</v>
      </c>
      <c r="H207" s="19" t="s">
        <v>1131</v>
      </c>
    </row>
    <row r="208" customFormat="false" ht="15" hidden="false" customHeight="false" outlineLevel="0" collapsed="false">
      <c r="B208" s="9" t="s">
        <v>76</v>
      </c>
      <c r="C208" s="5" t="s">
        <v>244</v>
      </c>
      <c r="D208" s="5" t="s">
        <v>179</v>
      </c>
      <c r="E208" s="5" t="s">
        <v>836</v>
      </c>
      <c r="F208" s="9" t="s">
        <v>837</v>
      </c>
      <c r="G208" s="19" t="s">
        <v>1132</v>
      </c>
      <c r="H208" s="19" t="s">
        <v>340</v>
      </c>
    </row>
    <row r="209" customFormat="false" ht="15" hidden="false" customHeight="false" outlineLevel="0" collapsed="false">
      <c r="B209" s="9" t="s">
        <v>76</v>
      </c>
      <c r="C209" s="5" t="s">
        <v>244</v>
      </c>
      <c r="D209" s="5" t="s">
        <v>179</v>
      </c>
      <c r="E209" s="5" t="s">
        <v>836</v>
      </c>
      <c r="F209" s="9" t="s">
        <v>838</v>
      </c>
      <c r="G209" s="19" t="s">
        <v>1133</v>
      </c>
      <c r="H209" s="19" t="s">
        <v>342</v>
      </c>
    </row>
    <row r="210" customFormat="false" ht="15" hidden="false" customHeight="false" outlineLevel="0" collapsed="false">
      <c r="B210" s="9" t="s">
        <v>76</v>
      </c>
      <c r="C210" s="5" t="s">
        <v>244</v>
      </c>
      <c r="D210" s="5" t="s">
        <v>179</v>
      </c>
      <c r="E210" s="5" t="s">
        <v>836</v>
      </c>
      <c r="F210" s="9" t="s">
        <v>839</v>
      </c>
      <c r="G210" s="19" t="s">
        <v>1134</v>
      </c>
      <c r="H210" s="19" t="s">
        <v>344</v>
      </c>
    </row>
    <row r="211" customFormat="false" ht="15" hidden="false" customHeight="false" outlineLevel="0" collapsed="false">
      <c r="B211" s="9" t="s">
        <v>76</v>
      </c>
      <c r="C211" s="5" t="s">
        <v>244</v>
      </c>
      <c r="D211" s="5" t="s">
        <v>232</v>
      </c>
      <c r="E211" s="5" t="s">
        <v>840</v>
      </c>
      <c r="F211" s="9" t="s">
        <v>1050</v>
      </c>
      <c r="G211" s="19" t="s">
        <v>1135</v>
      </c>
      <c r="H211" s="19" t="s">
        <v>346</v>
      </c>
    </row>
    <row r="212" customFormat="false" ht="15" hidden="false" customHeight="false" outlineLevel="0" collapsed="false">
      <c r="B212" s="9" t="s">
        <v>76</v>
      </c>
      <c r="C212" s="5" t="s">
        <v>244</v>
      </c>
      <c r="D212" s="5" t="s">
        <v>232</v>
      </c>
      <c r="E212" s="5" t="s">
        <v>836</v>
      </c>
      <c r="F212" s="9" t="s">
        <v>1051</v>
      </c>
      <c r="G212" s="19" t="s">
        <v>1136</v>
      </c>
      <c r="H212" s="19" t="s">
        <v>348</v>
      </c>
    </row>
    <row r="213" customFormat="false" ht="15" hidden="false" customHeight="false" outlineLevel="0" collapsed="false">
      <c r="B213" s="9" t="s">
        <v>76</v>
      </c>
      <c r="C213" s="5" t="s">
        <v>244</v>
      </c>
      <c r="D213" s="5" t="s">
        <v>192</v>
      </c>
      <c r="E213" s="5" t="s">
        <v>836</v>
      </c>
      <c r="F213" s="9" t="s">
        <v>843</v>
      </c>
      <c r="G213" s="19" t="s">
        <v>1137</v>
      </c>
      <c r="H213" s="19" t="s">
        <v>350</v>
      </c>
    </row>
    <row r="214" customFormat="false" ht="15" hidden="false" customHeight="false" outlineLevel="0" collapsed="false">
      <c r="B214" s="9" t="s">
        <v>76</v>
      </c>
      <c r="C214" s="5" t="s">
        <v>244</v>
      </c>
      <c r="D214" s="5" t="s">
        <v>192</v>
      </c>
      <c r="E214" s="5" t="s">
        <v>836</v>
      </c>
      <c r="F214" s="9" t="s">
        <v>844</v>
      </c>
      <c r="G214" s="19" t="s">
        <v>1138</v>
      </c>
      <c r="H214" s="19" t="s">
        <v>1139</v>
      </c>
    </row>
    <row r="215" customFormat="false" ht="15" hidden="false" customHeight="false" outlineLevel="0" collapsed="false">
      <c r="B215" s="9" t="s">
        <v>76</v>
      </c>
      <c r="C215" s="5" t="s">
        <v>244</v>
      </c>
      <c r="D215" s="5" t="s">
        <v>235</v>
      </c>
      <c r="E215" s="5" t="s">
        <v>836</v>
      </c>
      <c r="F215" s="9" t="s">
        <v>846</v>
      </c>
      <c r="G215" s="19" t="s">
        <v>1140</v>
      </c>
      <c r="H215" s="19" t="s">
        <v>1141</v>
      </c>
    </row>
    <row r="216" customFormat="false" ht="15" hidden="false" customHeight="false" outlineLevel="0" collapsed="false">
      <c r="B216" s="9" t="s">
        <v>76</v>
      </c>
      <c r="C216" s="5" t="s">
        <v>244</v>
      </c>
      <c r="D216" s="5" t="s">
        <v>365</v>
      </c>
      <c r="E216" s="5" t="s">
        <v>836</v>
      </c>
      <c r="F216" s="9" t="s">
        <v>1054</v>
      </c>
      <c r="G216" s="19" t="s">
        <v>1142</v>
      </c>
      <c r="H216" s="19" t="s">
        <v>1143</v>
      </c>
    </row>
    <row r="217" customFormat="false" ht="15" hidden="false" customHeight="false" outlineLevel="0" collapsed="false">
      <c r="B217" s="9" t="s">
        <v>76</v>
      </c>
      <c r="C217" s="5" t="s">
        <v>244</v>
      </c>
      <c r="D217" s="5" t="s">
        <v>365</v>
      </c>
      <c r="E217" s="5" t="s">
        <v>836</v>
      </c>
      <c r="F217" s="9" t="s">
        <v>1056</v>
      </c>
      <c r="G217" s="19" t="s">
        <v>1144</v>
      </c>
      <c r="H217" s="19" t="s">
        <v>1145</v>
      </c>
    </row>
    <row r="218" customFormat="false" ht="15" hidden="false" customHeight="false" outlineLevel="0" collapsed="false">
      <c r="B218" s="9" t="s">
        <v>76</v>
      </c>
      <c r="C218" s="5" t="s">
        <v>244</v>
      </c>
      <c r="D218" s="5" t="s">
        <v>863</v>
      </c>
      <c r="E218" s="5" t="s">
        <v>836</v>
      </c>
      <c r="F218" s="9" t="s">
        <v>1058</v>
      </c>
      <c r="G218" s="19" t="s">
        <v>1146</v>
      </c>
      <c r="H218" s="19" t="s">
        <v>1147</v>
      </c>
    </row>
    <row r="219" customFormat="false" ht="15" hidden="false" customHeight="false" outlineLevel="0" collapsed="false">
      <c r="B219" s="9" t="s">
        <v>76</v>
      </c>
      <c r="C219" s="5" t="s">
        <v>244</v>
      </c>
      <c r="D219" s="5" t="s">
        <v>866</v>
      </c>
      <c r="E219" s="5" t="s">
        <v>836</v>
      </c>
      <c r="F219" s="9" t="s">
        <v>1060</v>
      </c>
      <c r="G219" s="19" t="s">
        <v>1148</v>
      </c>
      <c r="H219" s="19" t="s">
        <v>1149</v>
      </c>
    </row>
    <row r="220" customFormat="false" ht="15" hidden="false" customHeight="false" outlineLevel="0" collapsed="false">
      <c r="B220" s="9" t="s">
        <v>76</v>
      </c>
      <c r="C220" s="5" t="s">
        <v>244</v>
      </c>
      <c r="D220" s="5" t="s">
        <v>1062</v>
      </c>
      <c r="E220" s="5" t="s">
        <v>836</v>
      </c>
      <c r="F220" s="9" t="s">
        <v>1063</v>
      </c>
      <c r="G220" s="19" t="s">
        <v>1150</v>
      </c>
      <c r="H220" s="19" t="s">
        <v>1151</v>
      </c>
    </row>
    <row r="221" customFormat="false" ht="15" hidden="false" customHeight="false" outlineLevel="0" collapsed="false">
      <c r="B221" s="9" t="s">
        <v>76</v>
      </c>
      <c r="C221" s="5" t="s">
        <v>244</v>
      </c>
      <c r="D221" s="5" t="s">
        <v>860</v>
      </c>
      <c r="E221" s="5" t="s">
        <v>836</v>
      </c>
      <c r="F221" s="9" t="s">
        <v>1065</v>
      </c>
      <c r="G221" s="19" t="s">
        <v>1152</v>
      </c>
      <c r="H221" s="19" t="s">
        <v>1153</v>
      </c>
    </row>
    <row r="222" customFormat="false" ht="15" hidden="false" customHeight="false" outlineLevel="0" collapsed="false">
      <c r="B222" s="9" t="s">
        <v>76</v>
      </c>
      <c r="C222" s="5" t="s">
        <v>244</v>
      </c>
      <c r="D222" s="5" t="s">
        <v>880</v>
      </c>
      <c r="E222" s="5" t="s">
        <v>836</v>
      </c>
      <c r="F222" s="9" t="s">
        <v>881</v>
      </c>
      <c r="G222" s="19" t="s">
        <v>1154</v>
      </c>
      <c r="H222" s="19" t="s">
        <v>1155</v>
      </c>
    </row>
    <row r="223" customFormat="false" ht="15" hidden="false" customHeight="false" outlineLevel="0" collapsed="false">
      <c r="B223" s="9" t="s">
        <v>76</v>
      </c>
      <c r="C223" s="5" t="s">
        <v>244</v>
      </c>
      <c r="D223" s="5" t="s">
        <v>883</v>
      </c>
      <c r="E223" s="5" t="s">
        <v>836</v>
      </c>
      <c r="F223" s="9" t="s">
        <v>1068</v>
      </c>
      <c r="G223" s="19" t="s">
        <v>1156</v>
      </c>
      <c r="H223" s="19" t="s">
        <v>1157</v>
      </c>
    </row>
    <row r="224" customFormat="false" ht="15" hidden="false" customHeight="false" outlineLevel="0" collapsed="false">
      <c r="B224" s="9" t="s">
        <v>76</v>
      </c>
      <c r="C224" s="5" t="s">
        <v>244</v>
      </c>
      <c r="D224" s="5" t="s">
        <v>184</v>
      </c>
      <c r="E224" s="5" t="s">
        <v>836</v>
      </c>
      <c r="F224" s="9" t="s">
        <v>1070</v>
      </c>
      <c r="G224" s="19" t="s">
        <v>1158</v>
      </c>
      <c r="H224" s="19" t="s">
        <v>1159</v>
      </c>
    </row>
    <row r="225" customFormat="false" ht="15" hidden="false" customHeight="false" outlineLevel="0" collapsed="false">
      <c r="B225" s="9" t="s">
        <v>76</v>
      </c>
      <c r="C225" s="5" t="s">
        <v>257</v>
      </c>
      <c r="D225" s="5" t="s">
        <v>179</v>
      </c>
      <c r="E225" s="5" t="s">
        <v>836</v>
      </c>
      <c r="F225" s="9" t="s">
        <v>837</v>
      </c>
      <c r="G225" s="19" t="s">
        <v>1160</v>
      </c>
      <c r="H225" s="19" t="s">
        <v>352</v>
      </c>
    </row>
    <row r="226" customFormat="false" ht="15" hidden="false" customHeight="false" outlineLevel="0" collapsed="false">
      <c r="B226" s="9" t="s">
        <v>76</v>
      </c>
      <c r="C226" s="5" t="s">
        <v>257</v>
      </c>
      <c r="D226" s="5" t="s">
        <v>179</v>
      </c>
      <c r="E226" s="5" t="s">
        <v>836</v>
      </c>
      <c r="F226" s="9" t="s">
        <v>838</v>
      </c>
      <c r="G226" s="19" t="s">
        <v>1161</v>
      </c>
      <c r="H226" s="19" t="s">
        <v>354</v>
      </c>
    </row>
    <row r="227" customFormat="false" ht="15" hidden="false" customHeight="false" outlineLevel="0" collapsed="false">
      <c r="B227" s="9" t="s">
        <v>76</v>
      </c>
      <c r="C227" s="5" t="s">
        <v>257</v>
      </c>
      <c r="D227" s="5" t="s">
        <v>179</v>
      </c>
      <c r="E227" s="5" t="s">
        <v>836</v>
      </c>
      <c r="F227" s="9" t="s">
        <v>839</v>
      </c>
      <c r="G227" s="19" t="s">
        <v>1162</v>
      </c>
      <c r="H227" s="19" t="s">
        <v>356</v>
      </c>
    </row>
    <row r="228" customFormat="false" ht="15" hidden="false" customHeight="false" outlineLevel="0" collapsed="false">
      <c r="B228" s="9" t="s">
        <v>76</v>
      </c>
      <c r="C228" s="5" t="s">
        <v>257</v>
      </c>
      <c r="D228" s="5" t="s">
        <v>232</v>
      </c>
      <c r="E228" s="5" t="s">
        <v>836</v>
      </c>
      <c r="F228" s="9" t="s">
        <v>1051</v>
      </c>
      <c r="G228" s="19" t="s">
        <v>1163</v>
      </c>
      <c r="H228" s="19" t="s">
        <v>358</v>
      </c>
    </row>
    <row r="229" customFormat="false" ht="15" hidden="false" customHeight="false" outlineLevel="0" collapsed="false">
      <c r="B229" s="9" t="s">
        <v>76</v>
      </c>
      <c r="C229" s="5" t="s">
        <v>257</v>
      </c>
      <c r="D229" s="5" t="s">
        <v>192</v>
      </c>
      <c r="E229" s="5" t="s">
        <v>836</v>
      </c>
      <c r="F229" s="9" t="s">
        <v>843</v>
      </c>
      <c r="G229" s="19" t="s">
        <v>1164</v>
      </c>
      <c r="H229" s="19" t="s">
        <v>360</v>
      </c>
    </row>
    <row r="230" customFormat="false" ht="15" hidden="false" customHeight="false" outlineLevel="0" collapsed="false">
      <c r="B230" s="9" t="s">
        <v>76</v>
      </c>
      <c r="C230" s="5" t="s">
        <v>257</v>
      </c>
      <c r="D230" s="5" t="s">
        <v>192</v>
      </c>
      <c r="E230" s="5" t="s">
        <v>836</v>
      </c>
      <c r="F230" s="9" t="s">
        <v>844</v>
      </c>
      <c r="G230" s="19" t="s">
        <v>1165</v>
      </c>
      <c r="H230" s="19" t="s">
        <v>362</v>
      </c>
    </row>
    <row r="231" customFormat="false" ht="15" hidden="false" customHeight="false" outlineLevel="0" collapsed="false">
      <c r="B231" s="9" t="s">
        <v>76</v>
      </c>
      <c r="C231" s="5" t="s">
        <v>257</v>
      </c>
      <c r="D231" s="5" t="s">
        <v>365</v>
      </c>
      <c r="E231" s="5" t="s">
        <v>836</v>
      </c>
      <c r="F231" s="9" t="s">
        <v>1056</v>
      </c>
      <c r="G231" s="19" t="s">
        <v>1166</v>
      </c>
      <c r="H231" s="19" t="s">
        <v>364</v>
      </c>
    </row>
    <row r="232" customFormat="false" ht="15" hidden="false" customHeight="false" outlineLevel="0" collapsed="false">
      <c r="B232" s="9" t="s">
        <v>76</v>
      </c>
      <c r="C232" s="5" t="s">
        <v>257</v>
      </c>
      <c r="D232" s="5" t="s">
        <v>863</v>
      </c>
      <c r="E232" s="5" t="s">
        <v>836</v>
      </c>
      <c r="F232" s="9" t="s">
        <v>1058</v>
      </c>
      <c r="G232" s="19" t="s">
        <v>1167</v>
      </c>
      <c r="H232" s="19" t="s">
        <v>367</v>
      </c>
    </row>
    <row r="233" customFormat="false" ht="15" hidden="false" customHeight="false" outlineLevel="0" collapsed="false">
      <c r="B233" s="9" t="s">
        <v>76</v>
      </c>
      <c r="C233" s="5" t="s">
        <v>257</v>
      </c>
      <c r="D233" s="5" t="s">
        <v>866</v>
      </c>
      <c r="E233" s="5" t="s">
        <v>836</v>
      </c>
      <c r="F233" s="9" t="s">
        <v>1060</v>
      </c>
      <c r="G233" s="19" t="s">
        <v>1168</v>
      </c>
      <c r="H233" s="19" t="s">
        <v>369</v>
      </c>
    </row>
    <row r="234" customFormat="false" ht="15" hidden="false" customHeight="false" outlineLevel="0" collapsed="false">
      <c r="B234" s="9" t="s">
        <v>76</v>
      </c>
      <c r="C234" s="5" t="s">
        <v>257</v>
      </c>
      <c r="D234" s="5" t="s">
        <v>1062</v>
      </c>
      <c r="E234" s="5" t="s">
        <v>836</v>
      </c>
      <c r="F234" s="9" t="s">
        <v>1063</v>
      </c>
      <c r="G234" s="19" t="s">
        <v>1169</v>
      </c>
      <c r="H234" s="19" t="s">
        <v>371</v>
      </c>
    </row>
    <row r="235" customFormat="false" ht="15" hidden="false" customHeight="false" outlineLevel="0" collapsed="false">
      <c r="B235" s="9" t="s">
        <v>76</v>
      </c>
      <c r="C235" s="5" t="s">
        <v>257</v>
      </c>
      <c r="D235" s="5" t="s">
        <v>860</v>
      </c>
      <c r="E235" s="5" t="s">
        <v>836</v>
      </c>
      <c r="F235" s="9" t="s">
        <v>1065</v>
      </c>
      <c r="G235" s="19" t="s">
        <v>1170</v>
      </c>
      <c r="H235" s="19" t="s">
        <v>373</v>
      </c>
    </row>
    <row r="236" customFormat="false" ht="15" hidden="false" customHeight="false" outlineLevel="0" collapsed="false">
      <c r="B236" s="9" t="s">
        <v>76</v>
      </c>
      <c r="C236" s="5" t="s">
        <v>257</v>
      </c>
      <c r="D236" s="5" t="s">
        <v>880</v>
      </c>
      <c r="E236" s="5" t="s">
        <v>836</v>
      </c>
      <c r="F236" s="9" t="s">
        <v>881</v>
      </c>
      <c r="G236" s="19" t="s">
        <v>1171</v>
      </c>
      <c r="H236" s="19" t="s">
        <v>1172</v>
      </c>
    </row>
    <row r="237" customFormat="false" ht="15" hidden="false" customHeight="false" outlineLevel="0" collapsed="false">
      <c r="B237" s="9" t="s">
        <v>76</v>
      </c>
      <c r="C237" s="5" t="s">
        <v>257</v>
      </c>
      <c r="D237" s="5" t="s">
        <v>883</v>
      </c>
      <c r="E237" s="5" t="s">
        <v>836</v>
      </c>
      <c r="F237" s="9" t="s">
        <v>1068</v>
      </c>
      <c r="G237" s="19" t="s">
        <v>1173</v>
      </c>
      <c r="H237" s="19" t="s">
        <v>1174</v>
      </c>
    </row>
    <row r="238" customFormat="false" ht="15" hidden="false" customHeight="false" outlineLevel="0" collapsed="false">
      <c r="B238" s="9" t="s">
        <v>76</v>
      </c>
      <c r="C238" s="5" t="s">
        <v>257</v>
      </c>
      <c r="D238" s="5" t="s">
        <v>184</v>
      </c>
      <c r="E238" s="5" t="s">
        <v>836</v>
      </c>
      <c r="F238" s="9" t="s">
        <v>1070</v>
      </c>
      <c r="G238" s="19" t="s">
        <v>1175</v>
      </c>
      <c r="H238" s="19" t="s">
        <v>1176</v>
      </c>
    </row>
    <row r="239" customFormat="false" ht="15" hidden="false" customHeight="false" outlineLevel="0" collapsed="false">
      <c r="B239" s="9" t="s">
        <v>79</v>
      </c>
      <c r="C239" s="5" t="s">
        <v>36</v>
      </c>
      <c r="D239" s="5" t="s">
        <v>179</v>
      </c>
      <c r="E239" s="5" t="s">
        <v>836</v>
      </c>
      <c r="F239" s="9" t="s">
        <v>837</v>
      </c>
      <c r="G239" s="19" t="s">
        <v>374</v>
      </c>
      <c r="H239" s="19" t="s">
        <v>375</v>
      </c>
    </row>
    <row r="240" customFormat="false" ht="15" hidden="false" customHeight="false" outlineLevel="0" collapsed="false">
      <c r="B240" s="9" t="s">
        <v>79</v>
      </c>
      <c r="C240" s="5" t="s">
        <v>36</v>
      </c>
      <c r="D240" s="5" t="s">
        <v>179</v>
      </c>
      <c r="E240" s="5" t="s">
        <v>836</v>
      </c>
      <c r="F240" s="9" t="s">
        <v>838</v>
      </c>
      <c r="G240" s="19" t="s">
        <v>376</v>
      </c>
      <c r="H240" s="19" t="s">
        <v>377</v>
      </c>
    </row>
    <row r="241" customFormat="false" ht="15" hidden="false" customHeight="false" outlineLevel="0" collapsed="false">
      <c r="B241" s="9" t="s">
        <v>79</v>
      </c>
      <c r="C241" s="5" t="s">
        <v>36</v>
      </c>
      <c r="D241" s="5" t="s">
        <v>179</v>
      </c>
      <c r="E241" s="5" t="s">
        <v>836</v>
      </c>
      <c r="F241" s="9" t="s">
        <v>839</v>
      </c>
      <c r="G241" s="19" t="s">
        <v>378</v>
      </c>
      <c r="H241" s="19" t="s">
        <v>379</v>
      </c>
    </row>
    <row r="242" customFormat="false" ht="15" hidden="false" customHeight="false" outlineLevel="0" collapsed="false">
      <c r="B242" s="9" t="s">
        <v>79</v>
      </c>
      <c r="C242" s="5" t="s">
        <v>36</v>
      </c>
      <c r="D242" s="5" t="s">
        <v>232</v>
      </c>
      <c r="E242" s="5" t="s">
        <v>840</v>
      </c>
      <c r="F242" s="9" t="s">
        <v>1050</v>
      </c>
      <c r="G242" s="19" t="s">
        <v>380</v>
      </c>
      <c r="H242" s="19" t="s">
        <v>381</v>
      </c>
    </row>
    <row r="243" customFormat="false" ht="15" hidden="false" customHeight="false" outlineLevel="0" collapsed="false">
      <c r="B243" s="9" t="s">
        <v>79</v>
      </c>
      <c r="C243" s="5" t="s">
        <v>36</v>
      </c>
      <c r="D243" s="5" t="s">
        <v>192</v>
      </c>
      <c r="E243" s="5" t="s">
        <v>836</v>
      </c>
      <c r="F243" s="9" t="s">
        <v>843</v>
      </c>
      <c r="G243" s="19" t="s">
        <v>382</v>
      </c>
      <c r="H243" s="19" t="s">
        <v>383</v>
      </c>
    </row>
    <row r="244" customFormat="false" ht="15" hidden="false" customHeight="false" outlineLevel="0" collapsed="false">
      <c r="B244" s="9" t="s">
        <v>79</v>
      </c>
      <c r="C244" s="5" t="s">
        <v>36</v>
      </c>
      <c r="D244" s="5" t="s">
        <v>192</v>
      </c>
      <c r="E244" s="5" t="s">
        <v>836</v>
      </c>
      <c r="F244" s="9" t="s">
        <v>844</v>
      </c>
      <c r="G244" s="19" t="s">
        <v>384</v>
      </c>
      <c r="H244" s="19" t="s">
        <v>385</v>
      </c>
    </row>
    <row r="245" customFormat="false" ht="15" hidden="false" customHeight="false" outlineLevel="0" collapsed="false">
      <c r="B245" s="9" t="s">
        <v>79</v>
      </c>
      <c r="C245" s="5" t="s">
        <v>36</v>
      </c>
      <c r="D245" s="5" t="s">
        <v>235</v>
      </c>
      <c r="E245" s="5" t="s">
        <v>836</v>
      </c>
      <c r="F245" s="9" t="s">
        <v>846</v>
      </c>
      <c r="G245" s="19" t="s">
        <v>386</v>
      </c>
      <c r="H245" s="19" t="s">
        <v>387</v>
      </c>
    </row>
    <row r="246" customFormat="false" ht="15" hidden="false" customHeight="false" outlineLevel="0" collapsed="false">
      <c r="B246" s="9" t="s">
        <v>79</v>
      </c>
      <c r="C246" s="5" t="s">
        <v>36</v>
      </c>
      <c r="D246" s="5" t="s">
        <v>1177</v>
      </c>
      <c r="E246" s="5" t="s">
        <v>836</v>
      </c>
      <c r="F246" s="9" t="s">
        <v>1178</v>
      </c>
      <c r="G246" s="19" t="s">
        <v>388</v>
      </c>
      <c r="H246" s="19" t="s">
        <v>1179</v>
      </c>
    </row>
    <row r="247" customFormat="false" ht="15" hidden="false" customHeight="false" outlineLevel="0" collapsed="false">
      <c r="B247" s="9" t="s">
        <v>79</v>
      </c>
      <c r="C247" s="5" t="s">
        <v>36</v>
      </c>
      <c r="D247" s="5" t="s">
        <v>1177</v>
      </c>
      <c r="E247" s="5" t="s">
        <v>840</v>
      </c>
      <c r="F247" s="9" t="s">
        <v>1180</v>
      </c>
      <c r="G247" s="19" t="s">
        <v>390</v>
      </c>
      <c r="H247" s="19" t="s">
        <v>1181</v>
      </c>
    </row>
    <row r="248" customFormat="false" ht="15" hidden="false" customHeight="false" outlineLevel="0" collapsed="false">
      <c r="B248" s="9" t="s">
        <v>79</v>
      </c>
      <c r="C248" s="5" t="s">
        <v>36</v>
      </c>
      <c r="D248" s="5" t="s">
        <v>365</v>
      </c>
      <c r="E248" s="5" t="s">
        <v>836</v>
      </c>
      <c r="F248" s="9" t="s">
        <v>1182</v>
      </c>
      <c r="G248" s="19" t="s">
        <v>392</v>
      </c>
      <c r="H248" s="19" t="s">
        <v>1183</v>
      </c>
    </row>
    <row r="249" customFormat="false" ht="15" hidden="false" customHeight="false" outlineLevel="0" collapsed="false">
      <c r="B249" s="9" t="s">
        <v>79</v>
      </c>
      <c r="C249" s="5" t="s">
        <v>36</v>
      </c>
      <c r="D249" s="5" t="s">
        <v>365</v>
      </c>
      <c r="E249" s="5" t="s">
        <v>836</v>
      </c>
      <c r="F249" s="9" t="s">
        <v>1184</v>
      </c>
      <c r="G249" s="19" t="s">
        <v>394</v>
      </c>
      <c r="H249" s="19" t="s">
        <v>1185</v>
      </c>
    </row>
    <row r="250" customFormat="false" ht="15" hidden="false" customHeight="false" outlineLevel="0" collapsed="false">
      <c r="B250" s="9" t="s">
        <v>79</v>
      </c>
      <c r="C250" s="5" t="s">
        <v>36</v>
      </c>
      <c r="D250" s="5" t="s">
        <v>365</v>
      </c>
      <c r="E250" s="5" t="s">
        <v>853</v>
      </c>
      <c r="F250" s="9" t="s">
        <v>1186</v>
      </c>
      <c r="G250" s="19" t="s">
        <v>396</v>
      </c>
      <c r="H250" s="19" t="s">
        <v>1187</v>
      </c>
    </row>
    <row r="251" customFormat="false" ht="15" hidden="false" customHeight="false" outlineLevel="0" collapsed="false">
      <c r="B251" s="9" t="s">
        <v>79</v>
      </c>
      <c r="C251" s="5" t="s">
        <v>36</v>
      </c>
      <c r="D251" s="5" t="s">
        <v>1188</v>
      </c>
      <c r="E251" s="5" t="s">
        <v>836</v>
      </c>
      <c r="F251" s="9" t="s">
        <v>1189</v>
      </c>
      <c r="G251" s="19" t="s">
        <v>398</v>
      </c>
      <c r="H251" s="19" t="s">
        <v>1190</v>
      </c>
    </row>
    <row r="252" customFormat="false" ht="15" hidden="false" customHeight="false" outlineLevel="0" collapsed="false">
      <c r="B252" s="9" t="s">
        <v>79</v>
      </c>
      <c r="C252" s="5" t="s">
        <v>36</v>
      </c>
      <c r="D252" s="5" t="s">
        <v>1191</v>
      </c>
      <c r="E252" s="5" t="s">
        <v>836</v>
      </c>
      <c r="F252" s="9" t="s">
        <v>1192</v>
      </c>
      <c r="G252" s="19" t="s">
        <v>400</v>
      </c>
      <c r="H252" s="19" t="s">
        <v>1193</v>
      </c>
    </row>
    <row r="253" customFormat="false" ht="15" hidden="false" customHeight="false" outlineLevel="0" collapsed="false">
      <c r="B253" s="9" t="s">
        <v>79</v>
      </c>
      <c r="C253" s="5" t="s">
        <v>36</v>
      </c>
      <c r="D253" s="5" t="s">
        <v>866</v>
      </c>
      <c r="E253" s="5" t="s">
        <v>836</v>
      </c>
      <c r="F253" s="9" t="s">
        <v>1060</v>
      </c>
      <c r="G253" s="19" t="s">
        <v>402</v>
      </c>
      <c r="H253" s="19" t="s">
        <v>1194</v>
      </c>
    </row>
    <row r="254" customFormat="false" ht="15" hidden="false" customHeight="false" outlineLevel="0" collapsed="false">
      <c r="B254" s="9" t="s">
        <v>79</v>
      </c>
      <c r="C254" s="5" t="s">
        <v>36</v>
      </c>
      <c r="D254" s="5" t="s">
        <v>1062</v>
      </c>
      <c r="E254" s="5" t="s">
        <v>836</v>
      </c>
      <c r="F254" s="9" t="s">
        <v>1063</v>
      </c>
      <c r="G254" s="19" t="s">
        <v>404</v>
      </c>
      <c r="H254" s="19" t="s">
        <v>1195</v>
      </c>
    </row>
    <row r="255" customFormat="false" ht="15" hidden="false" customHeight="false" outlineLevel="0" collapsed="false">
      <c r="B255" s="9" t="s">
        <v>79</v>
      </c>
      <c r="C255" s="5" t="s">
        <v>36</v>
      </c>
      <c r="D255" s="5" t="s">
        <v>860</v>
      </c>
      <c r="E255" s="5" t="s">
        <v>836</v>
      </c>
      <c r="F255" s="9" t="s">
        <v>1065</v>
      </c>
      <c r="G255" s="19" t="s">
        <v>406</v>
      </c>
      <c r="H255" s="19" t="s">
        <v>1196</v>
      </c>
    </row>
    <row r="256" customFormat="false" ht="15" hidden="false" customHeight="false" outlineLevel="0" collapsed="false">
      <c r="B256" s="9" t="s">
        <v>79</v>
      </c>
      <c r="C256" s="5" t="s">
        <v>36</v>
      </c>
      <c r="D256" s="5" t="s">
        <v>880</v>
      </c>
      <c r="E256" s="5" t="s">
        <v>836</v>
      </c>
      <c r="F256" s="9" t="s">
        <v>881</v>
      </c>
      <c r="G256" s="19" t="s">
        <v>408</v>
      </c>
      <c r="H256" s="19" t="s">
        <v>1197</v>
      </c>
    </row>
    <row r="257" customFormat="false" ht="15" hidden="false" customHeight="false" outlineLevel="0" collapsed="false">
      <c r="B257" s="9" t="s">
        <v>79</v>
      </c>
      <c r="C257" s="5" t="s">
        <v>36</v>
      </c>
      <c r="D257" s="5" t="s">
        <v>883</v>
      </c>
      <c r="E257" s="5" t="s">
        <v>836</v>
      </c>
      <c r="F257" s="9" t="s">
        <v>1068</v>
      </c>
      <c r="G257" s="19" t="s">
        <v>410</v>
      </c>
      <c r="H257" s="19" t="s">
        <v>1198</v>
      </c>
    </row>
    <row r="258" customFormat="false" ht="15" hidden="false" customHeight="false" outlineLevel="0" collapsed="false">
      <c r="B258" s="9" t="s">
        <v>79</v>
      </c>
      <c r="C258" s="5" t="s">
        <v>36</v>
      </c>
      <c r="D258" s="5" t="s">
        <v>184</v>
      </c>
      <c r="E258" s="5" t="s">
        <v>836</v>
      </c>
      <c r="F258" s="9" t="s">
        <v>1070</v>
      </c>
      <c r="G258" s="19" t="s">
        <v>412</v>
      </c>
      <c r="H258" s="19" t="s">
        <v>1199</v>
      </c>
    </row>
    <row r="259" customFormat="false" ht="15" hidden="false" customHeight="false" outlineLevel="0" collapsed="false">
      <c r="B259" s="9" t="s">
        <v>79</v>
      </c>
      <c r="C259" s="5" t="s">
        <v>195</v>
      </c>
      <c r="D259" s="5" t="s">
        <v>179</v>
      </c>
      <c r="E259" s="5" t="s">
        <v>836</v>
      </c>
      <c r="F259" s="9" t="s">
        <v>837</v>
      </c>
      <c r="G259" s="19" t="s">
        <v>414</v>
      </c>
      <c r="H259" s="19" t="s">
        <v>389</v>
      </c>
    </row>
    <row r="260" customFormat="false" ht="15" hidden="false" customHeight="false" outlineLevel="0" collapsed="false">
      <c r="B260" s="9" t="s">
        <v>79</v>
      </c>
      <c r="C260" s="5" t="s">
        <v>195</v>
      </c>
      <c r="D260" s="5" t="s">
        <v>179</v>
      </c>
      <c r="E260" s="5" t="s">
        <v>836</v>
      </c>
      <c r="F260" s="9" t="s">
        <v>838</v>
      </c>
      <c r="G260" s="19" t="s">
        <v>416</v>
      </c>
      <c r="H260" s="19" t="s">
        <v>391</v>
      </c>
    </row>
    <row r="261" customFormat="false" ht="15" hidden="false" customHeight="false" outlineLevel="0" collapsed="false">
      <c r="B261" s="9" t="s">
        <v>79</v>
      </c>
      <c r="C261" s="5" t="s">
        <v>195</v>
      </c>
      <c r="D261" s="5" t="s">
        <v>179</v>
      </c>
      <c r="E261" s="5" t="s">
        <v>836</v>
      </c>
      <c r="F261" s="9" t="s">
        <v>839</v>
      </c>
      <c r="G261" s="19" t="s">
        <v>418</v>
      </c>
      <c r="H261" s="19" t="s">
        <v>393</v>
      </c>
    </row>
    <row r="262" customFormat="false" ht="15" hidden="false" customHeight="false" outlineLevel="0" collapsed="false">
      <c r="B262" s="9" t="s">
        <v>79</v>
      </c>
      <c r="C262" s="5" t="s">
        <v>195</v>
      </c>
      <c r="D262" s="5" t="s">
        <v>232</v>
      </c>
      <c r="E262" s="5" t="s">
        <v>840</v>
      </c>
      <c r="F262" s="9" t="s">
        <v>1050</v>
      </c>
      <c r="G262" s="19" t="s">
        <v>420</v>
      </c>
      <c r="H262" s="19" t="s">
        <v>395</v>
      </c>
    </row>
    <row r="263" customFormat="false" ht="15" hidden="false" customHeight="false" outlineLevel="0" collapsed="false">
      <c r="B263" s="9" t="s">
        <v>79</v>
      </c>
      <c r="C263" s="5" t="s">
        <v>195</v>
      </c>
      <c r="D263" s="5" t="s">
        <v>192</v>
      </c>
      <c r="E263" s="5" t="s">
        <v>836</v>
      </c>
      <c r="F263" s="9" t="s">
        <v>843</v>
      </c>
      <c r="G263" s="19" t="s">
        <v>422</v>
      </c>
      <c r="H263" s="19" t="s">
        <v>397</v>
      </c>
    </row>
    <row r="264" customFormat="false" ht="15" hidden="false" customHeight="false" outlineLevel="0" collapsed="false">
      <c r="B264" s="9" t="s">
        <v>79</v>
      </c>
      <c r="C264" s="5" t="s">
        <v>195</v>
      </c>
      <c r="D264" s="5" t="s">
        <v>192</v>
      </c>
      <c r="E264" s="5" t="s">
        <v>836</v>
      </c>
      <c r="F264" s="9" t="s">
        <v>844</v>
      </c>
      <c r="G264" s="19" t="s">
        <v>424</v>
      </c>
      <c r="H264" s="19" t="s">
        <v>399</v>
      </c>
    </row>
    <row r="265" customFormat="false" ht="15" hidden="false" customHeight="false" outlineLevel="0" collapsed="false">
      <c r="B265" s="9" t="s">
        <v>79</v>
      </c>
      <c r="C265" s="5" t="s">
        <v>195</v>
      </c>
      <c r="D265" s="5" t="s">
        <v>235</v>
      </c>
      <c r="E265" s="5" t="s">
        <v>836</v>
      </c>
      <c r="F265" s="9" t="s">
        <v>846</v>
      </c>
      <c r="G265" s="19" t="s">
        <v>426</v>
      </c>
      <c r="H265" s="19" t="s">
        <v>401</v>
      </c>
    </row>
    <row r="266" customFormat="false" ht="15" hidden="false" customHeight="false" outlineLevel="0" collapsed="false">
      <c r="B266" s="9" t="s">
        <v>79</v>
      </c>
      <c r="C266" s="5" t="s">
        <v>195</v>
      </c>
      <c r="D266" s="5" t="s">
        <v>1177</v>
      </c>
      <c r="E266" s="5" t="s">
        <v>836</v>
      </c>
      <c r="F266" s="9" t="s">
        <v>1178</v>
      </c>
      <c r="G266" s="19" t="s">
        <v>428</v>
      </c>
      <c r="H266" s="19" t="s">
        <v>403</v>
      </c>
    </row>
    <row r="267" customFormat="false" ht="15" hidden="false" customHeight="false" outlineLevel="0" collapsed="false">
      <c r="B267" s="9" t="s">
        <v>79</v>
      </c>
      <c r="C267" s="5" t="s">
        <v>195</v>
      </c>
      <c r="D267" s="5" t="s">
        <v>1177</v>
      </c>
      <c r="E267" s="5" t="s">
        <v>840</v>
      </c>
      <c r="F267" s="9" t="s">
        <v>1180</v>
      </c>
      <c r="G267" s="19" t="s">
        <v>430</v>
      </c>
      <c r="H267" s="19" t="s">
        <v>1200</v>
      </c>
    </row>
    <row r="268" customFormat="false" ht="15" hidden="false" customHeight="false" outlineLevel="0" collapsed="false">
      <c r="B268" s="9" t="s">
        <v>79</v>
      </c>
      <c r="C268" s="5" t="s">
        <v>195</v>
      </c>
      <c r="D268" s="5" t="s">
        <v>365</v>
      </c>
      <c r="E268" s="5" t="s">
        <v>836</v>
      </c>
      <c r="F268" s="9" t="s">
        <v>1182</v>
      </c>
      <c r="G268" s="19" t="s">
        <v>432</v>
      </c>
      <c r="H268" s="19" t="s">
        <v>1201</v>
      </c>
    </row>
    <row r="269" customFormat="false" ht="15" hidden="false" customHeight="false" outlineLevel="0" collapsed="false">
      <c r="B269" s="9" t="s">
        <v>79</v>
      </c>
      <c r="C269" s="5" t="s">
        <v>195</v>
      </c>
      <c r="D269" s="5" t="s">
        <v>365</v>
      </c>
      <c r="E269" s="5" t="s">
        <v>836</v>
      </c>
      <c r="F269" s="9" t="s">
        <v>1184</v>
      </c>
      <c r="G269" s="19" t="s">
        <v>434</v>
      </c>
      <c r="H269" s="19" t="s">
        <v>1202</v>
      </c>
    </row>
    <row r="270" customFormat="false" ht="15" hidden="false" customHeight="false" outlineLevel="0" collapsed="false">
      <c r="B270" s="9" t="s">
        <v>79</v>
      </c>
      <c r="C270" s="5" t="s">
        <v>195</v>
      </c>
      <c r="D270" s="5" t="s">
        <v>365</v>
      </c>
      <c r="E270" s="5" t="s">
        <v>853</v>
      </c>
      <c r="F270" s="9" t="s">
        <v>1186</v>
      </c>
      <c r="G270" s="19" t="s">
        <v>436</v>
      </c>
      <c r="H270" s="19" t="s">
        <v>1203</v>
      </c>
    </row>
    <row r="271" customFormat="false" ht="15" hidden="false" customHeight="false" outlineLevel="0" collapsed="false">
      <c r="B271" s="9" t="s">
        <v>79</v>
      </c>
      <c r="C271" s="5" t="s">
        <v>195</v>
      </c>
      <c r="D271" s="5" t="s">
        <v>1188</v>
      </c>
      <c r="E271" s="5" t="s">
        <v>836</v>
      </c>
      <c r="F271" s="9" t="s">
        <v>1189</v>
      </c>
      <c r="G271" s="19" t="s">
        <v>438</v>
      </c>
      <c r="H271" s="19" t="s">
        <v>1204</v>
      </c>
    </row>
    <row r="272" customFormat="false" ht="15" hidden="false" customHeight="false" outlineLevel="0" collapsed="false">
      <c r="B272" s="9" t="s">
        <v>79</v>
      </c>
      <c r="C272" s="5" t="s">
        <v>195</v>
      </c>
      <c r="D272" s="5" t="s">
        <v>1191</v>
      </c>
      <c r="E272" s="5" t="s">
        <v>836</v>
      </c>
      <c r="F272" s="9" t="s">
        <v>1192</v>
      </c>
      <c r="G272" s="19" t="s">
        <v>440</v>
      </c>
      <c r="H272" s="19" t="s">
        <v>1205</v>
      </c>
    </row>
    <row r="273" customFormat="false" ht="15" hidden="false" customHeight="false" outlineLevel="0" collapsed="false">
      <c r="B273" s="9" t="s">
        <v>79</v>
      </c>
      <c r="C273" s="5" t="s">
        <v>195</v>
      </c>
      <c r="D273" s="5" t="s">
        <v>866</v>
      </c>
      <c r="E273" s="5" t="s">
        <v>836</v>
      </c>
      <c r="F273" s="9" t="s">
        <v>1060</v>
      </c>
      <c r="G273" s="19" t="s">
        <v>442</v>
      </c>
      <c r="H273" s="19" t="s">
        <v>1206</v>
      </c>
    </row>
    <row r="274" customFormat="false" ht="15" hidden="false" customHeight="false" outlineLevel="0" collapsed="false">
      <c r="B274" s="9" t="s">
        <v>79</v>
      </c>
      <c r="C274" s="5" t="s">
        <v>195</v>
      </c>
      <c r="D274" s="5" t="s">
        <v>1062</v>
      </c>
      <c r="E274" s="5" t="s">
        <v>836</v>
      </c>
      <c r="F274" s="9" t="s">
        <v>1063</v>
      </c>
      <c r="G274" s="19" t="s">
        <v>444</v>
      </c>
      <c r="H274" s="19" t="s">
        <v>1207</v>
      </c>
    </row>
    <row r="275" customFormat="false" ht="15" hidden="false" customHeight="false" outlineLevel="0" collapsed="false">
      <c r="B275" s="9" t="s">
        <v>79</v>
      </c>
      <c r="C275" s="5" t="s">
        <v>195</v>
      </c>
      <c r="D275" s="5" t="s">
        <v>860</v>
      </c>
      <c r="E275" s="5" t="s">
        <v>836</v>
      </c>
      <c r="F275" s="9" t="s">
        <v>1065</v>
      </c>
      <c r="G275" s="19" t="s">
        <v>446</v>
      </c>
      <c r="H275" s="19" t="s">
        <v>1208</v>
      </c>
    </row>
    <row r="276" customFormat="false" ht="15" hidden="false" customHeight="false" outlineLevel="0" collapsed="false">
      <c r="B276" s="9" t="s">
        <v>79</v>
      </c>
      <c r="C276" s="5" t="s">
        <v>195</v>
      </c>
      <c r="D276" s="5" t="s">
        <v>880</v>
      </c>
      <c r="E276" s="5" t="s">
        <v>836</v>
      </c>
      <c r="F276" s="9" t="s">
        <v>881</v>
      </c>
      <c r="G276" s="19" t="s">
        <v>448</v>
      </c>
      <c r="H276" s="19" t="s">
        <v>1209</v>
      </c>
    </row>
    <row r="277" customFormat="false" ht="15" hidden="false" customHeight="false" outlineLevel="0" collapsed="false">
      <c r="B277" s="9" t="s">
        <v>79</v>
      </c>
      <c r="C277" s="5" t="s">
        <v>195</v>
      </c>
      <c r="D277" s="5" t="s">
        <v>883</v>
      </c>
      <c r="E277" s="5" t="s">
        <v>836</v>
      </c>
      <c r="F277" s="9" t="s">
        <v>1068</v>
      </c>
      <c r="G277" s="19" t="s">
        <v>450</v>
      </c>
      <c r="H277" s="19" t="s">
        <v>1210</v>
      </c>
    </row>
    <row r="278" customFormat="false" ht="15" hidden="false" customHeight="false" outlineLevel="0" collapsed="false">
      <c r="B278" s="9" t="s">
        <v>79</v>
      </c>
      <c r="C278" s="5" t="s">
        <v>195</v>
      </c>
      <c r="D278" s="5" t="s">
        <v>1084</v>
      </c>
      <c r="E278" s="5" t="s">
        <v>840</v>
      </c>
      <c r="F278" s="9" t="s">
        <v>1085</v>
      </c>
      <c r="G278" s="19" t="s">
        <v>452</v>
      </c>
      <c r="H278" s="19" t="s">
        <v>1211</v>
      </c>
    </row>
    <row r="279" customFormat="false" ht="15" hidden="false" customHeight="false" outlineLevel="0" collapsed="false">
      <c r="B279" s="9" t="s">
        <v>79</v>
      </c>
      <c r="C279" s="5" t="s">
        <v>195</v>
      </c>
      <c r="D279" s="5" t="s">
        <v>184</v>
      </c>
      <c r="E279" s="5" t="s">
        <v>836</v>
      </c>
      <c r="F279" s="9" t="s">
        <v>1070</v>
      </c>
      <c r="G279" s="19" t="s">
        <v>454</v>
      </c>
      <c r="H279" s="19" t="s">
        <v>1212</v>
      </c>
    </row>
    <row r="280" customFormat="false" ht="15" hidden="false" customHeight="false" outlineLevel="0" collapsed="false">
      <c r="B280" s="9" t="s">
        <v>79</v>
      </c>
      <c r="C280" s="5" t="s">
        <v>210</v>
      </c>
      <c r="D280" s="5" t="s">
        <v>179</v>
      </c>
      <c r="E280" s="5" t="s">
        <v>836</v>
      </c>
      <c r="F280" s="9" t="s">
        <v>837</v>
      </c>
      <c r="G280" s="19" t="s">
        <v>456</v>
      </c>
      <c r="H280" s="19" t="s">
        <v>405</v>
      </c>
    </row>
    <row r="281" customFormat="false" ht="15" hidden="false" customHeight="false" outlineLevel="0" collapsed="false">
      <c r="B281" s="9" t="s">
        <v>79</v>
      </c>
      <c r="C281" s="5" t="s">
        <v>210</v>
      </c>
      <c r="D281" s="5" t="s">
        <v>179</v>
      </c>
      <c r="E281" s="5" t="s">
        <v>836</v>
      </c>
      <c r="F281" s="9" t="s">
        <v>838</v>
      </c>
      <c r="G281" s="19" t="s">
        <v>458</v>
      </c>
      <c r="H281" s="19" t="s">
        <v>407</v>
      </c>
    </row>
    <row r="282" customFormat="false" ht="15" hidden="false" customHeight="false" outlineLevel="0" collapsed="false">
      <c r="B282" s="9" t="s">
        <v>79</v>
      </c>
      <c r="C282" s="5" t="s">
        <v>210</v>
      </c>
      <c r="D282" s="5" t="s">
        <v>179</v>
      </c>
      <c r="E282" s="5" t="s">
        <v>836</v>
      </c>
      <c r="F282" s="9" t="s">
        <v>839</v>
      </c>
      <c r="G282" s="19" t="s">
        <v>460</v>
      </c>
      <c r="H282" s="19" t="s">
        <v>409</v>
      </c>
    </row>
    <row r="283" customFormat="false" ht="15" hidden="false" customHeight="false" outlineLevel="0" collapsed="false">
      <c r="B283" s="9" t="s">
        <v>79</v>
      </c>
      <c r="C283" s="5" t="s">
        <v>210</v>
      </c>
      <c r="D283" s="5" t="s">
        <v>232</v>
      </c>
      <c r="E283" s="5" t="s">
        <v>840</v>
      </c>
      <c r="F283" s="9" t="s">
        <v>1050</v>
      </c>
      <c r="G283" s="19" t="s">
        <v>462</v>
      </c>
      <c r="H283" s="19" t="s">
        <v>411</v>
      </c>
    </row>
    <row r="284" customFormat="false" ht="15" hidden="false" customHeight="false" outlineLevel="0" collapsed="false">
      <c r="B284" s="9" t="s">
        <v>79</v>
      </c>
      <c r="C284" s="5" t="s">
        <v>210</v>
      </c>
      <c r="D284" s="5" t="s">
        <v>192</v>
      </c>
      <c r="E284" s="5" t="s">
        <v>836</v>
      </c>
      <c r="F284" s="9" t="s">
        <v>843</v>
      </c>
      <c r="G284" s="19" t="s">
        <v>464</v>
      </c>
      <c r="H284" s="19" t="s">
        <v>413</v>
      </c>
    </row>
    <row r="285" customFormat="false" ht="15" hidden="false" customHeight="false" outlineLevel="0" collapsed="false">
      <c r="B285" s="9" t="s">
        <v>79</v>
      </c>
      <c r="C285" s="5" t="s">
        <v>210</v>
      </c>
      <c r="D285" s="5" t="s">
        <v>192</v>
      </c>
      <c r="E285" s="5" t="s">
        <v>836</v>
      </c>
      <c r="F285" s="9" t="s">
        <v>844</v>
      </c>
      <c r="G285" s="19" t="s">
        <v>466</v>
      </c>
      <c r="H285" s="19" t="s">
        <v>415</v>
      </c>
    </row>
    <row r="286" customFormat="false" ht="15" hidden="false" customHeight="false" outlineLevel="0" collapsed="false">
      <c r="B286" s="9" t="s">
        <v>79</v>
      </c>
      <c r="C286" s="5" t="s">
        <v>210</v>
      </c>
      <c r="D286" s="5" t="s">
        <v>235</v>
      </c>
      <c r="E286" s="5" t="s">
        <v>836</v>
      </c>
      <c r="F286" s="9" t="s">
        <v>846</v>
      </c>
      <c r="G286" s="19" t="s">
        <v>468</v>
      </c>
      <c r="H286" s="19" t="s">
        <v>417</v>
      </c>
    </row>
    <row r="287" customFormat="false" ht="15" hidden="false" customHeight="false" outlineLevel="0" collapsed="false">
      <c r="B287" s="9" t="s">
        <v>79</v>
      </c>
      <c r="C287" s="5" t="s">
        <v>210</v>
      </c>
      <c r="D287" s="5" t="s">
        <v>1177</v>
      </c>
      <c r="E287" s="5" t="s">
        <v>836</v>
      </c>
      <c r="F287" s="9" t="s">
        <v>1178</v>
      </c>
      <c r="G287" s="19" t="s">
        <v>470</v>
      </c>
      <c r="H287" s="19" t="s">
        <v>1213</v>
      </c>
    </row>
    <row r="288" customFormat="false" ht="15" hidden="false" customHeight="false" outlineLevel="0" collapsed="false">
      <c r="B288" s="9" t="s">
        <v>79</v>
      </c>
      <c r="C288" s="5" t="s">
        <v>210</v>
      </c>
      <c r="D288" s="5" t="s">
        <v>1177</v>
      </c>
      <c r="E288" s="5" t="s">
        <v>840</v>
      </c>
      <c r="F288" s="9" t="s">
        <v>1180</v>
      </c>
      <c r="G288" s="19" t="s">
        <v>472</v>
      </c>
      <c r="H288" s="19" t="s">
        <v>1214</v>
      </c>
    </row>
    <row r="289" customFormat="false" ht="15" hidden="false" customHeight="false" outlineLevel="0" collapsed="false">
      <c r="B289" s="9" t="s">
        <v>79</v>
      </c>
      <c r="C289" s="5" t="s">
        <v>210</v>
      </c>
      <c r="D289" s="5" t="s">
        <v>365</v>
      </c>
      <c r="E289" s="5" t="s">
        <v>836</v>
      </c>
      <c r="F289" s="9" t="s">
        <v>1182</v>
      </c>
      <c r="G289" s="19" t="s">
        <v>1215</v>
      </c>
      <c r="H289" s="19" t="s">
        <v>1216</v>
      </c>
    </row>
    <row r="290" customFormat="false" ht="15" hidden="false" customHeight="false" outlineLevel="0" collapsed="false">
      <c r="B290" s="9" t="s">
        <v>79</v>
      </c>
      <c r="C290" s="5" t="s">
        <v>210</v>
      </c>
      <c r="D290" s="5" t="s">
        <v>365</v>
      </c>
      <c r="E290" s="5" t="s">
        <v>836</v>
      </c>
      <c r="F290" s="9" t="s">
        <v>1184</v>
      </c>
      <c r="G290" s="19" t="s">
        <v>1217</v>
      </c>
      <c r="H290" s="19" t="s">
        <v>1218</v>
      </c>
    </row>
    <row r="291" customFormat="false" ht="15" hidden="false" customHeight="false" outlineLevel="0" collapsed="false">
      <c r="B291" s="9" t="s">
        <v>79</v>
      </c>
      <c r="C291" s="5" t="s">
        <v>210</v>
      </c>
      <c r="D291" s="5" t="s">
        <v>365</v>
      </c>
      <c r="E291" s="5" t="s">
        <v>853</v>
      </c>
      <c r="F291" s="9" t="s">
        <v>1186</v>
      </c>
      <c r="G291" s="19" t="s">
        <v>1219</v>
      </c>
      <c r="H291" s="19" t="s">
        <v>1220</v>
      </c>
    </row>
    <row r="292" customFormat="false" ht="15" hidden="false" customHeight="false" outlineLevel="0" collapsed="false">
      <c r="B292" s="9" t="s">
        <v>79</v>
      </c>
      <c r="C292" s="5" t="s">
        <v>210</v>
      </c>
      <c r="D292" s="5" t="s">
        <v>1188</v>
      </c>
      <c r="E292" s="5" t="s">
        <v>836</v>
      </c>
      <c r="F292" s="9" t="s">
        <v>1189</v>
      </c>
      <c r="G292" s="19" t="s">
        <v>1221</v>
      </c>
      <c r="H292" s="19" t="s">
        <v>1222</v>
      </c>
    </row>
    <row r="293" customFormat="false" ht="15" hidden="false" customHeight="false" outlineLevel="0" collapsed="false">
      <c r="B293" s="9" t="s">
        <v>79</v>
      </c>
      <c r="C293" s="5" t="s">
        <v>210</v>
      </c>
      <c r="D293" s="5" t="s">
        <v>1191</v>
      </c>
      <c r="E293" s="5" t="s">
        <v>836</v>
      </c>
      <c r="F293" s="9" t="s">
        <v>1192</v>
      </c>
      <c r="G293" s="19" t="s">
        <v>1223</v>
      </c>
      <c r="H293" s="19" t="s">
        <v>1224</v>
      </c>
    </row>
    <row r="294" customFormat="false" ht="15" hidden="false" customHeight="false" outlineLevel="0" collapsed="false">
      <c r="B294" s="9" t="s">
        <v>79</v>
      </c>
      <c r="C294" s="5" t="s">
        <v>210</v>
      </c>
      <c r="D294" s="5" t="s">
        <v>866</v>
      </c>
      <c r="E294" s="5" t="s">
        <v>836</v>
      </c>
      <c r="F294" s="9" t="s">
        <v>1060</v>
      </c>
      <c r="G294" s="19" t="s">
        <v>1225</v>
      </c>
      <c r="H294" s="19" t="s">
        <v>1226</v>
      </c>
    </row>
    <row r="295" customFormat="false" ht="15" hidden="false" customHeight="false" outlineLevel="0" collapsed="false">
      <c r="B295" s="9" t="s">
        <v>79</v>
      </c>
      <c r="C295" s="5" t="s">
        <v>210</v>
      </c>
      <c r="D295" s="5" t="s">
        <v>1062</v>
      </c>
      <c r="E295" s="5" t="s">
        <v>836</v>
      </c>
      <c r="F295" s="9" t="s">
        <v>1063</v>
      </c>
      <c r="G295" s="19" t="s">
        <v>1227</v>
      </c>
      <c r="H295" s="19" t="s">
        <v>1228</v>
      </c>
    </row>
    <row r="296" customFormat="false" ht="15" hidden="false" customHeight="false" outlineLevel="0" collapsed="false">
      <c r="B296" s="9" t="s">
        <v>79</v>
      </c>
      <c r="C296" s="5" t="s">
        <v>210</v>
      </c>
      <c r="D296" s="5" t="s">
        <v>860</v>
      </c>
      <c r="E296" s="5" t="s">
        <v>836</v>
      </c>
      <c r="F296" s="9" t="s">
        <v>1065</v>
      </c>
      <c r="G296" s="19" t="s">
        <v>1229</v>
      </c>
      <c r="H296" s="19" t="s">
        <v>1230</v>
      </c>
    </row>
    <row r="297" customFormat="false" ht="15" hidden="false" customHeight="false" outlineLevel="0" collapsed="false">
      <c r="B297" s="9" t="s">
        <v>79</v>
      </c>
      <c r="C297" s="5" t="s">
        <v>210</v>
      </c>
      <c r="D297" s="5" t="s">
        <v>880</v>
      </c>
      <c r="E297" s="5" t="s">
        <v>836</v>
      </c>
      <c r="F297" s="9" t="s">
        <v>881</v>
      </c>
      <c r="G297" s="19" t="s">
        <v>1231</v>
      </c>
      <c r="H297" s="19" t="s">
        <v>1232</v>
      </c>
    </row>
    <row r="298" customFormat="false" ht="15" hidden="false" customHeight="false" outlineLevel="0" collapsed="false">
      <c r="B298" s="9" t="s">
        <v>79</v>
      </c>
      <c r="C298" s="5" t="s">
        <v>210</v>
      </c>
      <c r="D298" s="5" t="s">
        <v>883</v>
      </c>
      <c r="E298" s="5" t="s">
        <v>836</v>
      </c>
      <c r="F298" s="9" t="s">
        <v>1068</v>
      </c>
      <c r="G298" s="19" t="s">
        <v>1233</v>
      </c>
      <c r="H298" s="19" t="s">
        <v>1234</v>
      </c>
    </row>
    <row r="299" customFormat="false" ht="15" hidden="false" customHeight="false" outlineLevel="0" collapsed="false">
      <c r="B299" s="9" t="s">
        <v>79</v>
      </c>
      <c r="C299" s="5" t="s">
        <v>210</v>
      </c>
      <c r="D299" s="5" t="s">
        <v>184</v>
      </c>
      <c r="E299" s="5" t="s">
        <v>836</v>
      </c>
      <c r="F299" s="9" t="s">
        <v>1070</v>
      </c>
      <c r="G299" s="19" t="s">
        <v>1235</v>
      </c>
      <c r="H299" s="19" t="s">
        <v>1236</v>
      </c>
    </row>
    <row r="300" customFormat="false" ht="15" hidden="false" customHeight="false" outlineLevel="0" collapsed="false">
      <c r="B300" s="9" t="s">
        <v>79</v>
      </c>
      <c r="C300" s="5" t="s">
        <v>223</v>
      </c>
      <c r="D300" s="5" t="s">
        <v>179</v>
      </c>
      <c r="E300" s="5" t="s">
        <v>836</v>
      </c>
      <c r="F300" s="9" t="s">
        <v>837</v>
      </c>
      <c r="G300" s="19" t="s">
        <v>1237</v>
      </c>
      <c r="H300" s="19" t="s">
        <v>419</v>
      </c>
    </row>
    <row r="301" customFormat="false" ht="15" hidden="false" customHeight="false" outlineLevel="0" collapsed="false">
      <c r="B301" s="9" t="s">
        <v>79</v>
      </c>
      <c r="C301" s="5" t="s">
        <v>223</v>
      </c>
      <c r="D301" s="5" t="s">
        <v>179</v>
      </c>
      <c r="E301" s="5" t="s">
        <v>836</v>
      </c>
      <c r="F301" s="9" t="s">
        <v>838</v>
      </c>
      <c r="G301" s="19" t="s">
        <v>1238</v>
      </c>
      <c r="H301" s="19" t="s">
        <v>421</v>
      </c>
    </row>
    <row r="302" customFormat="false" ht="15" hidden="false" customHeight="false" outlineLevel="0" collapsed="false">
      <c r="B302" s="9" t="s">
        <v>79</v>
      </c>
      <c r="C302" s="5" t="s">
        <v>223</v>
      </c>
      <c r="D302" s="5" t="s">
        <v>179</v>
      </c>
      <c r="E302" s="5" t="s">
        <v>836</v>
      </c>
      <c r="F302" s="9" t="s">
        <v>839</v>
      </c>
      <c r="G302" s="19" t="s">
        <v>1239</v>
      </c>
      <c r="H302" s="19" t="s">
        <v>423</v>
      </c>
    </row>
    <row r="303" customFormat="false" ht="15" hidden="false" customHeight="false" outlineLevel="0" collapsed="false">
      <c r="B303" s="9" t="s">
        <v>79</v>
      </c>
      <c r="C303" s="5" t="s">
        <v>223</v>
      </c>
      <c r="D303" s="5" t="s">
        <v>192</v>
      </c>
      <c r="E303" s="5" t="s">
        <v>836</v>
      </c>
      <c r="F303" s="9" t="s">
        <v>843</v>
      </c>
      <c r="G303" s="19" t="s">
        <v>1240</v>
      </c>
      <c r="H303" s="19" t="s">
        <v>425</v>
      </c>
    </row>
    <row r="304" customFormat="false" ht="15" hidden="false" customHeight="false" outlineLevel="0" collapsed="false">
      <c r="B304" s="9" t="s">
        <v>79</v>
      </c>
      <c r="C304" s="5" t="s">
        <v>223</v>
      </c>
      <c r="D304" s="5" t="s">
        <v>192</v>
      </c>
      <c r="E304" s="5" t="s">
        <v>836</v>
      </c>
      <c r="F304" s="9" t="s">
        <v>844</v>
      </c>
      <c r="G304" s="19" t="s">
        <v>1241</v>
      </c>
      <c r="H304" s="19" t="s">
        <v>427</v>
      </c>
    </row>
    <row r="305" customFormat="false" ht="15" hidden="false" customHeight="false" outlineLevel="0" collapsed="false">
      <c r="B305" s="9" t="s">
        <v>79</v>
      </c>
      <c r="C305" s="5" t="s">
        <v>223</v>
      </c>
      <c r="D305" s="5" t="s">
        <v>1177</v>
      </c>
      <c r="E305" s="5" t="s">
        <v>836</v>
      </c>
      <c r="F305" s="9" t="s">
        <v>1178</v>
      </c>
      <c r="G305" s="19" t="s">
        <v>1242</v>
      </c>
      <c r="H305" s="19" t="s">
        <v>429</v>
      </c>
    </row>
    <row r="306" customFormat="false" ht="15" hidden="false" customHeight="false" outlineLevel="0" collapsed="false">
      <c r="B306" s="9" t="s">
        <v>79</v>
      </c>
      <c r="C306" s="5" t="s">
        <v>223</v>
      </c>
      <c r="D306" s="5" t="s">
        <v>1177</v>
      </c>
      <c r="E306" s="5" t="s">
        <v>840</v>
      </c>
      <c r="F306" s="9" t="s">
        <v>1180</v>
      </c>
      <c r="G306" s="19" t="s">
        <v>1243</v>
      </c>
      <c r="H306" s="19" t="s">
        <v>431</v>
      </c>
    </row>
    <row r="307" customFormat="false" ht="15" hidden="false" customHeight="false" outlineLevel="0" collapsed="false">
      <c r="B307" s="9" t="s">
        <v>79</v>
      </c>
      <c r="C307" s="5" t="s">
        <v>223</v>
      </c>
      <c r="D307" s="5" t="s">
        <v>365</v>
      </c>
      <c r="E307" s="5" t="s">
        <v>836</v>
      </c>
      <c r="F307" s="9" t="s">
        <v>1182</v>
      </c>
      <c r="G307" s="19" t="s">
        <v>1244</v>
      </c>
      <c r="H307" s="19" t="s">
        <v>433</v>
      </c>
    </row>
    <row r="308" customFormat="false" ht="15" hidden="false" customHeight="false" outlineLevel="0" collapsed="false">
      <c r="B308" s="9" t="s">
        <v>79</v>
      </c>
      <c r="C308" s="5" t="s">
        <v>223</v>
      </c>
      <c r="D308" s="5" t="s">
        <v>365</v>
      </c>
      <c r="E308" s="5" t="s">
        <v>836</v>
      </c>
      <c r="F308" s="9" t="s">
        <v>1184</v>
      </c>
      <c r="G308" s="19" t="s">
        <v>1245</v>
      </c>
      <c r="H308" s="19" t="s">
        <v>435</v>
      </c>
    </row>
    <row r="309" customFormat="false" ht="15" hidden="false" customHeight="false" outlineLevel="0" collapsed="false">
      <c r="B309" s="9" t="s">
        <v>79</v>
      </c>
      <c r="C309" s="5" t="s">
        <v>223</v>
      </c>
      <c r="D309" s="5" t="s">
        <v>365</v>
      </c>
      <c r="E309" s="5" t="s">
        <v>853</v>
      </c>
      <c r="F309" s="9" t="s">
        <v>1186</v>
      </c>
      <c r="G309" s="19" t="s">
        <v>1246</v>
      </c>
      <c r="H309" s="19" t="s">
        <v>437</v>
      </c>
    </row>
    <row r="310" customFormat="false" ht="15" hidden="false" customHeight="false" outlineLevel="0" collapsed="false">
      <c r="B310" s="9" t="s">
        <v>79</v>
      </c>
      <c r="C310" s="5" t="s">
        <v>223</v>
      </c>
      <c r="D310" s="5" t="s">
        <v>1188</v>
      </c>
      <c r="E310" s="5" t="s">
        <v>836</v>
      </c>
      <c r="F310" s="9" t="s">
        <v>1189</v>
      </c>
      <c r="G310" s="19" t="s">
        <v>1247</v>
      </c>
      <c r="H310" s="19" t="s">
        <v>1248</v>
      </c>
    </row>
    <row r="311" customFormat="false" ht="15" hidden="false" customHeight="false" outlineLevel="0" collapsed="false">
      <c r="B311" s="9" t="s">
        <v>79</v>
      </c>
      <c r="C311" s="5" t="s">
        <v>223</v>
      </c>
      <c r="D311" s="5" t="s">
        <v>1191</v>
      </c>
      <c r="E311" s="5" t="s">
        <v>836</v>
      </c>
      <c r="F311" s="9" t="s">
        <v>1192</v>
      </c>
      <c r="G311" s="19" t="s">
        <v>1249</v>
      </c>
      <c r="H311" s="19" t="s">
        <v>1250</v>
      </c>
    </row>
    <row r="312" customFormat="false" ht="15" hidden="false" customHeight="false" outlineLevel="0" collapsed="false">
      <c r="B312" s="9" t="s">
        <v>79</v>
      </c>
      <c r="C312" s="5" t="s">
        <v>223</v>
      </c>
      <c r="D312" s="5" t="s">
        <v>866</v>
      </c>
      <c r="E312" s="5" t="s">
        <v>836</v>
      </c>
      <c r="F312" s="9" t="s">
        <v>1060</v>
      </c>
      <c r="G312" s="19" t="s">
        <v>1251</v>
      </c>
      <c r="H312" s="19" t="s">
        <v>1252</v>
      </c>
    </row>
    <row r="313" customFormat="false" ht="15" hidden="false" customHeight="false" outlineLevel="0" collapsed="false">
      <c r="B313" s="9" t="s">
        <v>79</v>
      </c>
      <c r="C313" s="5" t="s">
        <v>223</v>
      </c>
      <c r="D313" s="5" t="s">
        <v>1062</v>
      </c>
      <c r="E313" s="5" t="s">
        <v>836</v>
      </c>
      <c r="F313" s="9" t="s">
        <v>1063</v>
      </c>
      <c r="G313" s="19" t="s">
        <v>1253</v>
      </c>
      <c r="H313" s="19" t="s">
        <v>1254</v>
      </c>
    </row>
    <row r="314" customFormat="false" ht="15" hidden="false" customHeight="false" outlineLevel="0" collapsed="false">
      <c r="B314" s="9" t="s">
        <v>79</v>
      </c>
      <c r="C314" s="5" t="s">
        <v>223</v>
      </c>
      <c r="D314" s="5" t="s">
        <v>860</v>
      </c>
      <c r="E314" s="5" t="s">
        <v>836</v>
      </c>
      <c r="F314" s="9" t="s">
        <v>1065</v>
      </c>
      <c r="G314" s="19" t="s">
        <v>1255</v>
      </c>
      <c r="H314" s="19" t="s">
        <v>1256</v>
      </c>
    </row>
    <row r="315" customFormat="false" ht="15" hidden="false" customHeight="false" outlineLevel="0" collapsed="false">
      <c r="B315" s="9" t="s">
        <v>79</v>
      </c>
      <c r="C315" s="5" t="s">
        <v>223</v>
      </c>
      <c r="D315" s="5" t="s">
        <v>880</v>
      </c>
      <c r="E315" s="5" t="s">
        <v>836</v>
      </c>
      <c r="F315" s="9" t="s">
        <v>881</v>
      </c>
      <c r="G315" s="19" t="s">
        <v>1257</v>
      </c>
      <c r="H315" s="19" t="s">
        <v>1258</v>
      </c>
    </row>
    <row r="316" customFormat="false" ht="15" hidden="false" customHeight="false" outlineLevel="0" collapsed="false">
      <c r="B316" s="9" t="s">
        <v>79</v>
      </c>
      <c r="C316" s="5" t="s">
        <v>223</v>
      </c>
      <c r="D316" s="5" t="s">
        <v>883</v>
      </c>
      <c r="E316" s="5" t="s">
        <v>836</v>
      </c>
      <c r="F316" s="9" t="s">
        <v>1068</v>
      </c>
      <c r="G316" s="19" t="s">
        <v>1259</v>
      </c>
      <c r="H316" s="19" t="s">
        <v>1260</v>
      </c>
    </row>
    <row r="317" customFormat="false" ht="15" hidden="false" customHeight="false" outlineLevel="0" collapsed="false">
      <c r="B317" s="9" t="s">
        <v>79</v>
      </c>
      <c r="C317" s="5" t="s">
        <v>223</v>
      </c>
      <c r="D317" s="5" t="s">
        <v>1084</v>
      </c>
      <c r="E317" s="5" t="s">
        <v>840</v>
      </c>
      <c r="F317" s="9" t="s">
        <v>1085</v>
      </c>
      <c r="G317" s="19" t="s">
        <v>1261</v>
      </c>
      <c r="H317" s="19" t="s">
        <v>1262</v>
      </c>
    </row>
    <row r="318" customFormat="false" ht="15" hidden="false" customHeight="false" outlineLevel="0" collapsed="false">
      <c r="B318" s="9" t="s">
        <v>79</v>
      </c>
      <c r="C318" s="5" t="s">
        <v>223</v>
      </c>
      <c r="D318" s="5" t="s">
        <v>184</v>
      </c>
      <c r="E318" s="5" t="s">
        <v>836</v>
      </c>
      <c r="F318" s="9" t="s">
        <v>1070</v>
      </c>
      <c r="G318" s="19" t="s">
        <v>1263</v>
      </c>
      <c r="H318" s="19" t="s">
        <v>1264</v>
      </c>
    </row>
    <row r="319" customFormat="false" ht="15" hidden="false" customHeight="false" outlineLevel="0" collapsed="false">
      <c r="B319" s="9" t="s">
        <v>79</v>
      </c>
      <c r="C319" s="5" t="s">
        <v>244</v>
      </c>
      <c r="D319" s="5" t="s">
        <v>179</v>
      </c>
      <c r="E319" s="5" t="s">
        <v>836</v>
      </c>
      <c r="F319" s="9" t="s">
        <v>837</v>
      </c>
      <c r="G319" s="19" t="s">
        <v>1265</v>
      </c>
      <c r="H319" s="19" t="s">
        <v>439</v>
      </c>
    </row>
    <row r="320" customFormat="false" ht="15" hidden="false" customHeight="false" outlineLevel="0" collapsed="false">
      <c r="B320" s="9" t="s">
        <v>79</v>
      </c>
      <c r="C320" s="5" t="s">
        <v>244</v>
      </c>
      <c r="D320" s="5" t="s">
        <v>179</v>
      </c>
      <c r="E320" s="5" t="s">
        <v>836</v>
      </c>
      <c r="F320" s="9" t="s">
        <v>838</v>
      </c>
      <c r="G320" s="19" t="s">
        <v>1266</v>
      </c>
      <c r="H320" s="19" t="s">
        <v>441</v>
      </c>
    </row>
    <row r="321" customFormat="false" ht="15" hidden="false" customHeight="false" outlineLevel="0" collapsed="false">
      <c r="B321" s="9" t="s">
        <v>79</v>
      </c>
      <c r="C321" s="5" t="s">
        <v>244</v>
      </c>
      <c r="D321" s="5" t="s">
        <v>179</v>
      </c>
      <c r="E321" s="5" t="s">
        <v>836</v>
      </c>
      <c r="F321" s="9" t="s">
        <v>839</v>
      </c>
      <c r="G321" s="19" t="s">
        <v>1267</v>
      </c>
      <c r="H321" s="19" t="s">
        <v>443</v>
      </c>
    </row>
    <row r="322" customFormat="false" ht="15" hidden="false" customHeight="false" outlineLevel="0" collapsed="false">
      <c r="B322" s="9" t="s">
        <v>79</v>
      </c>
      <c r="C322" s="5" t="s">
        <v>244</v>
      </c>
      <c r="D322" s="5" t="s">
        <v>232</v>
      </c>
      <c r="E322" s="5" t="s">
        <v>840</v>
      </c>
      <c r="F322" s="9" t="s">
        <v>1050</v>
      </c>
      <c r="G322" s="19" t="s">
        <v>1268</v>
      </c>
      <c r="H322" s="19" t="s">
        <v>445</v>
      </c>
    </row>
    <row r="323" customFormat="false" ht="15" hidden="false" customHeight="false" outlineLevel="0" collapsed="false">
      <c r="B323" s="9" t="s">
        <v>79</v>
      </c>
      <c r="C323" s="5" t="s">
        <v>244</v>
      </c>
      <c r="D323" s="5" t="s">
        <v>192</v>
      </c>
      <c r="E323" s="5" t="s">
        <v>836</v>
      </c>
      <c r="F323" s="9" t="s">
        <v>843</v>
      </c>
      <c r="G323" s="19" t="s">
        <v>1269</v>
      </c>
      <c r="H323" s="19" t="s">
        <v>447</v>
      </c>
    </row>
    <row r="324" customFormat="false" ht="15" hidden="false" customHeight="false" outlineLevel="0" collapsed="false">
      <c r="B324" s="9" t="s">
        <v>79</v>
      </c>
      <c r="C324" s="5" t="s">
        <v>244</v>
      </c>
      <c r="D324" s="5" t="s">
        <v>192</v>
      </c>
      <c r="E324" s="5" t="s">
        <v>836</v>
      </c>
      <c r="F324" s="9" t="s">
        <v>844</v>
      </c>
      <c r="G324" s="19" t="s">
        <v>1270</v>
      </c>
      <c r="H324" s="19" t="s">
        <v>449</v>
      </c>
    </row>
    <row r="325" customFormat="false" ht="15" hidden="false" customHeight="false" outlineLevel="0" collapsed="false">
      <c r="B325" s="9" t="s">
        <v>79</v>
      </c>
      <c r="C325" s="5" t="s">
        <v>244</v>
      </c>
      <c r="D325" s="5" t="s">
        <v>235</v>
      </c>
      <c r="E325" s="5" t="s">
        <v>836</v>
      </c>
      <c r="F325" s="9" t="s">
        <v>846</v>
      </c>
      <c r="G325" s="19" t="s">
        <v>1271</v>
      </c>
      <c r="H325" s="19" t="s">
        <v>451</v>
      </c>
    </row>
    <row r="326" customFormat="false" ht="15" hidden="false" customHeight="false" outlineLevel="0" collapsed="false">
      <c r="B326" s="9" t="s">
        <v>79</v>
      </c>
      <c r="C326" s="5" t="s">
        <v>244</v>
      </c>
      <c r="D326" s="5" t="s">
        <v>1177</v>
      </c>
      <c r="E326" s="5" t="s">
        <v>836</v>
      </c>
      <c r="F326" s="9" t="s">
        <v>1178</v>
      </c>
      <c r="G326" s="19" t="s">
        <v>1272</v>
      </c>
      <c r="H326" s="19" t="s">
        <v>1273</v>
      </c>
    </row>
    <row r="327" customFormat="false" ht="15" hidden="false" customHeight="false" outlineLevel="0" collapsed="false">
      <c r="B327" s="9" t="s">
        <v>79</v>
      </c>
      <c r="C327" s="5" t="s">
        <v>244</v>
      </c>
      <c r="D327" s="5" t="s">
        <v>1177</v>
      </c>
      <c r="E327" s="5" t="s">
        <v>840</v>
      </c>
      <c r="F327" s="9" t="s">
        <v>1180</v>
      </c>
      <c r="G327" s="19" t="s">
        <v>1274</v>
      </c>
      <c r="H327" s="19" t="s">
        <v>1275</v>
      </c>
    </row>
    <row r="328" customFormat="false" ht="15" hidden="false" customHeight="false" outlineLevel="0" collapsed="false">
      <c r="B328" s="9" t="s">
        <v>79</v>
      </c>
      <c r="C328" s="5" t="s">
        <v>244</v>
      </c>
      <c r="D328" s="5" t="s">
        <v>365</v>
      </c>
      <c r="E328" s="5" t="s">
        <v>836</v>
      </c>
      <c r="F328" s="9" t="s">
        <v>1182</v>
      </c>
      <c r="G328" s="19" t="s">
        <v>1276</v>
      </c>
      <c r="H328" s="19" t="s">
        <v>1277</v>
      </c>
    </row>
    <row r="329" customFormat="false" ht="15" hidden="false" customHeight="false" outlineLevel="0" collapsed="false">
      <c r="B329" s="9" t="s">
        <v>79</v>
      </c>
      <c r="C329" s="5" t="s">
        <v>244</v>
      </c>
      <c r="D329" s="5" t="s">
        <v>365</v>
      </c>
      <c r="E329" s="5" t="s">
        <v>836</v>
      </c>
      <c r="F329" s="9" t="s">
        <v>1184</v>
      </c>
      <c r="G329" s="19" t="s">
        <v>1278</v>
      </c>
      <c r="H329" s="19" t="s">
        <v>1279</v>
      </c>
    </row>
    <row r="330" customFormat="false" ht="15" hidden="false" customHeight="false" outlineLevel="0" collapsed="false">
      <c r="B330" s="9" t="s">
        <v>79</v>
      </c>
      <c r="C330" s="5" t="s">
        <v>244</v>
      </c>
      <c r="D330" s="5" t="s">
        <v>365</v>
      </c>
      <c r="E330" s="5" t="s">
        <v>853</v>
      </c>
      <c r="F330" s="9" t="s">
        <v>1186</v>
      </c>
      <c r="G330" s="19" t="s">
        <v>1280</v>
      </c>
      <c r="H330" s="19" t="s">
        <v>1281</v>
      </c>
    </row>
    <row r="331" customFormat="false" ht="15" hidden="false" customHeight="false" outlineLevel="0" collapsed="false">
      <c r="B331" s="9" t="s">
        <v>79</v>
      </c>
      <c r="C331" s="5" t="s">
        <v>244</v>
      </c>
      <c r="D331" s="5" t="s">
        <v>1188</v>
      </c>
      <c r="E331" s="5" t="s">
        <v>836</v>
      </c>
      <c r="F331" s="9" t="s">
        <v>1189</v>
      </c>
      <c r="G331" s="19" t="s">
        <v>1282</v>
      </c>
      <c r="H331" s="19" t="s">
        <v>1283</v>
      </c>
    </row>
    <row r="332" customFormat="false" ht="15" hidden="false" customHeight="false" outlineLevel="0" collapsed="false">
      <c r="B332" s="9" t="s">
        <v>79</v>
      </c>
      <c r="C332" s="5" t="s">
        <v>244</v>
      </c>
      <c r="D332" s="5" t="s">
        <v>1191</v>
      </c>
      <c r="E332" s="5" t="s">
        <v>836</v>
      </c>
      <c r="F332" s="9" t="s">
        <v>1192</v>
      </c>
      <c r="G332" s="19" t="s">
        <v>1284</v>
      </c>
      <c r="H332" s="19" t="s">
        <v>1285</v>
      </c>
    </row>
    <row r="333" customFormat="false" ht="15" hidden="false" customHeight="false" outlineLevel="0" collapsed="false">
      <c r="B333" s="9" t="s">
        <v>79</v>
      </c>
      <c r="C333" s="5" t="s">
        <v>244</v>
      </c>
      <c r="D333" s="5" t="s">
        <v>866</v>
      </c>
      <c r="E333" s="5" t="s">
        <v>836</v>
      </c>
      <c r="F333" s="9" t="s">
        <v>1060</v>
      </c>
      <c r="G333" s="19" t="s">
        <v>1286</v>
      </c>
      <c r="H333" s="19" t="s">
        <v>1287</v>
      </c>
    </row>
    <row r="334" customFormat="false" ht="15" hidden="false" customHeight="false" outlineLevel="0" collapsed="false">
      <c r="B334" s="9" t="s">
        <v>79</v>
      </c>
      <c r="C334" s="5" t="s">
        <v>244</v>
      </c>
      <c r="D334" s="5" t="s">
        <v>1062</v>
      </c>
      <c r="E334" s="5" t="s">
        <v>836</v>
      </c>
      <c r="F334" s="9" t="s">
        <v>1063</v>
      </c>
      <c r="G334" s="19" t="s">
        <v>1288</v>
      </c>
      <c r="H334" s="19" t="s">
        <v>1289</v>
      </c>
    </row>
    <row r="335" customFormat="false" ht="15" hidden="false" customHeight="false" outlineLevel="0" collapsed="false">
      <c r="B335" s="9" t="s">
        <v>79</v>
      </c>
      <c r="C335" s="5" t="s">
        <v>244</v>
      </c>
      <c r="D335" s="5" t="s">
        <v>860</v>
      </c>
      <c r="E335" s="5" t="s">
        <v>836</v>
      </c>
      <c r="F335" s="9" t="s">
        <v>1065</v>
      </c>
      <c r="G335" s="19" t="s">
        <v>1290</v>
      </c>
      <c r="H335" s="19" t="s">
        <v>1291</v>
      </c>
    </row>
    <row r="336" customFormat="false" ht="15" hidden="false" customHeight="false" outlineLevel="0" collapsed="false">
      <c r="B336" s="9" t="s">
        <v>79</v>
      </c>
      <c r="C336" s="5" t="s">
        <v>244</v>
      </c>
      <c r="D336" s="5" t="s">
        <v>880</v>
      </c>
      <c r="E336" s="5" t="s">
        <v>836</v>
      </c>
      <c r="F336" s="9" t="s">
        <v>881</v>
      </c>
      <c r="G336" s="19" t="s">
        <v>1292</v>
      </c>
      <c r="H336" s="19" t="s">
        <v>1293</v>
      </c>
    </row>
    <row r="337" customFormat="false" ht="15" hidden="false" customHeight="false" outlineLevel="0" collapsed="false">
      <c r="B337" s="9" t="s">
        <v>79</v>
      </c>
      <c r="C337" s="5" t="s">
        <v>244</v>
      </c>
      <c r="D337" s="5" t="s">
        <v>883</v>
      </c>
      <c r="E337" s="5" t="s">
        <v>836</v>
      </c>
      <c r="F337" s="9" t="s">
        <v>1068</v>
      </c>
      <c r="G337" s="19" t="s">
        <v>1294</v>
      </c>
      <c r="H337" s="19" t="s">
        <v>1295</v>
      </c>
    </row>
    <row r="338" customFormat="false" ht="15" hidden="false" customHeight="false" outlineLevel="0" collapsed="false">
      <c r="B338" s="9" t="s">
        <v>79</v>
      </c>
      <c r="C338" s="5" t="s">
        <v>244</v>
      </c>
      <c r="D338" s="5" t="s">
        <v>184</v>
      </c>
      <c r="E338" s="5" t="s">
        <v>836</v>
      </c>
      <c r="F338" s="9" t="s">
        <v>1070</v>
      </c>
      <c r="G338" s="19" t="s">
        <v>1296</v>
      </c>
      <c r="H338" s="19" t="s">
        <v>1297</v>
      </c>
    </row>
    <row r="339" customFormat="false" ht="15" hidden="false" customHeight="false" outlineLevel="0" collapsed="false">
      <c r="B339" s="9" t="s">
        <v>79</v>
      </c>
      <c r="C339" s="5" t="s">
        <v>257</v>
      </c>
      <c r="D339" s="5" t="s">
        <v>179</v>
      </c>
      <c r="E339" s="5" t="s">
        <v>836</v>
      </c>
      <c r="F339" s="9" t="s">
        <v>837</v>
      </c>
      <c r="G339" s="19" t="s">
        <v>1298</v>
      </c>
      <c r="H339" s="19" t="s">
        <v>453</v>
      </c>
    </row>
    <row r="340" customFormat="false" ht="15" hidden="false" customHeight="false" outlineLevel="0" collapsed="false">
      <c r="B340" s="9" t="s">
        <v>79</v>
      </c>
      <c r="C340" s="5" t="s">
        <v>257</v>
      </c>
      <c r="D340" s="5" t="s">
        <v>179</v>
      </c>
      <c r="E340" s="5" t="s">
        <v>836</v>
      </c>
      <c r="F340" s="9" t="s">
        <v>838</v>
      </c>
      <c r="G340" s="19" t="s">
        <v>1299</v>
      </c>
      <c r="H340" s="19" t="s">
        <v>455</v>
      </c>
    </row>
    <row r="341" customFormat="false" ht="15" hidden="false" customHeight="false" outlineLevel="0" collapsed="false">
      <c r="B341" s="9" t="s">
        <v>79</v>
      </c>
      <c r="C341" s="5" t="s">
        <v>257</v>
      </c>
      <c r="D341" s="5" t="s">
        <v>179</v>
      </c>
      <c r="E341" s="5" t="s">
        <v>836</v>
      </c>
      <c r="F341" s="9" t="s">
        <v>839</v>
      </c>
      <c r="G341" s="19" t="s">
        <v>1300</v>
      </c>
      <c r="H341" s="19" t="s">
        <v>457</v>
      </c>
    </row>
    <row r="342" customFormat="false" ht="15" hidden="false" customHeight="false" outlineLevel="0" collapsed="false">
      <c r="B342" s="9" t="s">
        <v>79</v>
      </c>
      <c r="C342" s="5" t="s">
        <v>257</v>
      </c>
      <c r="D342" s="5" t="s">
        <v>192</v>
      </c>
      <c r="E342" s="5" t="s">
        <v>836</v>
      </c>
      <c r="F342" s="9" t="s">
        <v>843</v>
      </c>
      <c r="G342" s="19" t="s">
        <v>1301</v>
      </c>
      <c r="H342" s="19" t="s">
        <v>459</v>
      </c>
    </row>
    <row r="343" customFormat="false" ht="15" hidden="false" customHeight="false" outlineLevel="0" collapsed="false">
      <c r="B343" s="9" t="s">
        <v>79</v>
      </c>
      <c r="C343" s="5" t="s">
        <v>257</v>
      </c>
      <c r="D343" s="5" t="s">
        <v>192</v>
      </c>
      <c r="E343" s="5" t="s">
        <v>836</v>
      </c>
      <c r="F343" s="9" t="s">
        <v>844</v>
      </c>
      <c r="G343" s="19" t="s">
        <v>1302</v>
      </c>
      <c r="H343" s="19" t="s">
        <v>461</v>
      </c>
    </row>
    <row r="344" customFormat="false" ht="15" hidden="false" customHeight="false" outlineLevel="0" collapsed="false">
      <c r="B344" s="9" t="s">
        <v>79</v>
      </c>
      <c r="C344" s="5" t="s">
        <v>257</v>
      </c>
      <c r="D344" s="5" t="s">
        <v>1177</v>
      </c>
      <c r="E344" s="5" t="s">
        <v>836</v>
      </c>
      <c r="F344" s="9" t="s">
        <v>1178</v>
      </c>
      <c r="G344" s="19" t="s">
        <v>1303</v>
      </c>
      <c r="H344" s="19" t="s">
        <v>463</v>
      </c>
    </row>
    <row r="345" customFormat="false" ht="15" hidden="false" customHeight="false" outlineLevel="0" collapsed="false">
      <c r="B345" s="9" t="s">
        <v>79</v>
      </c>
      <c r="C345" s="5" t="s">
        <v>257</v>
      </c>
      <c r="D345" s="5" t="s">
        <v>1177</v>
      </c>
      <c r="E345" s="5" t="s">
        <v>840</v>
      </c>
      <c r="F345" s="9" t="s">
        <v>1180</v>
      </c>
      <c r="G345" s="19" t="s">
        <v>1304</v>
      </c>
      <c r="H345" s="19" t="s">
        <v>465</v>
      </c>
    </row>
    <row r="346" customFormat="false" ht="15" hidden="false" customHeight="false" outlineLevel="0" collapsed="false">
      <c r="B346" s="9" t="s">
        <v>79</v>
      </c>
      <c r="C346" s="5" t="s">
        <v>257</v>
      </c>
      <c r="D346" s="5" t="s">
        <v>365</v>
      </c>
      <c r="E346" s="5" t="s">
        <v>836</v>
      </c>
      <c r="F346" s="9" t="s">
        <v>1182</v>
      </c>
      <c r="G346" s="19" t="s">
        <v>1305</v>
      </c>
      <c r="H346" s="19" t="s">
        <v>467</v>
      </c>
    </row>
    <row r="347" customFormat="false" ht="15" hidden="false" customHeight="false" outlineLevel="0" collapsed="false">
      <c r="B347" s="9" t="s">
        <v>79</v>
      </c>
      <c r="C347" s="5" t="s">
        <v>257</v>
      </c>
      <c r="D347" s="5" t="s">
        <v>365</v>
      </c>
      <c r="E347" s="5" t="s">
        <v>853</v>
      </c>
      <c r="F347" s="9" t="s">
        <v>1186</v>
      </c>
      <c r="G347" s="19" t="s">
        <v>1306</v>
      </c>
      <c r="H347" s="19" t="s">
        <v>469</v>
      </c>
    </row>
    <row r="348" customFormat="false" ht="15" hidden="false" customHeight="false" outlineLevel="0" collapsed="false">
      <c r="B348" s="9" t="s">
        <v>79</v>
      </c>
      <c r="C348" s="5" t="s">
        <v>257</v>
      </c>
      <c r="D348" s="5" t="s">
        <v>1188</v>
      </c>
      <c r="E348" s="5" t="s">
        <v>836</v>
      </c>
      <c r="F348" s="9" t="s">
        <v>1189</v>
      </c>
      <c r="G348" s="19" t="s">
        <v>1307</v>
      </c>
      <c r="H348" s="19" t="s">
        <v>471</v>
      </c>
    </row>
    <row r="349" customFormat="false" ht="15" hidden="false" customHeight="false" outlineLevel="0" collapsed="false">
      <c r="B349" s="9" t="s">
        <v>79</v>
      </c>
      <c r="C349" s="5" t="s">
        <v>257</v>
      </c>
      <c r="D349" s="5" t="s">
        <v>1191</v>
      </c>
      <c r="E349" s="5" t="s">
        <v>836</v>
      </c>
      <c r="F349" s="9" t="s">
        <v>1192</v>
      </c>
      <c r="G349" s="19" t="s">
        <v>1308</v>
      </c>
      <c r="H349" s="19" t="s">
        <v>473</v>
      </c>
    </row>
    <row r="350" customFormat="false" ht="15" hidden="false" customHeight="false" outlineLevel="0" collapsed="false">
      <c r="B350" s="9" t="s">
        <v>79</v>
      </c>
      <c r="C350" s="5" t="s">
        <v>257</v>
      </c>
      <c r="D350" s="5" t="s">
        <v>866</v>
      </c>
      <c r="E350" s="5" t="s">
        <v>836</v>
      </c>
      <c r="F350" s="9" t="s">
        <v>1060</v>
      </c>
      <c r="G350" s="19" t="s">
        <v>1309</v>
      </c>
      <c r="H350" s="19" t="s">
        <v>1310</v>
      </c>
    </row>
    <row r="351" customFormat="false" ht="15" hidden="false" customHeight="false" outlineLevel="0" collapsed="false">
      <c r="B351" s="9" t="s">
        <v>79</v>
      </c>
      <c r="C351" s="5" t="s">
        <v>257</v>
      </c>
      <c r="D351" s="5" t="s">
        <v>1062</v>
      </c>
      <c r="E351" s="5" t="s">
        <v>836</v>
      </c>
      <c r="F351" s="9" t="s">
        <v>1063</v>
      </c>
      <c r="G351" s="19" t="s">
        <v>1311</v>
      </c>
      <c r="H351" s="19" t="s">
        <v>1312</v>
      </c>
    </row>
    <row r="352" customFormat="false" ht="15" hidden="false" customHeight="false" outlineLevel="0" collapsed="false">
      <c r="B352" s="9" t="s">
        <v>79</v>
      </c>
      <c r="C352" s="5" t="s">
        <v>257</v>
      </c>
      <c r="D352" s="5" t="s">
        <v>860</v>
      </c>
      <c r="E352" s="5" t="s">
        <v>836</v>
      </c>
      <c r="F352" s="9" t="s">
        <v>1065</v>
      </c>
      <c r="G352" s="19" t="s">
        <v>1313</v>
      </c>
      <c r="H352" s="19" t="s">
        <v>1314</v>
      </c>
    </row>
    <row r="353" customFormat="false" ht="15" hidden="false" customHeight="false" outlineLevel="0" collapsed="false">
      <c r="B353" s="9" t="s">
        <v>79</v>
      </c>
      <c r="C353" s="5" t="s">
        <v>257</v>
      </c>
      <c r="D353" s="5" t="s">
        <v>880</v>
      </c>
      <c r="E353" s="5" t="s">
        <v>836</v>
      </c>
      <c r="F353" s="9" t="s">
        <v>881</v>
      </c>
      <c r="G353" s="19" t="s">
        <v>1315</v>
      </c>
      <c r="H353" s="19" t="s">
        <v>1316</v>
      </c>
    </row>
    <row r="354" customFormat="false" ht="15" hidden="false" customHeight="false" outlineLevel="0" collapsed="false">
      <c r="B354" s="9" t="s">
        <v>79</v>
      </c>
      <c r="C354" s="5" t="s">
        <v>257</v>
      </c>
      <c r="D354" s="5" t="s">
        <v>883</v>
      </c>
      <c r="E354" s="5" t="s">
        <v>836</v>
      </c>
      <c r="F354" s="9" t="s">
        <v>1068</v>
      </c>
      <c r="G354" s="19" t="s">
        <v>1317</v>
      </c>
      <c r="H354" s="19" t="s">
        <v>1318</v>
      </c>
    </row>
    <row r="355" customFormat="false" ht="15" hidden="false" customHeight="false" outlineLevel="0" collapsed="false">
      <c r="B355" s="9" t="s">
        <v>79</v>
      </c>
      <c r="C355" s="5" t="s">
        <v>257</v>
      </c>
      <c r="D355" s="5" t="s">
        <v>184</v>
      </c>
      <c r="E355" s="5" t="s">
        <v>836</v>
      </c>
      <c r="F355" s="9" t="s">
        <v>1070</v>
      </c>
      <c r="G355" s="19" t="s">
        <v>1319</v>
      </c>
      <c r="H355" s="19" t="s">
        <v>1320</v>
      </c>
    </row>
    <row r="356" customFormat="false" ht="15" hidden="false" customHeight="false" outlineLevel="0" collapsed="false">
      <c r="B356" s="9" t="s">
        <v>85</v>
      </c>
      <c r="C356" s="5" t="s">
        <v>474</v>
      </c>
      <c r="D356" s="5" t="s">
        <v>179</v>
      </c>
      <c r="E356" s="5" t="s">
        <v>836</v>
      </c>
      <c r="F356" s="9" t="s">
        <v>1321</v>
      </c>
      <c r="G356" s="19" t="s">
        <v>475</v>
      </c>
      <c r="H356" s="19" t="s">
        <v>476</v>
      </c>
    </row>
    <row r="357" customFormat="false" ht="15" hidden="false" customHeight="false" outlineLevel="0" collapsed="false">
      <c r="B357" s="9" t="s">
        <v>85</v>
      </c>
      <c r="C357" s="5" t="s">
        <v>474</v>
      </c>
      <c r="D357" s="5" t="s">
        <v>179</v>
      </c>
      <c r="E357" s="5" t="s">
        <v>836</v>
      </c>
      <c r="F357" s="9" t="s">
        <v>1322</v>
      </c>
      <c r="G357" s="19" t="s">
        <v>477</v>
      </c>
      <c r="H357" s="19" t="s">
        <v>478</v>
      </c>
    </row>
    <row r="358" customFormat="false" ht="15" hidden="false" customHeight="false" outlineLevel="0" collapsed="false">
      <c r="B358" s="9" t="s">
        <v>85</v>
      </c>
      <c r="C358" s="5" t="s">
        <v>474</v>
      </c>
      <c r="D358" s="5" t="s">
        <v>179</v>
      </c>
      <c r="E358" s="5" t="s">
        <v>836</v>
      </c>
      <c r="F358" s="9" t="s">
        <v>1323</v>
      </c>
      <c r="G358" s="19" t="s">
        <v>479</v>
      </c>
      <c r="H358" s="19" t="s">
        <v>480</v>
      </c>
    </row>
    <row r="359" customFormat="false" ht="22.35" hidden="false" customHeight="false" outlineLevel="0" collapsed="false">
      <c r="B359" s="9" t="s">
        <v>85</v>
      </c>
      <c r="C359" s="5" t="s">
        <v>474</v>
      </c>
      <c r="D359" s="5" t="s">
        <v>547</v>
      </c>
      <c r="E359" s="5" t="s">
        <v>836</v>
      </c>
      <c r="F359" s="9" t="s">
        <v>1324</v>
      </c>
      <c r="G359" s="19" t="s">
        <v>481</v>
      </c>
      <c r="H359" s="19" t="s">
        <v>482</v>
      </c>
    </row>
    <row r="360" customFormat="false" ht="22.35" hidden="false" customHeight="false" outlineLevel="0" collapsed="false">
      <c r="B360" s="9" t="s">
        <v>85</v>
      </c>
      <c r="C360" s="5" t="s">
        <v>474</v>
      </c>
      <c r="D360" s="5" t="s">
        <v>547</v>
      </c>
      <c r="E360" s="5" t="s">
        <v>840</v>
      </c>
      <c r="F360" s="9" t="s">
        <v>1325</v>
      </c>
      <c r="G360" s="19" t="s">
        <v>484</v>
      </c>
      <c r="H360" s="19" t="s">
        <v>485</v>
      </c>
    </row>
    <row r="361" customFormat="false" ht="22.35" hidden="false" customHeight="false" outlineLevel="0" collapsed="false">
      <c r="B361" s="9" t="s">
        <v>85</v>
      </c>
      <c r="C361" s="5" t="s">
        <v>474</v>
      </c>
      <c r="D361" s="5" t="s">
        <v>547</v>
      </c>
      <c r="E361" s="5" t="s">
        <v>836</v>
      </c>
      <c r="F361" s="9" t="s">
        <v>1326</v>
      </c>
      <c r="G361" s="19" t="s">
        <v>486</v>
      </c>
      <c r="H361" s="19" t="s">
        <v>487</v>
      </c>
    </row>
    <row r="362" customFormat="false" ht="15" hidden="false" customHeight="false" outlineLevel="0" collapsed="false">
      <c r="B362" s="9" t="s">
        <v>85</v>
      </c>
      <c r="C362" s="5" t="s">
        <v>474</v>
      </c>
      <c r="D362" s="5" t="s">
        <v>192</v>
      </c>
      <c r="E362" s="5" t="s">
        <v>1327</v>
      </c>
      <c r="F362" s="9" t="s">
        <v>1328</v>
      </c>
      <c r="G362" s="19" t="s">
        <v>488</v>
      </c>
      <c r="H362" s="19" t="s">
        <v>489</v>
      </c>
    </row>
    <row r="363" customFormat="false" ht="15" hidden="false" customHeight="false" outlineLevel="0" collapsed="false">
      <c r="B363" s="9" t="s">
        <v>85</v>
      </c>
      <c r="C363" s="5" t="s">
        <v>474</v>
      </c>
      <c r="D363" s="5" t="s">
        <v>192</v>
      </c>
      <c r="E363" s="5" t="s">
        <v>836</v>
      </c>
      <c r="F363" s="9" t="s">
        <v>1329</v>
      </c>
      <c r="G363" s="19" t="s">
        <v>491</v>
      </c>
      <c r="H363" s="19" t="s">
        <v>1330</v>
      </c>
    </row>
    <row r="364" customFormat="false" ht="15" hidden="false" customHeight="false" outlineLevel="0" collapsed="false">
      <c r="B364" s="9" t="s">
        <v>85</v>
      </c>
      <c r="C364" s="5" t="s">
        <v>474</v>
      </c>
      <c r="D364" s="5" t="s">
        <v>232</v>
      </c>
      <c r="E364" s="5" t="s">
        <v>840</v>
      </c>
      <c r="F364" s="9" t="s">
        <v>1331</v>
      </c>
      <c r="G364" s="19" t="s">
        <v>493</v>
      </c>
      <c r="H364" s="19" t="s">
        <v>1332</v>
      </c>
    </row>
    <row r="365" customFormat="false" ht="15" hidden="false" customHeight="false" outlineLevel="0" collapsed="false">
      <c r="B365" s="9" t="s">
        <v>85</v>
      </c>
      <c r="C365" s="5" t="s">
        <v>474</v>
      </c>
      <c r="D365" s="5" t="s">
        <v>232</v>
      </c>
      <c r="E365" s="5" t="s">
        <v>836</v>
      </c>
      <c r="F365" s="9" t="s">
        <v>1333</v>
      </c>
      <c r="G365" s="19" t="s">
        <v>495</v>
      </c>
      <c r="H365" s="19" t="s">
        <v>1334</v>
      </c>
    </row>
    <row r="366" customFormat="false" ht="22.35" hidden="false" customHeight="false" outlineLevel="0" collapsed="false">
      <c r="B366" s="9" t="s">
        <v>85</v>
      </c>
      <c r="C366" s="5" t="s">
        <v>474</v>
      </c>
      <c r="D366" s="5" t="s">
        <v>540</v>
      </c>
      <c r="E366" s="5" t="s">
        <v>836</v>
      </c>
      <c r="F366" s="9" t="s">
        <v>856</v>
      </c>
      <c r="G366" s="19" t="s">
        <v>497</v>
      </c>
      <c r="H366" s="19" t="s">
        <v>1335</v>
      </c>
    </row>
    <row r="367" customFormat="false" ht="22.35" hidden="false" customHeight="false" outlineLevel="0" collapsed="false">
      <c r="B367" s="9" t="s">
        <v>85</v>
      </c>
      <c r="C367" s="5" t="s">
        <v>474</v>
      </c>
      <c r="D367" s="5" t="s">
        <v>540</v>
      </c>
      <c r="E367" s="5" t="s">
        <v>836</v>
      </c>
      <c r="F367" s="9" t="s">
        <v>1336</v>
      </c>
      <c r="G367" s="19" t="s">
        <v>499</v>
      </c>
      <c r="H367" s="19" t="s">
        <v>1337</v>
      </c>
    </row>
    <row r="368" customFormat="false" ht="22.35" hidden="false" customHeight="false" outlineLevel="0" collapsed="false">
      <c r="B368" s="9" t="s">
        <v>85</v>
      </c>
      <c r="C368" s="5" t="s">
        <v>474</v>
      </c>
      <c r="D368" s="5" t="s">
        <v>540</v>
      </c>
      <c r="E368" s="5" t="s">
        <v>836</v>
      </c>
      <c r="F368" s="9" t="s">
        <v>1338</v>
      </c>
      <c r="G368" s="19" t="s">
        <v>501</v>
      </c>
      <c r="H368" s="19" t="s">
        <v>1339</v>
      </c>
    </row>
    <row r="369" customFormat="false" ht="15" hidden="false" customHeight="false" outlineLevel="0" collapsed="false">
      <c r="B369" s="9" t="s">
        <v>85</v>
      </c>
      <c r="C369" s="5" t="s">
        <v>474</v>
      </c>
      <c r="D369" s="5" t="s">
        <v>503</v>
      </c>
      <c r="E369" s="5" t="s">
        <v>836</v>
      </c>
      <c r="F369" s="9" t="s">
        <v>1340</v>
      </c>
      <c r="G369" s="19" t="s">
        <v>504</v>
      </c>
      <c r="H369" s="19" t="s">
        <v>1341</v>
      </c>
    </row>
    <row r="370" customFormat="false" ht="15" hidden="false" customHeight="false" outlineLevel="0" collapsed="false">
      <c r="B370" s="9" t="s">
        <v>85</v>
      </c>
      <c r="C370" s="5" t="s">
        <v>474</v>
      </c>
      <c r="D370" s="5" t="s">
        <v>503</v>
      </c>
      <c r="E370" s="5" t="s">
        <v>836</v>
      </c>
      <c r="F370" s="9" t="s">
        <v>1342</v>
      </c>
      <c r="G370" s="19" t="s">
        <v>506</v>
      </c>
      <c r="H370" s="19" t="s">
        <v>1343</v>
      </c>
    </row>
    <row r="371" customFormat="false" ht="15" hidden="false" customHeight="false" outlineLevel="0" collapsed="false">
      <c r="B371" s="9" t="s">
        <v>85</v>
      </c>
      <c r="C371" s="5" t="s">
        <v>474</v>
      </c>
      <c r="D371" s="5" t="s">
        <v>866</v>
      </c>
      <c r="E371" s="5" t="s">
        <v>836</v>
      </c>
      <c r="F371" s="9" t="s">
        <v>1344</v>
      </c>
      <c r="G371" s="19" t="s">
        <v>508</v>
      </c>
      <c r="H371" s="19" t="s">
        <v>1345</v>
      </c>
    </row>
    <row r="372" customFormat="false" ht="15" hidden="false" customHeight="false" outlineLevel="0" collapsed="false">
      <c r="B372" s="9" t="s">
        <v>85</v>
      </c>
      <c r="C372" s="5" t="s">
        <v>474</v>
      </c>
      <c r="D372" s="5" t="s">
        <v>550</v>
      </c>
      <c r="E372" s="5" t="s">
        <v>836</v>
      </c>
      <c r="F372" s="9" t="s">
        <v>1346</v>
      </c>
      <c r="G372" s="19" t="s">
        <v>510</v>
      </c>
      <c r="H372" s="19" t="s">
        <v>1347</v>
      </c>
    </row>
    <row r="373" customFormat="false" ht="15" hidden="false" customHeight="false" outlineLevel="0" collapsed="false">
      <c r="B373" s="9" t="s">
        <v>85</v>
      </c>
      <c r="C373" s="5" t="s">
        <v>474</v>
      </c>
      <c r="D373" s="5" t="s">
        <v>550</v>
      </c>
      <c r="E373" s="5" t="s">
        <v>836</v>
      </c>
      <c r="F373" s="9" t="s">
        <v>1348</v>
      </c>
      <c r="G373" s="19" t="s">
        <v>513</v>
      </c>
      <c r="H373" s="19" t="s">
        <v>1349</v>
      </c>
    </row>
    <row r="374" customFormat="false" ht="15" hidden="false" customHeight="false" outlineLevel="0" collapsed="false">
      <c r="B374" s="9" t="s">
        <v>85</v>
      </c>
      <c r="C374" s="5" t="s">
        <v>474</v>
      </c>
      <c r="D374" s="5" t="s">
        <v>1350</v>
      </c>
      <c r="E374" s="5" t="s">
        <v>836</v>
      </c>
      <c r="F374" s="9" t="s">
        <v>1351</v>
      </c>
      <c r="G374" s="19" t="s">
        <v>515</v>
      </c>
      <c r="H374" s="19" t="s">
        <v>1352</v>
      </c>
    </row>
    <row r="375" customFormat="false" ht="15" hidden="false" customHeight="false" outlineLevel="0" collapsed="false">
      <c r="B375" s="9" t="s">
        <v>85</v>
      </c>
      <c r="C375" s="5" t="s">
        <v>474</v>
      </c>
      <c r="D375" s="5" t="s">
        <v>1350</v>
      </c>
      <c r="E375" s="5" t="s">
        <v>836</v>
      </c>
      <c r="F375" s="9" t="s">
        <v>1353</v>
      </c>
      <c r="G375" s="19" t="s">
        <v>517</v>
      </c>
      <c r="H375" s="19" t="s">
        <v>1354</v>
      </c>
    </row>
    <row r="376" customFormat="false" ht="22.35" hidden="false" customHeight="false" outlineLevel="0" collapsed="false">
      <c r="B376" s="9" t="s">
        <v>85</v>
      </c>
      <c r="C376" s="5" t="s">
        <v>474</v>
      </c>
      <c r="D376" s="5" t="s">
        <v>483</v>
      </c>
      <c r="E376" s="5" t="s">
        <v>853</v>
      </c>
      <c r="F376" s="9" t="s">
        <v>1355</v>
      </c>
      <c r="G376" s="19" t="s">
        <v>519</v>
      </c>
      <c r="H376" s="19" t="s">
        <v>1356</v>
      </c>
    </row>
    <row r="377" customFormat="false" ht="15" hidden="false" customHeight="false" outlineLevel="0" collapsed="false">
      <c r="B377" s="9" t="s">
        <v>85</v>
      </c>
      <c r="C377" s="5" t="s">
        <v>474</v>
      </c>
      <c r="D377" s="5" t="s">
        <v>1357</v>
      </c>
      <c r="E377" s="5" t="s">
        <v>836</v>
      </c>
      <c r="F377" s="9" t="s">
        <v>1358</v>
      </c>
      <c r="G377" s="19" t="s">
        <v>521</v>
      </c>
      <c r="H377" s="19" t="s">
        <v>1359</v>
      </c>
    </row>
    <row r="378" customFormat="false" ht="15" hidden="false" customHeight="false" outlineLevel="0" collapsed="false">
      <c r="B378" s="9" t="s">
        <v>85</v>
      </c>
      <c r="C378" s="5" t="s">
        <v>474</v>
      </c>
      <c r="D378" s="5" t="s">
        <v>883</v>
      </c>
      <c r="E378" s="5" t="s">
        <v>836</v>
      </c>
      <c r="F378" s="9" t="s">
        <v>1360</v>
      </c>
      <c r="G378" s="19" t="s">
        <v>523</v>
      </c>
      <c r="H378" s="19" t="s">
        <v>1361</v>
      </c>
    </row>
    <row r="379" customFormat="false" ht="15" hidden="false" customHeight="false" outlineLevel="0" collapsed="false">
      <c r="B379" s="9" t="s">
        <v>85</v>
      </c>
      <c r="C379" s="5" t="s">
        <v>474</v>
      </c>
      <c r="D379" s="5" t="s">
        <v>883</v>
      </c>
      <c r="E379" s="5" t="s">
        <v>836</v>
      </c>
      <c r="F379" s="9" t="s">
        <v>1362</v>
      </c>
      <c r="G379" s="19" t="s">
        <v>525</v>
      </c>
      <c r="H379" s="19" t="s">
        <v>1363</v>
      </c>
    </row>
    <row r="380" customFormat="false" ht="22.35" hidden="false" customHeight="false" outlineLevel="0" collapsed="false">
      <c r="B380" s="9" t="s">
        <v>85</v>
      </c>
      <c r="C380" s="5" t="s">
        <v>474</v>
      </c>
      <c r="D380" s="5" t="s">
        <v>1364</v>
      </c>
      <c r="E380" s="5" t="s">
        <v>836</v>
      </c>
      <c r="F380" s="9" t="s">
        <v>1365</v>
      </c>
      <c r="G380" s="19" t="s">
        <v>528</v>
      </c>
      <c r="H380" s="19" t="s">
        <v>1366</v>
      </c>
    </row>
    <row r="381" customFormat="false" ht="22.35" hidden="false" customHeight="false" outlineLevel="0" collapsed="false">
      <c r="B381" s="9" t="s">
        <v>85</v>
      </c>
      <c r="C381" s="5" t="s">
        <v>474</v>
      </c>
      <c r="D381" s="5" t="s">
        <v>1364</v>
      </c>
      <c r="E381" s="5" t="s">
        <v>836</v>
      </c>
      <c r="F381" s="9" t="s">
        <v>1367</v>
      </c>
      <c r="G381" s="19" t="s">
        <v>530</v>
      </c>
      <c r="H381" s="19" t="s">
        <v>1368</v>
      </c>
    </row>
    <row r="382" customFormat="false" ht="15" hidden="false" customHeight="false" outlineLevel="0" collapsed="false">
      <c r="B382" s="9" t="s">
        <v>85</v>
      </c>
      <c r="C382" s="5" t="s">
        <v>490</v>
      </c>
      <c r="D382" s="5" t="s">
        <v>179</v>
      </c>
      <c r="E382" s="5" t="s">
        <v>836</v>
      </c>
      <c r="F382" s="9" t="s">
        <v>1321</v>
      </c>
      <c r="G382" s="19" t="s">
        <v>532</v>
      </c>
      <c r="H382" s="19" t="s">
        <v>492</v>
      </c>
    </row>
    <row r="383" customFormat="false" ht="15" hidden="false" customHeight="false" outlineLevel="0" collapsed="false">
      <c r="B383" s="9" t="s">
        <v>85</v>
      </c>
      <c r="C383" s="5" t="s">
        <v>490</v>
      </c>
      <c r="D383" s="5" t="s">
        <v>179</v>
      </c>
      <c r="E383" s="5" t="s">
        <v>836</v>
      </c>
      <c r="F383" s="9" t="s">
        <v>1322</v>
      </c>
      <c r="G383" s="19" t="s">
        <v>534</v>
      </c>
      <c r="H383" s="19" t="s">
        <v>494</v>
      </c>
    </row>
    <row r="384" customFormat="false" ht="15" hidden="false" customHeight="false" outlineLevel="0" collapsed="false">
      <c r="B384" s="9" t="s">
        <v>85</v>
      </c>
      <c r="C384" s="5" t="s">
        <v>490</v>
      </c>
      <c r="D384" s="5" t="s">
        <v>179</v>
      </c>
      <c r="E384" s="5" t="s">
        <v>836</v>
      </c>
      <c r="F384" s="9" t="s">
        <v>1323</v>
      </c>
      <c r="G384" s="19" t="s">
        <v>536</v>
      </c>
      <c r="H384" s="19" t="s">
        <v>496</v>
      </c>
    </row>
    <row r="385" customFormat="false" ht="22.35" hidden="false" customHeight="false" outlineLevel="0" collapsed="false">
      <c r="B385" s="9" t="s">
        <v>85</v>
      </c>
      <c r="C385" s="5" t="s">
        <v>490</v>
      </c>
      <c r="D385" s="5" t="s">
        <v>547</v>
      </c>
      <c r="E385" s="5" t="s">
        <v>836</v>
      </c>
      <c r="F385" s="9" t="s">
        <v>1324</v>
      </c>
      <c r="G385" s="19" t="s">
        <v>538</v>
      </c>
      <c r="H385" s="19" t="s">
        <v>498</v>
      </c>
    </row>
    <row r="386" customFormat="false" ht="22.35" hidden="false" customHeight="false" outlineLevel="0" collapsed="false">
      <c r="B386" s="9" t="s">
        <v>85</v>
      </c>
      <c r="C386" s="5" t="s">
        <v>490</v>
      </c>
      <c r="D386" s="5" t="s">
        <v>547</v>
      </c>
      <c r="E386" s="5" t="s">
        <v>840</v>
      </c>
      <c r="F386" s="9" t="s">
        <v>1325</v>
      </c>
      <c r="G386" s="19" t="s">
        <v>541</v>
      </c>
      <c r="H386" s="19" t="s">
        <v>500</v>
      </c>
    </row>
    <row r="387" customFormat="false" ht="22.35" hidden="false" customHeight="false" outlineLevel="0" collapsed="false">
      <c r="B387" s="9" t="s">
        <v>85</v>
      </c>
      <c r="C387" s="5" t="s">
        <v>490</v>
      </c>
      <c r="D387" s="5" t="s">
        <v>547</v>
      </c>
      <c r="E387" s="5" t="s">
        <v>836</v>
      </c>
      <c r="F387" s="9" t="s">
        <v>1326</v>
      </c>
      <c r="G387" s="19" t="s">
        <v>543</v>
      </c>
      <c r="H387" s="19" t="s">
        <v>502</v>
      </c>
    </row>
    <row r="388" customFormat="false" ht="15" hidden="false" customHeight="false" outlineLevel="0" collapsed="false">
      <c r="B388" s="9" t="s">
        <v>85</v>
      </c>
      <c r="C388" s="5" t="s">
        <v>490</v>
      </c>
      <c r="D388" s="5" t="s">
        <v>192</v>
      </c>
      <c r="E388" s="5" t="s">
        <v>1327</v>
      </c>
      <c r="F388" s="9" t="s">
        <v>1328</v>
      </c>
      <c r="G388" s="19" t="s">
        <v>545</v>
      </c>
      <c r="H388" s="19" t="s">
        <v>505</v>
      </c>
    </row>
    <row r="389" customFormat="false" ht="15" hidden="false" customHeight="false" outlineLevel="0" collapsed="false">
      <c r="B389" s="9" t="s">
        <v>85</v>
      </c>
      <c r="C389" s="5" t="s">
        <v>490</v>
      </c>
      <c r="D389" s="5" t="s">
        <v>192</v>
      </c>
      <c r="E389" s="5" t="s">
        <v>836</v>
      </c>
      <c r="F389" s="9" t="s">
        <v>1329</v>
      </c>
      <c r="G389" s="19" t="s">
        <v>548</v>
      </c>
      <c r="H389" s="19" t="s">
        <v>507</v>
      </c>
    </row>
    <row r="390" customFormat="false" ht="15" hidden="false" customHeight="false" outlineLevel="0" collapsed="false">
      <c r="B390" s="9" t="s">
        <v>85</v>
      </c>
      <c r="C390" s="5" t="s">
        <v>490</v>
      </c>
      <c r="D390" s="5" t="s">
        <v>232</v>
      </c>
      <c r="E390" s="5" t="s">
        <v>836</v>
      </c>
      <c r="F390" s="9" t="s">
        <v>1333</v>
      </c>
      <c r="G390" s="19" t="s">
        <v>551</v>
      </c>
      <c r="H390" s="19" t="s">
        <v>509</v>
      </c>
    </row>
    <row r="391" customFormat="false" ht="22.35" hidden="false" customHeight="false" outlineLevel="0" collapsed="false">
      <c r="B391" s="9" t="s">
        <v>85</v>
      </c>
      <c r="C391" s="5" t="s">
        <v>490</v>
      </c>
      <c r="D391" s="5" t="s">
        <v>540</v>
      </c>
      <c r="E391" s="5" t="s">
        <v>836</v>
      </c>
      <c r="F391" s="9" t="s">
        <v>856</v>
      </c>
      <c r="G391" s="19" t="s">
        <v>554</v>
      </c>
      <c r="H391" s="19" t="s">
        <v>511</v>
      </c>
    </row>
    <row r="392" customFormat="false" ht="22.35" hidden="false" customHeight="false" outlineLevel="0" collapsed="false">
      <c r="B392" s="9" t="s">
        <v>85</v>
      </c>
      <c r="C392" s="5" t="s">
        <v>490</v>
      </c>
      <c r="D392" s="5" t="s">
        <v>540</v>
      </c>
      <c r="E392" s="5" t="s">
        <v>836</v>
      </c>
      <c r="F392" s="9" t="s">
        <v>1336</v>
      </c>
      <c r="G392" s="19" t="s">
        <v>556</v>
      </c>
      <c r="H392" s="19" t="s">
        <v>1369</v>
      </c>
    </row>
    <row r="393" customFormat="false" ht="22.35" hidden="false" customHeight="false" outlineLevel="0" collapsed="false">
      <c r="B393" s="9" t="s">
        <v>85</v>
      </c>
      <c r="C393" s="5" t="s">
        <v>490</v>
      </c>
      <c r="D393" s="5" t="s">
        <v>540</v>
      </c>
      <c r="E393" s="5" t="s">
        <v>836</v>
      </c>
      <c r="F393" s="9" t="s">
        <v>1338</v>
      </c>
      <c r="G393" s="19" t="s">
        <v>558</v>
      </c>
      <c r="H393" s="19" t="s">
        <v>1370</v>
      </c>
    </row>
    <row r="394" customFormat="false" ht="15" hidden="false" customHeight="false" outlineLevel="0" collapsed="false">
      <c r="B394" s="9" t="s">
        <v>85</v>
      </c>
      <c r="C394" s="5" t="s">
        <v>490</v>
      </c>
      <c r="D394" s="5" t="s">
        <v>503</v>
      </c>
      <c r="E394" s="5" t="s">
        <v>836</v>
      </c>
      <c r="F394" s="9" t="s">
        <v>1342</v>
      </c>
      <c r="G394" s="19" t="s">
        <v>1371</v>
      </c>
      <c r="H394" s="19" t="s">
        <v>1372</v>
      </c>
    </row>
    <row r="395" customFormat="false" ht="15" hidden="false" customHeight="false" outlineLevel="0" collapsed="false">
      <c r="B395" s="9" t="s">
        <v>85</v>
      </c>
      <c r="C395" s="5" t="s">
        <v>490</v>
      </c>
      <c r="D395" s="5" t="s">
        <v>866</v>
      </c>
      <c r="E395" s="5" t="s">
        <v>836</v>
      </c>
      <c r="F395" s="9" t="s">
        <v>1344</v>
      </c>
      <c r="G395" s="19" t="s">
        <v>1373</v>
      </c>
      <c r="H395" s="19" t="s">
        <v>1374</v>
      </c>
    </row>
    <row r="396" customFormat="false" ht="15" hidden="false" customHeight="false" outlineLevel="0" collapsed="false">
      <c r="B396" s="9" t="s">
        <v>85</v>
      </c>
      <c r="C396" s="5" t="s">
        <v>490</v>
      </c>
      <c r="D396" s="5" t="s">
        <v>550</v>
      </c>
      <c r="E396" s="5" t="s">
        <v>836</v>
      </c>
      <c r="F396" s="9" t="s">
        <v>1346</v>
      </c>
      <c r="G396" s="19" t="s">
        <v>1375</v>
      </c>
      <c r="H396" s="19" t="s">
        <v>1376</v>
      </c>
    </row>
    <row r="397" customFormat="false" ht="15" hidden="false" customHeight="false" outlineLevel="0" collapsed="false">
      <c r="B397" s="9" t="s">
        <v>85</v>
      </c>
      <c r="C397" s="5" t="s">
        <v>490</v>
      </c>
      <c r="D397" s="5" t="s">
        <v>550</v>
      </c>
      <c r="E397" s="5" t="s">
        <v>836</v>
      </c>
      <c r="F397" s="9" t="s">
        <v>1348</v>
      </c>
      <c r="G397" s="19" t="s">
        <v>1377</v>
      </c>
      <c r="H397" s="19" t="s">
        <v>1378</v>
      </c>
    </row>
    <row r="398" customFormat="false" ht="15" hidden="false" customHeight="false" outlineLevel="0" collapsed="false">
      <c r="B398" s="9" t="s">
        <v>85</v>
      </c>
      <c r="C398" s="5" t="s">
        <v>490</v>
      </c>
      <c r="D398" s="5" t="s">
        <v>1350</v>
      </c>
      <c r="E398" s="5" t="s">
        <v>836</v>
      </c>
      <c r="F398" s="9" t="s">
        <v>1351</v>
      </c>
      <c r="G398" s="19" t="s">
        <v>1379</v>
      </c>
      <c r="H398" s="19" t="s">
        <v>1380</v>
      </c>
    </row>
    <row r="399" customFormat="false" ht="15" hidden="false" customHeight="false" outlineLevel="0" collapsed="false">
      <c r="B399" s="9" t="s">
        <v>85</v>
      </c>
      <c r="C399" s="5" t="s">
        <v>490</v>
      </c>
      <c r="D399" s="5" t="s">
        <v>1350</v>
      </c>
      <c r="E399" s="5" t="s">
        <v>836</v>
      </c>
      <c r="F399" s="9" t="s">
        <v>1353</v>
      </c>
      <c r="G399" s="19" t="s">
        <v>1381</v>
      </c>
      <c r="H399" s="19" t="s">
        <v>1382</v>
      </c>
    </row>
    <row r="400" customFormat="false" ht="22.35" hidden="false" customHeight="false" outlineLevel="0" collapsed="false">
      <c r="B400" s="9" t="s">
        <v>85</v>
      </c>
      <c r="C400" s="5" t="s">
        <v>490</v>
      </c>
      <c r="D400" s="5" t="s">
        <v>483</v>
      </c>
      <c r="E400" s="5" t="s">
        <v>853</v>
      </c>
      <c r="F400" s="9" t="s">
        <v>1355</v>
      </c>
      <c r="G400" s="19" t="s">
        <v>1383</v>
      </c>
      <c r="H400" s="19" t="s">
        <v>1384</v>
      </c>
    </row>
    <row r="401" customFormat="false" ht="15" hidden="false" customHeight="false" outlineLevel="0" collapsed="false">
      <c r="B401" s="9" t="s">
        <v>85</v>
      </c>
      <c r="C401" s="5" t="s">
        <v>490</v>
      </c>
      <c r="D401" s="5" t="s">
        <v>1357</v>
      </c>
      <c r="E401" s="5" t="s">
        <v>836</v>
      </c>
      <c r="F401" s="9" t="s">
        <v>1358</v>
      </c>
      <c r="G401" s="19" t="s">
        <v>1385</v>
      </c>
      <c r="H401" s="19" t="s">
        <v>1386</v>
      </c>
    </row>
    <row r="402" customFormat="false" ht="15" hidden="false" customHeight="false" outlineLevel="0" collapsed="false">
      <c r="B402" s="9" t="s">
        <v>85</v>
      </c>
      <c r="C402" s="5" t="s">
        <v>490</v>
      </c>
      <c r="D402" s="5" t="s">
        <v>883</v>
      </c>
      <c r="E402" s="5" t="s">
        <v>836</v>
      </c>
      <c r="F402" s="9" t="s">
        <v>1360</v>
      </c>
      <c r="G402" s="19" t="s">
        <v>1387</v>
      </c>
      <c r="H402" s="19" t="s">
        <v>1388</v>
      </c>
    </row>
    <row r="403" customFormat="false" ht="15" hidden="false" customHeight="false" outlineLevel="0" collapsed="false">
      <c r="B403" s="9" t="s">
        <v>85</v>
      </c>
      <c r="C403" s="5" t="s">
        <v>490</v>
      </c>
      <c r="D403" s="5" t="s">
        <v>883</v>
      </c>
      <c r="E403" s="5" t="s">
        <v>836</v>
      </c>
      <c r="F403" s="9" t="s">
        <v>1362</v>
      </c>
      <c r="G403" s="19" t="s">
        <v>1389</v>
      </c>
      <c r="H403" s="19" t="s">
        <v>1390</v>
      </c>
    </row>
    <row r="404" customFormat="false" ht="22.35" hidden="false" customHeight="false" outlineLevel="0" collapsed="false">
      <c r="B404" s="9" t="s">
        <v>85</v>
      </c>
      <c r="C404" s="5" t="s">
        <v>490</v>
      </c>
      <c r="D404" s="5" t="s">
        <v>1364</v>
      </c>
      <c r="E404" s="5" t="s">
        <v>836</v>
      </c>
      <c r="F404" s="9" t="s">
        <v>1365</v>
      </c>
      <c r="G404" s="19" t="s">
        <v>1391</v>
      </c>
      <c r="H404" s="19" t="s">
        <v>1392</v>
      </c>
    </row>
    <row r="405" customFormat="false" ht="22.35" hidden="false" customHeight="false" outlineLevel="0" collapsed="false">
      <c r="B405" s="9" t="s">
        <v>85</v>
      </c>
      <c r="C405" s="5" t="s">
        <v>490</v>
      </c>
      <c r="D405" s="5" t="s">
        <v>1364</v>
      </c>
      <c r="E405" s="5" t="s">
        <v>836</v>
      </c>
      <c r="F405" s="9" t="s">
        <v>1367</v>
      </c>
      <c r="G405" s="19" t="s">
        <v>1393</v>
      </c>
      <c r="H405" s="19" t="s">
        <v>1394</v>
      </c>
    </row>
    <row r="406" customFormat="false" ht="15" hidden="false" customHeight="false" outlineLevel="0" collapsed="false">
      <c r="B406" s="9" t="s">
        <v>85</v>
      </c>
      <c r="C406" s="5" t="s">
        <v>512</v>
      </c>
      <c r="D406" s="5" t="s">
        <v>179</v>
      </c>
      <c r="E406" s="5" t="s">
        <v>836</v>
      </c>
      <c r="F406" s="9" t="s">
        <v>1321</v>
      </c>
      <c r="G406" s="19" t="s">
        <v>1395</v>
      </c>
      <c r="H406" s="19" t="s">
        <v>514</v>
      </c>
    </row>
    <row r="407" customFormat="false" ht="15" hidden="false" customHeight="false" outlineLevel="0" collapsed="false">
      <c r="B407" s="9" t="s">
        <v>85</v>
      </c>
      <c r="C407" s="5" t="s">
        <v>512</v>
      </c>
      <c r="D407" s="5" t="s">
        <v>179</v>
      </c>
      <c r="E407" s="5" t="s">
        <v>836</v>
      </c>
      <c r="F407" s="9" t="s">
        <v>1322</v>
      </c>
      <c r="G407" s="19" t="s">
        <v>1396</v>
      </c>
      <c r="H407" s="19" t="s">
        <v>516</v>
      </c>
    </row>
    <row r="408" customFormat="false" ht="15" hidden="false" customHeight="false" outlineLevel="0" collapsed="false">
      <c r="B408" s="9" t="s">
        <v>85</v>
      </c>
      <c r="C408" s="5" t="s">
        <v>512</v>
      </c>
      <c r="D408" s="5" t="s">
        <v>179</v>
      </c>
      <c r="E408" s="5" t="s">
        <v>836</v>
      </c>
      <c r="F408" s="9" t="s">
        <v>1323</v>
      </c>
      <c r="G408" s="19" t="s">
        <v>1397</v>
      </c>
      <c r="H408" s="19" t="s">
        <v>518</v>
      </c>
    </row>
    <row r="409" customFormat="false" ht="22.35" hidden="false" customHeight="false" outlineLevel="0" collapsed="false">
      <c r="B409" s="9" t="s">
        <v>85</v>
      </c>
      <c r="C409" s="5" t="s">
        <v>512</v>
      </c>
      <c r="D409" s="5" t="s">
        <v>547</v>
      </c>
      <c r="E409" s="5" t="s">
        <v>836</v>
      </c>
      <c r="F409" s="9" t="s">
        <v>1324</v>
      </c>
      <c r="G409" s="19" t="s">
        <v>1398</v>
      </c>
      <c r="H409" s="19" t="s">
        <v>520</v>
      </c>
    </row>
    <row r="410" customFormat="false" ht="22.35" hidden="false" customHeight="false" outlineLevel="0" collapsed="false">
      <c r="B410" s="9" t="s">
        <v>85</v>
      </c>
      <c r="C410" s="5" t="s">
        <v>512</v>
      </c>
      <c r="D410" s="5" t="s">
        <v>547</v>
      </c>
      <c r="E410" s="5" t="s">
        <v>840</v>
      </c>
      <c r="F410" s="9" t="s">
        <v>1325</v>
      </c>
      <c r="G410" s="19" t="s">
        <v>1399</v>
      </c>
      <c r="H410" s="19" t="s">
        <v>522</v>
      </c>
    </row>
    <row r="411" customFormat="false" ht="22.35" hidden="false" customHeight="false" outlineLevel="0" collapsed="false">
      <c r="B411" s="9" t="s">
        <v>85</v>
      </c>
      <c r="C411" s="5" t="s">
        <v>512</v>
      </c>
      <c r="D411" s="5" t="s">
        <v>547</v>
      </c>
      <c r="E411" s="5" t="s">
        <v>836</v>
      </c>
      <c r="F411" s="9" t="s">
        <v>1326</v>
      </c>
      <c r="G411" s="19" t="s">
        <v>1400</v>
      </c>
      <c r="H411" s="19" t="s">
        <v>524</v>
      </c>
    </row>
    <row r="412" customFormat="false" ht="15" hidden="false" customHeight="false" outlineLevel="0" collapsed="false">
      <c r="B412" s="9" t="s">
        <v>85</v>
      </c>
      <c r="C412" s="5" t="s">
        <v>512</v>
      </c>
      <c r="D412" s="5" t="s">
        <v>192</v>
      </c>
      <c r="E412" s="5" t="s">
        <v>1327</v>
      </c>
      <c r="F412" s="9" t="s">
        <v>1328</v>
      </c>
      <c r="G412" s="19" t="s">
        <v>1401</v>
      </c>
      <c r="H412" s="19" t="s">
        <v>526</v>
      </c>
    </row>
    <row r="413" customFormat="false" ht="15" hidden="false" customHeight="false" outlineLevel="0" collapsed="false">
      <c r="B413" s="9" t="s">
        <v>85</v>
      </c>
      <c r="C413" s="5" t="s">
        <v>512</v>
      </c>
      <c r="D413" s="5" t="s">
        <v>192</v>
      </c>
      <c r="E413" s="5" t="s">
        <v>836</v>
      </c>
      <c r="F413" s="9" t="s">
        <v>1329</v>
      </c>
      <c r="G413" s="19" t="s">
        <v>1402</v>
      </c>
      <c r="H413" s="19" t="s">
        <v>1403</v>
      </c>
    </row>
    <row r="414" customFormat="false" ht="15" hidden="false" customHeight="false" outlineLevel="0" collapsed="false">
      <c r="B414" s="9" t="s">
        <v>85</v>
      </c>
      <c r="C414" s="5" t="s">
        <v>512</v>
      </c>
      <c r="D414" s="5" t="s">
        <v>232</v>
      </c>
      <c r="E414" s="5" t="s">
        <v>840</v>
      </c>
      <c r="F414" s="9" t="s">
        <v>1331</v>
      </c>
      <c r="G414" s="19" t="s">
        <v>1404</v>
      </c>
      <c r="H414" s="19" t="s">
        <v>1405</v>
      </c>
    </row>
    <row r="415" customFormat="false" ht="15" hidden="false" customHeight="false" outlineLevel="0" collapsed="false">
      <c r="B415" s="9" t="s">
        <v>85</v>
      </c>
      <c r="C415" s="5" t="s">
        <v>512</v>
      </c>
      <c r="D415" s="5" t="s">
        <v>232</v>
      </c>
      <c r="E415" s="5" t="s">
        <v>836</v>
      </c>
      <c r="F415" s="9" t="s">
        <v>1333</v>
      </c>
      <c r="G415" s="19" t="s">
        <v>1406</v>
      </c>
      <c r="H415" s="19" t="s">
        <v>1407</v>
      </c>
    </row>
    <row r="416" customFormat="false" ht="22.35" hidden="false" customHeight="false" outlineLevel="0" collapsed="false">
      <c r="B416" s="9" t="s">
        <v>85</v>
      </c>
      <c r="C416" s="5" t="s">
        <v>512</v>
      </c>
      <c r="D416" s="5" t="s">
        <v>540</v>
      </c>
      <c r="E416" s="5" t="s">
        <v>836</v>
      </c>
      <c r="F416" s="9" t="s">
        <v>856</v>
      </c>
      <c r="G416" s="19" t="s">
        <v>1408</v>
      </c>
      <c r="H416" s="19" t="s">
        <v>1409</v>
      </c>
    </row>
    <row r="417" customFormat="false" ht="22.35" hidden="false" customHeight="false" outlineLevel="0" collapsed="false">
      <c r="B417" s="9" t="s">
        <v>85</v>
      </c>
      <c r="C417" s="5" t="s">
        <v>512</v>
      </c>
      <c r="D417" s="5" t="s">
        <v>540</v>
      </c>
      <c r="E417" s="5" t="s">
        <v>836</v>
      </c>
      <c r="F417" s="9" t="s">
        <v>1336</v>
      </c>
      <c r="G417" s="19" t="s">
        <v>1410</v>
      </c>
      <c r="H417" s="19" t="s">
        <v>1411</v>
      </c>
    </row>
    <row r="418" customFormat="false" ht="22.35" hidden="false" customHeight="false" outlineLevel="0" collapsed="false">
      <c r="B418" s="9" t="s">
        <v>85</v>
      </c>
      <c r="C418" s="5" t="s">
        <v>512</v>
      </c>
      <c r="D418" s="5" t="s">
        <v>540</v>
      </c>
      <c r="E418" s="5" t="s">
        <v>836</v>
      </c>
      <c r="F418" s="9" t="s">
        <v>1338</v>
      </c>
      <c r="G418" s="19" t="s">
        <v>1412</v>
      </c>
      <c r="H418" s="19" t="s">
        <v>1413</v>
      </c>
    </row>
    <row r="419" customFormat="false" ht="15" hidden="false" customHeight="false" outlineLevel="0" collapsed="false">
      <c r="B419" s="9" t="s">
        <v>85</v>
      </c>
      <c r="C419" s="5" t="s">
        <v>512</v>
      </c>
      <c r="D419" s="5" t="s">
        <v>503</v>
      </c>
      <c r="E419" s="5" t="s">
        <v>836</v>
      </c>
      <c r="F419" s="9" t="s">
        <v>1340</v>
      </c>
      <c r="G419" s="19" t="s">
        <v>1414</v>
      </c>
      <c r="H419" s="19" t="s">
        <v>1415</v>
      </c>
    </row>
    <row r="420" customFormat="false" ht="15" hidden="false" customHeight="false" outlineLevel="0" collapsed="false">
      <c r="B420" s="9" t="s">
        <v>85</v>
      </c>
      <c r="C420" s="5" t="s">
        <v>512</v>
      </c>
      <c r="D420" s="5" t="s">
        <v>503</v>
      </c>
      <c r="E420" s="5" t="s">
        <v>836</v>
      </c>
      <c r="F420" s="9" t="s">
        <v>1342</v>
      </c>
      <c r="G420" s="19" t="s">
        <v>1416</v>
      </c>
      <c r="H420" s="19" t="s">
        <v>1417</v>
      </c>
    </row>
    <row r="421" customFormat="false" ht="15" hidden="false" customHeight="false" outlineLevel="0" collapsed="false">
      <c r="B421" s="9" t="s">
        <v>85</v>
      </c>
      <c r="C421" s="5" t="s">
        <v>512</v>
      </c>
      <c r="D421" s="5" t="s">
        <v>866</v>
      </c>
      <c r="E421" s="5" t="s">
        <v>836</v>
      </c>
      <c r="F421" s="9" t="s">
        <v>1344</v>
      </c>
      <c r="G421" s="19" t="s">
        <v>1418</v>
      </c>
      <c r="H421" s="19" t="s">
        <v>1419</v>
      </c>
    </row>
    <row r="422" customFormat="false" ht="15" hidden="false" customHeight="false" outlineLevel="0" collapsed="false">
      <c r="B422" s="9" t="s">
        <v>85</v>
      </c>
      <c r="C422" s="5" t="s">
        <v>512</v>
      </c>
      <c r="D422" s="5" t="s">
        <v>550</v>
      </c>
      <c r="E422" s="5" t="s">
        <v>836</v>
      </c>
      <c r="F422" s="9" t="s">
        <v>1346</v>
      </c>
      <c r="G422" s="19" t="s">
        <v>1420</v>
      </c>
      <c r="H422" s="19" t="s">
        <v>1421</v>
      </c>
    </row>
    <row r="423" customFormat="false" ht="15" hidden="false" customHeight="false" outlineLevel="0" collapsed="false">
      <c r="B423" s="9" t="s">
        <v>85</v>
      </c>
      <c r="C423" s="5" t="s">
        <v>512</v>
      </c>
      <c r="D423" s="5" t="s">
        <v>550</v>
      </c>
      <c r="E423" s="5" t="s">
        <v>836</v>
      </c>
      <c r="F423" s="9" t="s">
        <v>1348</v>
      </c>
      <c r="G423" s="19" t="s">
        <v>1422</v>
      </c>
      <c r="H423" s="19" t="s">
        <v>1423</v>
      </c>
    </row>
    <row r="424" customFormat="false" ht="15" hidden="false" customHeight="false" outlineLevel="0" collapsed="false">
      <c r="B424" s="9" t="s">
        <v>85</v>
      </c>
      <c r="C424" s="5" t="s">
        <v>512</v>
      </c>
      <c r="D424" s="5" t="s">
        <v>1350</v>
      </c>
      <c r="E424" s="5" t="s">
        <v>836</v>
      </c>
      <c r="F424" s="9" t="s">
        <v>1351</v>
      </c>
      <c r="G424" s="19" t="s">
        <v>1424</v>
      </c>
      <c r="H424" s="19" t="s">
        <v>1425</v>
      </c>
    </row>
    <row r="425" customFormat="false" ht="15" hidden="false" customHeight="false" outlineLevel="0" collapsed="false">
      <c r="B425" s="9" t="s">
        <v>85</v>
      </c>
      <c r="C425" s="5" t="s">
        <v>512</v>
      </c>
      <c r="D425" s="5" t="s">
        <v>1350</v>
      </c>
      <c r="E425" s="5" t="s">
        <v>836</v>
      </c>
      <c r="F425" s="9" t="s">
        <v>1353</v>
      </c>
      <c r="G425" s="19" t="s">
        <v>1426</v>
      </c>
      <c r="H425" s="19" t="s">
        <v>1427</v>
      </c>
    </row>
    <row r="426" customFormat="false" ht="22.35" hidden="false" customHeight="false" outlineLevel="0" collapsed="false">
      <c r="B426" s="9" t="s">
        <v>85</v>
      </c>
      <c r="C426" s="5" t="s">
        <v>512</v>
      </c>
      <c r="D426" s="5" t="s">
        <v>483</v>
      </c>
      <c r="E426" s="5" t="s">
        <v>853</v>
      </c>
      <c r="F426" s="9" t="s">
        <v>1355</v>
      </c>
      <c r="G426" s="19" t="s">
        <v>1428</v>
      </c>
      <c r="H426" s="19" t="s">
        <v>1429</v>
      </c>
    </row>
    <row r="427" customFormat="false" ht="15" hidden="false" customHeight="false" outlineLevel="0" collapsed="false">
      <c r="B427" s="9" t="s">
        <v>85</v>
      </c>
      <c r="C427" s="5" t="s">
        <v>512</v>
      </c>
      <c r="D427" s="5" t="s">
        <v>1357</v>
      </c>
      <c r="E427" s="5" t="s">
        <v>836</v>
      </c>
      <c r="F427" s="9" t="s">
        <v>1358</v>
      </c>
      <c r="G427" s="19" t="s">
        <v>1430</v>
      </c>
      <c r="H427" s="19" t="s">
        <v>1431</v>
      </c>
    </row>
    <row r="428" customFormat="false" ht="15" hidden="false" customHeight="false" outlineLevel="0" collapsed="false">
      <c r="B428" s="9" t="s">
        <v>85</v>
      </c>
      <c r="C428" s="5" t="s">
        <v>512</v>
      </c>
      <c r="D428" s="5" t="s">
        <v>883</v>
      </c>
      <c r="E428" s="5" t="s">
        <v>836</v>
      </c>
      <c r="F428" s="9" t="s">
        <v>1360</v>
      </c>
      <c r="G428" s="19" t="s">
        <v>1432</v>
      </c>
      <c r="H428" s="19" t="s">
        <v>1433</v>
      </c>
    </row>
    <row r="429" customFormat="false" ht="15" hidden="false" customHeight="false" outlineLevel="0" collapsed="false">
      <c r="B429" s="9" t="s">
        <v>85</v>
      </c>
      <c r="C429" s="5" t="s">
        <v>512</v>
      </c>
      <c r="D429" s="5" t="s">
        <v>883</v>
      </c>
      <c r="E429" s="5" t="s">
        <v>836</v>
      </c>
      <c r="F429" s="9" t="s">
        <v>1362</v>
      </c>
      <c r="G429" s="19" t="s">
        <v>1434</v>
      </c>
      <c r="H429" s="19" t="s">
        <v>1435</v>
      </c>
    </row>
    <row r="430" customFormat="false" ht="22.35" hidden="false" customHeight="false" outlineLevel="0" collapsed="false">
      <c r="B430" s="9" t="s">
        <v>85</v>
      </c>
      <c r="C430" s="5" t="s">
        <v>512</v>
      </c>
      <c r="D430" s="5" t="s">
        <v>1364</v>
      </c>
      <c r="E430" s="5" t="s">
        <v>836</v>
      </c>
      <c r="F430" s="9" t="s">
        <v>1365</v>
      </c>
      <c r="G430" s="19" t="s">
        <v>1436</v>
      </c>
      <c r="H430" s="19" t="s">
        <v>1437</v>
      </c>
    </row>
    <row r="431" customFormat="false" ht="22.35" hidden="false" customHeight="false" outlineLevel="0" collapsed="false">
      <c r="B431" s="9" t="s">
        <v>85</v>
      </c>
      <c r="C431" s="5" t="s">
        <v>512</v>
      </c>
      <c r="D431" s="5" t="s">
        <v>1364</v>
      </c>
      <c r="E431" s="5" t="s">
        <v>836</v>
      </c>
      <c r="F431" s="9" t="s">
        <v>1367</v>
      </c>
      <c r="G431" s="19" t="s">
        <v>1438</v>
      </c>
      <c r="H431" s="19" t="s">
        <v>1439</v>
      </c>
    </row>
    <row r="432" customFormat="false" ht="15" hidden="false" customHeight="false" outlineLevel="0" collapsed="false">
      <c r="B432" s="9" t="s">
        <v>85</v>
      </c>
      <c r="C432" s="5" t="s">
        <v>527</v>
      </c>
      <c r="D432" s="5" t="s">
        <v>179</v>
      </c>
      <c r="E432" s="5" t="s">
        <v>836</v>
      </c>
      <c r="F432" s="9" t="s">
        <v>1321</v>
      </c>
      <c r="G432" s="19" t="s">
        <v>1440</v>
      </c>
      <c r="H432" s="19" t="s">
        <v>529</v>
      </c>
    </row>
    <row r="433" customFormat="false" ht="15" hidden="false" customHeight="false" outlineLevel="0" collapsed="false">
      <c r="B433" s="9" t="s">
        <v>85</v>
      </c>
      <c r="C433" s="5" t="s">
        <v>527</v>
      </c>
      <c r="D433" s="5" t="s">
        <v>179</v>
      </c>
      <c r="E433" s="5" t="s">
        <v>836</v>
      </c>
      <c r="F433" s="9" t="s">
        <v>1322</v>
      </c>
      <c r="G433" s="19" t="s">
        <v>1441</v>
      </c>
      <c r="H433" s="19" t="s">
        <v>531</v>
      </c>
    </row>
    <row r="434" customFormat="false" ht="15" hidden="false" customHeight="false" outlineLevel="0" collapsed="false">
      <c r="B434" s="9" t="s">
        <v>85</v>
      </c>
      <c r="C434" s="5" t="s">
        <v>527</v>
      </c>
      <c r="D434" s="5" t="s">
        <v>179</v>
      </c>
      <c r="E434" s="5" t="s">
        <v>836</v>
      </c>
      <c r="F434" s="9" t="s">
        <v>1323</v>
      </c>
      <c r="G434" s="19" t="s">
        <v>1442</v>
      </c>
      <c r="H434" s="19" t="s">
        <v>533</v>
      </c>
    </row>
    <row r="435" customFormat="false" ht="15" hidden="false" customHeight="false" outlineLevel="0" collapsed="false">
      <c r="B435" s="9" t="s">
        <v>85</v>
      </c>
      <c r="C435" s="5" t="s">
        <v>527</v>
      </c>
      <c r="D435" s="5" t="s">
        <v>179</v>
      </c>
      <c r="E435" s="5" t="s">
        <v>1443</v>
      </c>
      <c r="F435" s="9" t="s">
        <v>1444</v>
      </c>
      <c r="G435" s="19" t="s">
        <v>1445</v>
      </c>
      <c r="H435" s="19" t="s">
        <v>535</v>
      </c>
    </row>
    <row r="436" customFormat="false" ht="15" hidden="false" customHeight="false" outlineLevel="0" collapsed="false">
      <c r="B436" s="9" t="s">
        <v>85</v>
      </c>
      <c r="C436" s="5" t="s">
        <v>527</v>
      </c>
      <c r="D436" s="5" t="s">
        <v>179</v>
      </c>
      <c r="E436" s="5" t="s">
        <v>840</v>
      </c>
      <c r="F436" s="9" t="s">
        <v>1446</v>
      </c>
      <c r="G436" s="19" t="s">
        <v>1447</v>
      </c>
      <c r="H436" s="19" t="s">
        <v>537</v>
      </c>
    </row>
    <row r="437" customFormat="false" ht="15" hidden="false" customHeight="false" outlineLevel="0" collapsed="false">
      <c r="B437" s="9" t="s">
        <v>85</v>
      </c>
      <c r="C437" s="5" t="s">
        <v>527</v>
      </c>
      <c r="D437" s="5" t="s">
        <v>866</v>
      </c>
      <c r="E437" s="5" t="s">
        <v>836</v>
      </c>
      <c r="F437" s="9" t="s">
        <v>1448</v>
      </c>
      <c r="G437" s="19" t="s">
        <v>1449</v>
      </c>
      <c r="H437" s="19" t="s">
        <v>539</v>
      </c>
    </row>
    <row r="438" customFormat="false" ht="15" hidden="false" customHeight="false" outlineLevel="0" collapsed="false">
      <c r="B438" s="9" t="s">
        <v>85</v>
      </c>
      <c r="C438" s="5" t="s">
        <v>527</v>
      </c>
      <c r="D438" s="5" t="s">
        <v>866</v>
      </c>
      <c r="E438" s="5" t="s">
        <v>836</v>
      </c>
      <c r="F438" s="9" t="s">
        <v>1344</v>
      </c>
      <c r="G438" s="19" t="s">
        <v>1450</v>
      </c>
      <c r="H438" s="19" t="s">
        <v>542</v>
      </c>
    </row>
    <row r="439" customFormat="false" ht="22.35" hidden="false" customHeight="false" outlineLevel="0" collapsed="false">
      <c r="B439" s="9" t="s">
        <v>85</v>
      </c>
      <c r="C439" s="5" t="s">
        <v>527</v>
      </c>
      <c r="D439" s="5" t="s">
        <v>547</v>
      </c>
      <c r="E439" s="5" t="s">
        <v>840</v>
      </c>
      <c r="F439" s="9" t="s">
        <v>1325</v>
      </c>
      <c r="G439" s="19" t="s">
        <v>1451</v>
      </c>
      <c r="H439" s="19" t="s">
        <v>544</v>
      </c>
    </row>
    <row r="440" customFormat="false" ht="22.35" hidden="false" customHeight="false" outlineLevel="0" collapsed="false">
      <c r="B440" s="9" t="s">
        <v>85</v>
      </c>
      <c r="C440" s="5" t="s">
        <v>527</v>
      </c>
      <c r="D440" s="5" t="s">
        <v>547</v>
      </c>
      <c r="E440" s="5" t="s">
        <v>836</v>
      </c>
      <c r="F440" s="9" t="s">
        <v>1326</v>
      </c>
      <c r="G440" s="19" t="s">
        <v>1452</v>
      </c>
      <c r="H440" s="19" t="s">
        <v>546</v>
      </c>
    </row>
    <row r="441" customFormat="false" ht="15" hidden="false" customHeight="false" outlineLevel="0" collapsed="false">
      <c r="B441" s="9" t="s">
        <v>85</v>
      </c>
      <c r="C441" s="5" t="s">
        <v>527</v>
      </c>
      <c r="D441" s="5" t="s">
        <v>192</v>
      </c>
      <c r="E441" s="5" t="s">
        <v>1327</v>
      </c>
      <c r="F441" s="9" t="s">
        <v>1328</v>
      </c>
      <c r="G441" s="19" t="s">
        <v>1453</v>
      </c>
      <c r="H441" s="19" t="s">
        <v>549</v>
      </c>
    </row>
    <row r="442" customFormat="false" ht="15" hidden="false" customHeight="false" outlineLevel="0" collapsed="false">
      <c r="B442" s="9" t="s">
        <v>85</v>
      </c>
      <c r="C442" s="5" t="s">
        <v>527</v>
      </c>
      <c r="D442" s="5" t="s">
        <v>192</v>
      </c>
      <c r="E442" s="5" t="s">
        <v>836</v>
      </c>
      <c r="F442" s="9" t="s">
        <v>1329</v>
      </c>
      <c r="G442" s="19" t="s">
        <v>1454</v>
      </c>
      <c r="H442" s="19" t="s">
        <v>552</v>
      </c>
    </row>
    <row r="443" customFormat="false" ht="15" hidden="false" customHeight="false" outlineLevel="0" collapsed="false">
      <c r="B443" s="9" t="s">
        <v>85</v>
      </c>
      <c r="C443" s="5" t="s">
        <v>527</v>
      </c>
      <c r="D443" s="5" t="s">
        <v>232</v>
      </c>
      <c r="E443" s="5" t="s">
        <v>836</v>
      </c>
      <c r="F443" s="9" t="s">
        <v>1333</v>
      </c>
      <c r="G443" s="19" t="s">
        <v>1455</v>
      </c>
      <c r="H443" s="19" t="s">
        <v>555</v>
      </c>
    </row>
    <row r="444" customFormat="false" ht="22.35" hidden="false" customHeight="false" outlineLevel="0" collapsed="false">
      <c r="B444" s="9" t="s">
        <v>85</v>
      </c>
      <c r="C444" s="5" t="s">
        <v>527</v>
      </c>
      <c r="D444" s="5" t="s">
        <v>540</v>
      </c>
      <c r="E444" s="5" t="s">
        <v>836</v>
      </c>
      <c r="F444" s="9" t="s">
        <v>1336</v>
      </c>
      <c r="G444" s="19" t="s">
        <v>1456</v>
      </c>
      <c r="H444" s="19" t="s">
        <v>557</v>
      </c>
    </row>
    <row r="445" customFormat="false" ht="22.35" hidden="false" customHeight="false" outlineLevel="0" collapsed="false">
      <c r="B445" s="9" t="s">
        <v>85</v>
      </c>
      <c r="C445" s="5" t="s">
        <v>527</v>
      </c>
      <c r="D445" s="5" t="s">
        <v>540</v>
      </c>
      <c r="E445" s="5" t="s">
        <v>836</v>
      </c>
      <c r="F445" s="9" t="s">
        <v>1338</v>
      </c>
      <c r="G445" s="19" t="s">
        <v>1457</v>
      </c>
      <c r="H445" s="19" t="s">
        <v>559</v>
      </c>
    </row>
    <row r="446" customFormat="false" ht="15" hidden="false" customHeight="false" outlineLevel="0" collapsed="false">
      <c r="B446" s="9" t="s">
        <v>85</v>
      </c>
      <c r="C446" s="5" t="s">
        <v>527</v>
      </c>
      <c r="D446" s="5" t="s">
        <v>503</v>
      </c>
      <c r="E446" s="5" t="s">
        <v>836</v>
      </c>
      <c r="F446" s="9" t="s">
        <v>1342</v>
      </c>
      <c r="G446" s="19" t="s">
        <v>1458</v>
      </c>
      <c r="H446" s="19" t="s">
        <v>1459</v>
      </c>
    </row>
    <row r="447" customFormat="false" ht="15" hidden="false" customHeight="false" outlineLevel="0" collapsed="false">
      <c r="B447" s="9" t="s">
        <v>85</v>
      </c>
      <c r="C447" s="5" t="s">
        <v>527</v>
      </c>
      <c r="D447" s="5" t="s">
        <v>550</v>
      </c>
      <c r="E447" s="5" t="s">
        <v>836</v>
      </c>
      <c r="F447" s="9" t="s">
        <v>1346</v>
      </c>
      <c r="G447" s="19" t="s">
        <v>1460</v>
      </c>
      <c r="H447" s="19" t="s">
        <v>1461</v>
      </c>
    </row>
    <row r="448" customFormat="false" ht="15" hidden="false" customHeight="false" outlineLevel="0" collapsed="false">
      <c r="B448" s="9" t="s">
        <v>85</v>
      </c>
      <c r="C448" s="5" t="s">
        <v>527</v>
      </c>
      <c r="D448" s="5" t="s">
        <v>550</v>
      </c>
      <c r="E448" s="5" t="s">
        <v>836</v>
      </c>
      <c r="F448" s="9" t="s">
        <v>1348</v>
      </c>
      <c r="G448" s="19" t="s">
        <v>1462</v>
      </c>
      <c r="H448" s="19" t="s">
        <v>1463</v>
      </c>
    </row>
    <row r="449" customFormat="false" ht="15" hidden="false" customHeight="false" outlineLevel="0" collapsed="false">
      <c r="B449" s="9" t="s">
        <v>85</v>
      </c>
      <c r="C449" s="5" t="s">
        <v>527</v>
      </c>
      <c r="D449" s="5" t="s">
        <v>1350</v>
      </c>
      <c r="E449" s="5" t="s">
        <v>836</v>
      </c>
      <c r="F449" s="9" t="s">
        <v>1351</v>
      </c>
      <c r="G449" s="19" t="s">
        <v>1464</v>
      </c>
      <c r="H449" s="19" t="s">
        <v>1465</v>
      </c>
    </row>
    <row r="450" customFormat="false" ht="15" hidden="false" customHeight="false" outlineLevel="0" collapsed="false">
      <c r="B450" s="9" t="s">
        <v>85</v>
      </c>
      <c r="C450" s="5" t="s">
        <v>527</v>
      </c>
      <c r="D450" s="5" t="s">
        <v>1350</v>
      </c>
      <c r="E450" s="5" t="s">
        <v>836</v>
      </c>
      <c r="F450" s="9" t="s">
        <v>1353</v>
      </c>
      <c r="G450" s="19" t="s">
        <v>1466</v>
      </c>
      <c r="H450" s="19" t="s">
        <v>1467</v>
      </c>
    </row>
    <row r="451" customFormat="false" ht="22.35" hidden="false" customHeight="false" outlineLevel="0" collapsed="false">
      <c r="B451" s="9" t="s">
        <v>85</v>
      </c>
      <c r="C451" s="5" t="s">
        <v>527</v>
      </c>
      <c r="D451" s="5" t="s">
        <v>483</v>
      </c>
      <c r="E451" s="5" t="s">
        <v>853</v>
      </c>
      <c r="F451" s="9" t="s">
        <v>1355</v>
      </c>
      <c r="G451" s="19" t="s">
        <v>1468</v>
      </c>
      <c r="H451" s="19" t="s">
        <v>1469</v>
      </c>
    </row>
    <row r="452" customFormat="false" ht="15" hidden="false" customHeight="false" outlineLevel="0" collapsed="false">
      <c r="B452" s="9" t="s">
        <v>85</v>
      </c>
      <c r="C452" s="5" t="s">
        <v>527</v>
      </c>
      <c r="D452" s="5" t="s">
        <v>1357</v>
      </c>
      <c r="E452" s="5" t="s">
        <v>836</v>
      </c>
      <c r="F452" s="9" t="s">
        <v>1358</v>
      </c>
      <c r="G452" s="19" t="s">
        <v>1470</v>
      </c>
      <c r="H452" s="19" t="s">
        <v>1471</v>
      </c>
    </row>
    <row r="453" customFormat="false" ht="15" hidden="false" customHeight="false" outlineLevel="0" collapsed="false">
      <c r="B453" s="9" t="s">
        <v>85</v>
      </c>
      <c r="C453" s="5" t="s">
        <v>527</v>
      </c>
      <c r="D453" s="5" t="s">
        <v>883</v>
      </c>
      <c r="E453" s="5" t="s">
        <v>836</v>
      </c>
      <c r="F453" s="9" t="s">
        <v>1360</v>
      </c>
      <c r="G453" s="19" t="s">
        <v>1472</v>
      </c>
      <c r="H453" s="19" t="s">
        <v>1473</v>
      </c>
    </row>
    <row r="454" customFormat="false" ht="15" hidden="false" customHeight="false" outlineLevel="0" collapsed="false">
      <c r="B454" s="9" t="s">
        <v>85</v>
      </c>
      <c r="C454" s="5" t="s">
        <v>527</v>
      </c>
      <c r="D454" s="5" t="s">
        <v>883</v>
      </c>
      <c r="E454" s="5" t="s">
        <v>836</v>
      </c>
      <c r="F454" s="9" t="s">
        <v>1362</v>
      </c>
      <c r="G454" s="19" t="s">
        <v>1474</v>
      </c>
      <c r="H454" s="19" t="s">
        <v>1475</v>
      </c>
    </row>
    <row r="455" customFormat="false" ht="22.35" hidden="false" customHeight="false" outlineLevel="0" collapsed="false">
      <c r="B455" s="9" t="s">
        <v>85</v>
      </c>
      <c r="C455" s="5" t="s">
        <v>527</v>
      </c>
      <c r="D455" s="5" t="s">
        <v>1364</v>
      </c>
      <c r="E455" s="5" t="s">
        <v>836</v>
      </c>
      <c r="F455" s="9" t="s">
        <v>1365</v>
      </c>
      <c r="G455" s="19" t="s">
        <v>1476</v>
      </c>
      <c r="H455" s="19" t="s">
        <v>1477</v>
      </c>
    </row>
    <row r="456" customFormat="false" ht="22.35" hidden="false" customHeight="false" outlineLevel="0" collapsed="false">
      <c r="B456" s="9" t="s">
        <v>85</v>
      </c>
      <c r="C456" s="5" t="s">
        <v>527</v>
      </c>
      <c r="D456" s="5" t="s">
        <v>1364</v>
      </c>
      <c r="E456" s="5" t="s">
        <v>836</v>
      </c>
      <c r="F456" s="9" t="s">
        <v>1367</v>
      </c>
      <c r="G456" s="19" t="s">
        <v>1478</v>
      </c>
      <c r="H456" s="19" t="s">
        <v>1479</v>
      </c>
    </row>
    <row r="457" customFormat="false" ht="15" hidden="false" customHeight="false" outlineLevel="0" collapsed="false">
      <c r="B457" s="9" t="s">
        <v>105</v>
      </c>
      <c r="C457" s="5" t="s">
        <v>560</v>
      </c>
      <c r="D457" s="5" t="s">
        <v>179</v>
      </c>
      <c r="E457" s="5" t="s">
        <v>836</v>
      </c>
      <c r="F457" s="9" t="s">
        <v>856</v>
      </c>
      <c r="G457" s="19" t="s">
        <v>561</v>
      </c>
      <c r="H457" s="19" t="s">
        <v>562</v>
      </c>
    </row>
    <row r="458" customFormat="false" ht="15" hidden="false" customHeight="false" outlineLevel="0" collapsed="false">
      <c r="B458" s="9" t="s">
        <v>105</v>
      </c>
      <c r="C458" s="5" t="s">
        <v>560</v>
      </c>
      <c r="D458" s="5" t="s">
        <v>232</v>
      </c>
      <c r="E458" s="5" t="s">
        <v>840</v>
      </c>
      <c r="F458" s="9" t="s">
        <v>1480</v>
      </c>
      <c r="G458" s="19" t="s">
        <v>563</v>
      </c>
      <c r="H458" s="19" t="s">
        <v>564</v>
      </c>
    </row>
    <row r="459" customFormat="false" ht="15" hidden="false" customHeight="false" outlineLevel="0" collapsed="false">
      <c r="B459" s="9" t="s">
        <v>105</v>
      </c>
      <c r="C459" s="5" t="s">
        <v>560</v>
      </c>
      <c r="D459" s="5" t="s">
        <v>192</v>
      </c>
      <c r="E459" s="5" t="s">
        <v>836</v>
      </c>
      <c r="F459" s="9" t="s">
        <v>1481</v>
      </c>
      <c r="G459" s="19" t="s">
        <v>565</v>
      </c>
      <c r="H459" s="19" t="s">
        <v>566</v>
      </c>
    </row>
    <row r="460" customFormat="false" ht="15" hidden="false" customHeight="false" outlineLevel="0" collapsed="false">
      <c r="B460" s="9" t="s">
        <v>105</v>
      </c>
      <c r="C460" s="5" t="s">
        <v>560</v>
      </c>
      <c r="D460" s="5" t="s">
        <v>192</v>
      </c>
      <c r="E460" s="5" t="s">
        <v>840</v>
      </c>
      <c r="F460" s="9" t="s">
        <v>1482</v>
      </c>
      <c r="G460" s="19" t="s">
        <v>567</v>
      </c>
      <c r="H460" s="19" t="s">
        <v>568</v>
      </c>
    </row>
    <row r="461" customFormat="false" ht="15" hidden="false" customHeight="false" outlineLevel="0" collapsed="false">
      <c r="B461" s="9" t="s">
        <v>105</v>
      </c>
      <c r="C461" s="5" t="s">
        <v>560</v>
      </c>
      <c r="D461" s="5" t="s">
        <v>235</v>
      </c>
      <c r="E461" s="5" t="s">
        <v>836</v>
      </c>
      <c r="F461" s="9" t="s">
        <v>1483</v>
      </c>
      <c r="G461" s="19" t="s">
        <v>570</v>
      </c>
      <c r="H461" s="19" t="s">
        <v>1484</v>
      </c>
    </row>
    <row r="462" customFormat="false" ht="15" hidden="false" customHeight="false" outlineLevel="0" collapsed="false">
      <c r="B462" s="9" t="s">
        <v>105</v>
      </c>
      <c r="C462" s="5" t="s">
        <v>560</v>
      </c>
      <c r="D462" s="5" t="s">
        <v>1084</v>
      </c>
      <c r="E462" s="5" t="s">
        <v>840</v>
      </c>
      <c r="F462" s="9" t="s">
        <v>1085</v>
      </c>
      <c r="G462" s="19" t="s">
        <v>572</v>
      </c>
      <c r="H462" s="19" t="s">
        <v>1485</v>
      </c>
    </row>
    <row r="463" customFormat="false" ht="15" hidden="false" customHeight="false" outlineLevel="0" collapsed="false">
      <c r="B463" s="9" t="s">
        <v>105</v>
      </c>
      <c r="C463" s="5" t="s">
        <v>560</v>
      </c>
      <c r="D463" s="5" t="s">
        <v>1486</v>
      </c>
      <c r="E463" s="5" t="s">
        <v>836</v>
      </c>
      <c r="F463" s="9" t="s">
        <v>1487</v>
      </c>
      <c r="G463" s="19" t="s">
        <v>574</v>
      </c>
      <c r="H463" s="19" t="s">
        <v>1488</v>
      </c>
    </row>
    <row r="464" customFormat="false" ht="15" hidden="false" customHeight="false" outlineLevel="0" collapsed="false">
      <c r="B464" s="9" t="s">
        <v>105</v>
      </c>
      <c r="C464" s="5" t="s">
        <v>560</v>
      </c>
      <c r="D464" s="5" t="s">
        <v>585</v>
      </c>
      <c r="E464" s="5" t="s">
        <v>836</v>
      </c>
      <c r="F464" s="9" t="s">
        <v>1489</v>
      </c>
      <c r="G464" s="19" t="s">
        <v>576</v>
      </c>
      <c r="H464" s="19" t="s">
        <v>1490</v>
      </c>
    </row>
    <row r="465" customFormat="false" ht="15" hidden="false" customHeight="false" outlineLevel="0" collapsed="false">
      <c r="B465" s="9" t="s">
        <v>105</v>
      </c>
      <c r="C465" s="5" t="s">
        <v>560</v>
      </c>
      <c r="D465" s="5" t="s">
        <v>585</v>
      </c>
      <c r="E465" s="5" t="s">
        <v>836</v>
      </c>
      <c r="F465" s="9" t="s">
        <v>1491</v>
      </c>
      <c r="G465" s="19" t="s">
        <v>579</v>
      </c>
      <c r="H465" s="19" t="s">
        <v>1492</v>
      </c>
    </row>
    <row r="466" customFormat="false" ht="15" hidden="false" customHeight="false" outlineLevel="0" collapsed="false">
      <c r="B466" s="9" t="s">
        <v>105</v>
      </c>
      <c r="C466" s="5" t="s">
        <v>560</v>
      </c>
      <c r="D466" s="5" t="s">
        <v>585</v>
      </c>
      <c r="E466" s="5" t="s">
        <v>840</v>
      </c>
      <c r="F466" s="9" t="s">
        <v>1493</v>
      </c>
      <c r="G466" s="19" t="s">
        <v>581</v>
      </c>
      <c r="H466" s="19" t="s">
        <v>1494</v>
      </c>
    </row>
    <row r="467" customFormat="false" ht="15" hidden="false" customHeight="false" outlineLevel="0" collapsed="false">
      <c r="B467" s="9" t="s">
        <v>105</v>
      </c>
      <c r="C467" s="5" t="s">
        <v>560</v>
      </c>
      <c r="D467" s="5" t="s">
        <v>585</v>
      </c>
      <c r="E467" s="5" t="s">
        <v>836</v>
      </c>
      <c r="F467" s="9" t="s">
        <v>1495</v>
      </c>
      <c r="G467" s="19" t="s">
        <v>583</v>
      </c>
      <c r="H467" s="19" t="s">
        <v>1496</v>
      </c>
    </row>
    <row r="468" customFormat="false" ht="15" hidden="false" customHeight="false" outlineLevel="0" collapsed="false">
      <c r="B468" s="9" t="s">
        <v>105</v>
      </c>
      <c r="C468" s="5" t="s">
        <v>560</v>
      </c>
      <c r="D468" s="5" t="s">
        <v>1497</v>
      </c>
      <c r="E468" s="5" t="s">
        <v>836</v>
      </c>
      <c r="F468" s="9" t="s">
        <v>1498</v>
      </c>
      <c r="G468" s="19" t="s">
        <v>586</v>
      </c>
      <c r="H468" s="19" t="s">
        <v>1499</v>
      </c>
    </row>
    <row r="469" customFormat="false" ht="15" hidden="false" customHeight="false" outlineLevel="0" collapsed="false">
      <c r="B469" s="9" t="s">
        <v>105</v>
      </c>
      <c r="C469" s="5" t="s">
        <v>560</v>
      </c>
      <c r="D469" s="5" t="s">
        <v>1497</v>
      </c>
      <c r="E469" s="5" t="s">
        <v>836</v>
      </c>
      <c r="F469" s="9" t="s">
        <v>1500</v>
      </c>
      <c r="G469" s="19" t="s">
        <v>588</v>
      </c>
      <c r="H469" s="19" t="s">
        <v>1501</v>
      </c>
    </row>
    <row r="470" customFormat="false" ht="22.35" hidden="false" customHeight="false" outlineLevel="0" collapsed="false">
      <c r="B470" s="9" t="s">
        <v>105</v>
      </c>
      <c r="C470" s="5" t="s">
        <v>560</v>
      </c>
      <c r="D470" s="5" t="s">
        <v>1502</v>
      </c>
      <c r="E470" s="5" t="s">
        <v>836</v>
      </c>
      <c r="F470" s="9" t="s">
        <v>1503</v>
      </c>
      <c r="G470" s="19" t="s">
        <v>590</v>
      </c>
      <c r="H470" s="19" t="s">
        <v>1504</v>
      </c>
    </row>
    <row r="471" customFormat="false" ht="15" hidden="false" customHeight="false" outlineLevel="0" collapsed="false">
      <c r="B471" s="9" t="s">
        <v>105</v>
      </c>
      <c r="C471" s="5" t="s">
        <v>569</v>
      </c>
      <c r="D471" s="5" t="s">
        <v>179</v>
      </c>
      <c r="E471" s="5" t="s">
        <v>836</v>
      </c>
      <c r="F471" s="9" t="s">
        <v>856</v>
      </c>
      <c r="G471" s="19" t="s">
        <v>592</v>
      </c>
      <c r="H471" s="19" t="s">
        <v>571</v>
      </c>
    </row>
    <row r="472" customFormat="false" ht="15" hidden="false" customHeight="false" outlineLevel="0" collapsed="false">
      <c r="B472" s="9" t="s">
        <v>105</v>
      </c>
      <c r="C472" s="5" t="s">
        <v>569</v>
      </c>
      <c r="D472" s="5" t="s">
        <v>232</v>
      </c>
      <c r="E472" s="5" t="s">
        <v>840</v>
      </c>
      <c r="F472" s="9" t="s">
        <v>1480</v>
      </c>
      <c r="G472" s="19" t="s">
        <v>1505</v>
      </c>
      <c r="H472" s="19" t="s">
        <v>573</v>
      </c>
    </row>
    <row r="473" customFormat="false" ht="15" hidden="false" customHeight="false" outlineLevel="0" collapsed="false">
      <c r="B473" s="9" t="s">
        <v>105</v>
      </c>
      <c r="C473" s="5" t="s">
        <v>569</v>
      </c>
      <c r="D473" s="5" t="s">
        <v>192</v>
      </c>
      <c r="E473" s="5" t="s">
        <v>836</v>
      </c>
      <c r="F473" s="9" t="s">
        <v>1481</v>
      </c>
      <c r="G473" s="19" t="s">
        <v>1506</v>
      </c>
      <c r="H473" s="19" t="s">
        <v>575</v>
      </c>
    </row>
    <row r="474" customFormat="false" ht="15" hidden="false" customHeight="false" outlineLevel="0" collapsed="false">
      <c r="B474" s="9" t="s">
        <v>105</v>
      </c>
      <c r="C474" s="5" t="s">
        <v>569</v>
      </c>
      <c r="D474" s="5" t="s">
        <v>192</v>
      </c>
      <c r="E474" s="5" t="s">
        <v>840</v>
      </c>
      <c r="F474" s="9" t="s">
        <v>1482</v>
      </c>
      <c r="G474" s="19" t="s">
        <v>1507</v>
      </c>
      <c r="H474" s="19" t="s">
        <v>577</v>
      </c>
    </row>
    <row r="475" customFormat="false" ht="15" hidden="false" customHeight="false" outlineLevel="0" collapsed="false">
      <c r="B475" s="9" t="s">
        <v>105</v>
      </c>
      <c r="C475" s="5" t="s">
        <v>569</v>
      </c>
      <c r="D475" s="5" t="s">
        <v>235</v>
      </c>
      <c r="E475" s="5" t="s">
        <v>836</v>
      </c>
      <c r="F475" s="9" t="s">
        <v>1483</v>
      </c>
      <c r="G475" s="19" t="s">
        <v>1508</v>
      </c>
      <c r="H475" s="19" t="s">
        <v>1509</v>
      </c>
    </row>
    <row r="476" customFormat="false" ht="15" hidden="false" customHeight="false" outlineLevel="0" collapsed="false">
      <c r="B476" s="9" t="s">
        <v>105</v>
      </c>
      <c r="C476" s="5" t="s">
        <v>569</v>
      </c>
      <c r="D476" s="5" t="s">
        <v>1084</v>
      </c>
      <c r="E476" s="5" t="s">
        <v>840</v>
      </c>
      <c r="F476" s="9" t="s">
        <v>1085</v>
      </c>
      <c r="G476" s="19" t="s">
        <v>1510</v>
      </c>
      <c r="H476" s="19" t="s">
        <v>1511</v>
      </c>
    </row>
    <row r="477" customFormat="false" ht="15" hidden="false" customHeight="false" outlineLevel="0" collapsed="false">
      <c r="B477" s="9" t="s">
        <v>105</v>
      </c>
      <c r="C477" s="5" t="s">
        <v>569</v>
      </c>
      <c r="D477" s="5" t="s">
        <v>1486</v>
      </c>
      <c r="E477" s="5" t="s">
        <v>836</v>
      </c>
      <c r="F477" s="9" t="s">
        <v>1487</v>
      </c>
      <c r="G477" s="19" t="s">
        <v>1512</v>
      </c>
      <c r="H477" s="19" t="s">
        <v>1513</v>
      </c>
    </row>
    <row r="478" customFormat="false" ht="15" hidden="false" customHeight="false" outlineLevel="0" collapsed="false">
      <c r="B478" s="9" t="s">
        <v>105</v>
      </c>
      <c r="C478" s="5" t="s">
        <v>569</v>
      </c>
      <c r="D478" s="5" t="s">
        <v>585</v>
      </c>
      <c r="E478" s="5" t="s">
        <v>836</v>
      </c>
      <c r="F478" s="9" t="s">
        <v>1489</v>
      </c>
      <c r="G478" s="19" t="s">
        <v>1514</v>
      </c>
      <c r="H478" s="19" t="s">
        <v>1515</v>
      </c>
    </row>
    <row r="479" customFormat="false" ht="15" hidden="false" customHeight="false" outlineLevel="0" collapsed="false">
      <c r="B479" s="9" t="s">
        <v>105</v>
      </c>
      <c r="C479" s="5" t="s">
        <v>569</v>
      </c>
      <c r="D479" s="5" t="s">
        <v>585</v>
      </c>
      <c r="E479" s="5" t="s">
        <v>836</v>
      </c>
      <c r="F479" s="9" t="s">
        <v>1491</v>
      </c>
      <c r="G479" s="19" t="s">
        <v>1516</v>
      </c>
      <c r="H479" s="19" t="s">
        <v>1517</v>
      </c>
    </row>
    <row r="480" customFormat="false" ht="15" hidden="false" customHeight="false" outlineLevel="0" collapsed="false">
      <c r="B480" s="9" t="s">
        <v>105</v>
      </c>
      <c r="C480" s="5" t="s">
        <v>569</v>
      </c>
      <c r="D480" s="5" t="s">
        <v>585</v>
      </c>
      <c r="E480" s="5" t="s">
        <v>840</v>
      </c>
      <c r="F480" s="9" t="s">
        <v>1493</v>
      </c>
      <c r="G480" s="19" t="s">
        <v>1518</v>
      </c>
      <c r="H480" s="19" t="s">
        <v>1519</v>
      </c>
    </row>
    <row r="481" customFormat="false" ht="15" hidden="false" customHeight="false" outlineLevel="0" collapsed="false">
      <c r="B481" s="9" t="s">
        <v>105</v>
      </c>
      <c r="C481" s="5" t="s">
        <v>569</v>
      </c>
      <c r="D481" s="5" t="s">
        <v>585</v>
      </c>
      <c r="E481" s="5" t="s">
        <v>836</v>
      </c>
      <c r="F481" s="9" t="s">
        <v>1495</v>
      </c>
      <c r="G481" s="19" t="s">
        <v>1520</v>
      </c>
      <c r="H481" s="19" t="s">
        <v>1521</v>
      </c>
    </row>
    <row r="482" customFormat="false" ht="15" hidden="false" customHeight="false" outlineLevel="0" collapsed="false">
      <c r="B482" s="9" t="s">
        <v>105</v>
      </c>
      <c r="C482" s="5" t="s">
        <v>569</v>
      </c>
      <c r="D482" s="5" t="s">
        <v>1497</v>
      </c>
      <c r="E482" s="5" t="s">
        <v>836</v>
      </c>
      <c r="F482" s="9" t="s">
        <v>1498</v>
      </c>
      <c r="G482" s="19" t="s">
        <v>1522</v>
      </c>
      <c r="H482" s="19" t="s">
        <v>1523</v>
      </c>
    </row>
    <row r="483" customFormat="false" ht="15" hidden="false" customHeight="false" outlineLevel="0" collapsed="false">
      <c r="B483" s="9" t="s">
        <v>105</v>
      </c>
      <c r="C483" s="5" t="s">
        <v>569</v>
      </c>
      <c r="D483" s="5" t="s">
        <v>1497</v>
      </c>
      <c r="E483" s="5" t="s">
        <v>836</v>
      </c>
      <c r="F483" s="9" t="s">
        <v>1500</v>
      </c>
      <c r="G483" s="19" t="s">
        <v>1524</v>
      </c>
      <c r="H483" s="19" t="s">
        <v>1525</v>
      </c>
    </row>
    <row r="484" customFormat="false" ht="22.35" hidden="false" customHeight="false" outlineLevel="0" collapsed="false">
      <c r="B484" s="9" t="s">
        <v>105</v>
      </c>
      <c r="C484" s="5" t="s">
        <v>569</v>
      </c>
      <c r="D484" s="5" t="s">
        <v>1502</v>
      </c>
      <c r="E484" s="5" t="s">
        <v>836</v>
      </c>
      <c r="F484" s="9" t="s">
        <v>1503</v>
      </c>
      <c r="G484" s="19" t="s">
        <v>1526</v>
      </c>
      <c r="H484" s="19" t="s">
        <v>1527</v>
      </c>
    </row>
    <row r="485" customFormat="false" ht="15" hidden="false" customHeight="false" outlineLevel="0" collapsed="false">
      <c r="B485" s="9" t="s">
        <v>105</v>
      </c>
      <c r="C485" s="5" t="s">
        <v>578</v>
      </c>
      <c r="D485" s="5" t="s">
        <v>179</v>
      </c>
      <c r="E485" s="5" t="s">
        <v>836</v>
      </c>
      <c r="F485" s="9" t="s">
        <v>839</v>
      </c>
      <c r="G485" s="19" t="s">
        <v>1528</v>
      </c>
      <c r="H485" s="19" t="s">
        <v>580</v>
      </c>
    </row>
    <row r="486" customFormat="false" ht="15" hidden="false" customHeight="false" outlineLevel="0" collapsed="false">
      <c r="B486" s="9" t="s">
        <v>105</v>
      </c>
      <c r="C486" s="5" t="s">
        <v>578</v>
      </c>
      <c r="D486" s="5" t="s">
        <v>179</v>
      </c>
      <c r="E486" s="5" t="s">
        <v>1443</v>
      </c>
      <c r="F486" s="9" t="s">
        <v>1529</v>
      </c>
      <c r="G486" s="19" t="s">
        <v>1530</v>
      </c>
      <c r="H486" s="19" t="s">
        <v>582</v>
      </c>
    </row>
    <row r="487" customFormat="false" ht="15" hidden="false" customHeight="false" outlineLevel="0" collapsed="false">
      <c r="B487" s="9" t="s">
        <v>105</v>
      </c>
      <c r="C487" s="5" t="s">
        <v>578</v>
      </c>
      <c r="D487" s="5" t="s">
        <v>179</v>
      </c>
      <c r="E487" s="5" t="s">
        <v>1443</v>
      </c>
      <c r="F487" s="9" t="s">
        <v>838</v>
      </c>
      <c r="G487" s="19" t="s">
        <v>1531</v>
      </c>
      <c r="H487" s="19" t="s">
        <v>584</v>
      </c>
    </row>
    <row r="488" customFormat="false" ht="15" hidden="false" customHeight="false" outlineLevel="0" collapsed="false">
      <c r="B488" s="9" t="s">
        <v>105</v>
      </c>
      <c r="C488" s="5" t="s">
        <v>578</v>
      </c>
      <c r="D488" s="5" t="s">
        <v>179</v>
      </c>
      <c r="E488" s="5" t="s">
        <v>840</v>
      </c>
      <c r="F488" s="9" t="s">
        <v>1532</v>
      </c>
      <c r="G488" s="19" t="s">
        <v>1533</v>
      </c>
      <c r="H488" s="19" t="s">
        <v>587</v>
      </c>
    </row>
    <row r="489" customFormat="false" ht="15" hidden="false" customHeight="false" outlineLevel="0" collapsed="false">
      <c r="B489" s="9" t="s">
        <v>105</v>
      </c>
      <c r="C489" s="5" t="s">
        <v>578</v>
      </c>
      <c r="D489" s="5" t="s">
        <v>192</v>
      </c>
      <c r="E489" s="5" t="s">
        <v>836</v>
      </c>
      <c r="F489" s="9" t="s">
        <v>1481</v>
      </c>
      <c r="G489" s="19" t="s">
        <v>1534</v>
      </c>
      <c r="H489" s="19" t="s">
        <v>589</v>
      </c>
    </row>
    <row r="490" customFormat="false" ht="15" hidden="false" customHeight="false" outlineLevel="0" collapsed="false">
      <c r="B490" s="9" t="s">
        <v>105</v>
      </c>
      <c r="C490" s="5" t="s">
        <v>578</v>
      </c>
      <c r="D490" s="5" t="s">
        <v>192</v>
      </c>
      <c r="E490" s="5" t="s">
        <v>840</v>
      </c>
      <c r="F490" s="9" t="s">
        <v>1482</v>
      </c>
      <c r="G490" s="19" t="s">
        <v>1535</v>
      </c>
      <c r="H490" s="19" t="s">
        <v>591</v>
      </c>
    </row>
    <row r="491" customFormat="false" ht="15" hidden="false" customHeight="false" outlineLevel="0" collapsed="false">
      <c r="B491" s="9" t="s">
        <v>105</v>
      </c>
      <c r="C491" s="5" t="s">
        <v>578</v>
      </c>
      <c r="D491" s="5" t="s">
        <v>192</v>
      </c>
      <c r="E491" s="5" t="s">
        <v>840</v>
      </c>
      <c r="F491" s="9" t="s">
        <v>1536</v>
      </c>
      <c r="G491" s="19" t="s">
        <v>1537</v>
      </c>
      <c r="H491" s="19" t="s">
        <v>593</v>
      </c>
    </row>
    <row r="492" customFormat="false" ht="15" hidden="false" customHeight="false" outlineLevel="0" collapsed="false">
      <c r="B492" s="9" t="s">
        <v>105</v>
      </c>
      <c r="C492" s="5" t="s">
        <v>578</v>
      </c>
      <c r="D492" s="5" t="s">
        <v>1084</v>
      </c>
      <c r="E492" s="5" t="s">
        <v>840</v>
      </c>
      <c r="F492" s="9" t="s">
        <v>1085</v>
      </c>
      <c r="G492" s="19" t="s">
        <v>1538</v>
      </c>
      <c r="H492" s="19" t="s">
        <v>1539</v>
      </c>
    </row>
    <row r="493" customFormat="false" ht="15" hidden="false" customHeight="false" outlineLevel="0" collapsed="false">
      <c r="B493" s="9" t="s">
        <v>105</v>
      </c>
      <c r="C493" s="5" t="s">
        <v>578</v>
      </c>
      <c r="D493" s="5" t="s">
        <v>1486</v>
      </c>
      <c r="E493" s="5" t="s">
        <v>836</v>
      </c>
      <c r="F493" s="9" t="s">
        <v>1487</v>
      </c>
      <c r="G493" s="19" t="s">
        <v>1540</v>
      </c>
      <c r="H493" s="19" t="s">
        <v>1541</v>
      </c>
    </row>
    <row r="494" customFormat="false" ht="15" hidden="false" customHeight="false" outlineLevel="0" collapsed="false">
      <c r="B494" s="9" t="s">
        <v>105</v>
      </c>
      <c r="C494" s="5" t="s">
        <v>578</v>
      </c>
      <c r="D494" s="5" t="s">
        <v>585</v>
      </c>
      <c r="E494" s="5" t="s">
        <v>836</v>
      </c>
      <c r="F494" s="9" t="s">
        <v>1489</v>
      </c>
      <c r="G494" s="19" t="s">
        <v>1542</v>
      </c>
      <c r="H494" s="19" t="s">
        <v>1543</v>
      </c>
    </row>
    <row r="495" customFormat="false" ht="15" hidden="false" customHeight="false" outlineLevel="0" collapsed="false">
      <c r="B495" s="9" t="s">
        <v>105</v>
      </c>
      <c r="C495" s="5" t="s">
        <v>578</v>
      </c>
      <c r="D495" s="5" t="s">
        <v>585</v>
      </c>
      <c r="E495" s="5" t="s">
        <v>836</v>
      </c>
      <c r="F495" s="9" t="s">
        <v>1491</v>
      </c>
      <c r="G495" s="19" t="s">
        <v>1544</v>
      </c>
      <c r="H495" s="19" t="s">
        <v>1545</v>
      </c>
    </row>
    <row r="496" customFormat="false" ht="15" hidden="false" customHeight="false" outlineLevel="0" collapsed="false">
      <c r="B496" s="9" t="s">
        <v>105</v>
      </c>
      <c r="C496" s="5" t="s">
        <v>578</v>
      </c>
      <c r="D496" s="5" t="s">
        <v>585</v>
      </c>
      <c r="E496" s="5" t="s">
        <v>840</v>
      </c>
      <c r="F496" s="9" t="s">
        <v>1493</v>
      </c>
      <c r="G496" s="19" t="s">
        <v>1546</v>
      </c>
      <c r="H496" s="19" t="s">
        <v>1547</v>
      </c>
    </row>
    <row r="497" customFormat="false" ht="15" hidden="false" customHeight="false" outlineLevel="0" collapsed="false">
      <c r="B497" s="9" t="s">
        <v>105</v>
      </c>
      <c r="C497" s="5" t="s">
        <v>578</v>
      </c>
      <c r="D497" s="5" t="s">
        <v>585</v>
      </c>
      <c r="E497" s="5" t="s">
        <v>836</v>
      </c>
      <c r="F497" s="9" t="s">
        <v>1495</v>
      </c>
      <c r="G497" s="19" t="s">
        <v>1548</v>
      </c>
      <c r="H497" s="19" t="s">
        <v>1549</v>
      </c>
    </row>
    <row r="498" customFormat="false" ht="15" hidden="false" customHeight="false" outlineLevel="0" collapsed="false">
      <c r="B498" s="9" t="s">
        <v>105</v>
      </c>
      <c r="C498" s="5" t="s">
        <v>578</v>
      </c>
      <c r="D498" s="5" t="s">
        <v>585</v>
      </c>
      <c r="E498" s="5" t="s">
        <v>836</v>
      </c>
      <c r="F498" s="9" t="s">
        <v>1550</v>
      </c>
      <c r="G498" s="19" t="s">
        <v>1551</v>
      </c>
      <c r="H498" s="19" t="s">
        <v>1552</v>
      </c>
    </row>
    <row r="499" customFormat="false" ht="15" hidden="false" customHeight="false" outlineLevel="0" collapsed="false">
      <c r="B499" s="9" t="s">
        <v>105</v>
      </c>
      <c r="C499" s="5" t="s">
        <v>578</v>
      </c>
      <c r="D499" s="5" t="s">
        <v>585</v>
      </c>
      <c r="E499" s="5" t="s">
        <v>1443</v>
      </c>
      <c r="F499" s="9" t="s">
        <v>1553</v>
      </c>
      <c r="G499" s="19" t="s">
        <v>1554</v>
      </c>
      <c r="H499" s="19" t="s">
        <v>1555</v>
      </c>
    </row>
    <row r="500" customFormat="false" ht="15" hidden="false" customHeight="false" outlineLevel="0" collapsed="false">
      <c r="B500" s="9" t="s">
        <v>105</v>
      </c>
      <c r="C500" s="5" t="s">
        <v>578</v>
      </c>
      <c r="D500" s="5" t="s">
        <v>585</v>
      </c>
      <c r="E500" s="5" t="s">
        <v>836</v>
      </c>
      <c r="F500" s="9" t="s">
        <v>1556</v>
      </c>
      <c r="G500" s="19" t="s">
        <v>1557</v>
      </c>
      <c r="H500" s="19" t="s">
        <v>1558</v>
      </c>
    </row>
    <row r="501" customFormat="false" ht="15" hidden="false" customHeight="false" outlineLevel="0" collapsed="false">
      <c r="B501" s="9" t="s">
        <v>105</v>
      </c>
      <c r="C501" s="5" t="s">
        <v>578</v>
      </c>
      <c r="D501" s="5" t="s">
        <v>1497</v>
      </c>
      <c r="E501" s="5" t="s">
        <v>836</v>
      </c>
      <c r="F501" s="9" t="s">
        <v>1498</v>
      </c>
      <c r="G501" s="19" t="s">
        <v>1559</v>
      </c>
      <c r="H501" s="19" t="s">
        <v>1560</v>
      </c>
    </row>
    <row r="502" customFormat="false" ht="15" hidden="false" customHeight="false" outlineLevel="0" collapsed="false">
      <c r="B502" s="9" t="s">
        <v>105</v>
      </c>
      <c r="C502" s="5" t="s">
        <v>578</v>
      </c>
      <c r="D502" s="5" t="s">
        <v>1497</v>
      </c>
      <c r="E502" s="5" t="s">
        <v>836</v>
      </c>
      <c r="F502" s="9" t="s">
        <v>1500</v>
      </c>
      <c r="G502" s="19" t="s">
        <v>1561</v>
      </c>
      <c r="H502" s="19" t="s">
        <v>1562</v>
      </c>
    </row>
    <row r="503" customFormat="false" ht="22.35" hidden="false" customHeight="false" outlineLevel="0" collapsed="false">
      <c r="B503" s="9" t="s">
        <v>105</v>
      </c>
      <c r="C503" s="5" t="s">
        <v>578</v>
      </c>
      <c r="D503" s="5" t="s">
        <v>1502</v>
      </c>
      <c r="E503" s="5" t="s">
        <v>836</v>
      </c>
      <c r="F503" s="9" t="s">
        <v>1503</v>
      </c>
      <c r="G503" s="19" t="s">
        <v>1563</v>
      </c>
      <c r="H503" s="19" t="s">
        <v>1564</v>
      </c>
    </row>
    <row r="504" customFormat="false" ht="15" hidden="false" customHeight="false" outlineLevel="0" collapsed="false">
      <c r="B504" s="9" t="s">
        <v>93</v>
      </c>
      <c r="C504" s="5" t="s">
        <v>560</v>
      </c>
      <c r="D504" s="5" t="s">
        <v>179</v>
      </c>
      <c r="E504" s="5" t="s">
        <v>836</v>
      </c>
      <c r="F504" s="9" t="s">
        <v>839</v>
      </c>
      <c r="G504" s="19" t="s">
        <v>594</v>
      </c>
      <c r="H504" s="19" t="s">
        <v>595</v>
      </c>
    </row>
    <row r="505" customFormat="false" ht="15" hidden="false" customHeight="false" outlineLevel="0" collapsed="false">
      <c r="B505" s="9" t="s">
        <v>93</v>
      </c>
      <c r="C505" s="5" t="s">
        <v>560</v>
      </c>
      <c r="D505" s="5" t="s">
        <v>232</v>
      </c>
      <c r="E505" s="5" t="s">
        <v>840</v>
      </c>
      <c r="F505" s="9" t="s">
        <v>1480</v>
      </c>
      <c r="G505" s="19" t="s">
        <v>596</v>
      </c>
      <c r="H505" s="19" t="s">
        <v>597</v>
      </c>
    </row>
    <row r="506" customFormat="false" ht="15" hidden="false" customHeight="false" outlineLevel="0" collapsed="false">
      <c r="B506" s="9" t="s">
        <v>93</v>
      </c>
      <c r="C506" s="5" t="s">
        <v>560</v>
      </c>
      <c r="D506" s="5" t="s">
        <v>192</v>
      </c>
      <c r="E506" s="5" t="s">
        <v>836</v>
      </c>
      <c r="F506" s="9" t="s">
        <v>843</v>
      </c>
      <c r="G506" s="19" t="s">
        <v>598</v>
      </c>
      <c r="H506" s="19" t="s">
        <v>599</v>
      </c>
    </row>
    <row r="507" customFormat="false" ht="15" hidden="false" customHeight="false" outlineLevel="0" collapsed="false">
      <c r="B507" s="9" t="s">
        <v>93</v>
      </c>
      <c r="C507" s="5" t="s">
        <v>560</v>
      </c>
      <c r="D507" s="5" t="s">
        <v>192</v>
      </c>
      <c r="E507" s="5" t="s">
        <v>840</v>
      </c>
      <c r="F507" s="9" t="s">
        <v>1482</v>
      </c>
      <c r="G507" s="19" t="s">
        <v>600</v>
      </c>
      <c r="H507" s="19" t="s">
        <v>601</v>
      </c>
    </row>
    <row r="508" customFormat="false" ht="15" hidden="false" customHeight="false" outlineLevel="0" collapsed="false">
      <c r="B508" s="9" t="s">
        <v>93</v>
      </c>
      <c r="C508" s="5" t="s">
        <v>560</v>
      </c>
      <c r="D508" s="5" t="s">
        <v>235</v>
      </c>
      <c r="E508" s="5" t="s">
        <v>836</v>
      </c>
      <c r="F508" s="9" t="s">
        <v>1483</v>
      </c>
      <c r="G508" s="19" t="s">
        <v>602</v>
      </c>
      <c r="H508" s="19" t="s">
        <v>1565</v>
      </c>
    </row>
    <row r="509" customFormat="false" ht="15" hidden="false" customHeight="false" outlineLevel="0" collapsed="false">
      <c r="B509" s="9" t="s">
        <v>93</v>
      </c>
      <c r="C509" s="5" t="s">
        <v>560</v>
      </c>
      <c r="D509" s="5" t="s">
        <v>1084</v>
      </c>
      <c r="E509" s="5" t="s">
        <v>840</v>
      </c>
      <c r="F509" s="9" t="s">
        <v>1085</v>
      </c>
      <c r="G509" s="19" t="s">
        <v>604</v>
      </c>
      <c r="H509" s="19" t="s">
        <v>1566</v>
      </c>
    </row>
    <row r="510" customFormat="false" ht="15" hidden="false" customHeight="false" outlineLevel="0" collapsed="false">
      <c r="B510" s="9" t="s">
        <v>93</v>
      </c>
      <c r="C510" s="5" t="s">
        <v>560</v>
      </c>
      <c r="D510" s="5" t="s">
        <v>1567</v>
      </c>
      <c r="E510" s="5" t="s">
        <v>836</v>
      </c>
      <c r="F510" s="9" t="s">
        <v>1568</v>
      </c>
      <c r="G510" s="19" t="s">
        <v>606</v>
      </c>
      <c r="H510" s="19" t="s">
        <v>1569</v>
      </c>
    </row>
    <row r="511" customFormat="false" ht="15" hidden="false" customHeight="false" outlineLevel="0" collapsed="false">
      <c r="B511" s="9" t="s">
        <v>93</v>
      </c>
      <c r="C511" s="5" t="s">
        <v>560</v>
      </c>
      <c r="D511" s="5" t="s">
        <v>1486</v>
      </c>
      <c r="E511" s="5" t="s">
        <v>836</v>
      </c>
      <c r="F511" s="9" t="s">
        <v>1570</v>
      </c>
      <c r="G511" s="19" t="s">
        <v>608</v>
      </c>
      <c r="H511" s="19" t="s">
        <v>1571</v>
      </c>
    </row>
    <row r="512" customFormat="false" ht="15" hidden="false" customHeight="false" outlineLevel="0" collapsed="false">
      <c r="B512" s="9" t="s">
        <v>93</v>
      </c>
      <c r="C512" s="5" t="s">
        <v>569</v>
      </c>
      <c r="D512" s="5" t="s">
        <v>179</v>
      </c>
      <c r="E512" s="5" t="s">
        <v>836</v>
      </c>
      <c r="F512" s="9" t="s">
        <v>839</v>
      </c>
      <c r="G512" s="19" t="s">
        <v>610</v>
      </c>
      <c r="H512" s="19" t="s">
        <v>603</v>
      </c>
    </row>
    <row r="513" customFormat="false" ht="15" hidden="false" customHeight="false" outlineLevel="0" collapsed="false">
      <c r="B513" s="9" t="s">
        <v>93</v>
      </c>
      <c r="C513" s="5" t="s">
        <v>569</v>
      </c>
      <c r="D513" s="5" t="s">
        <v>232</v>
      </c>
      <c r="E513" s="5" t="s">
        <v>840</v>
      </c>
      <c r="F513" s="9" t="s">
        <v>1480</v>
      </c>
      <c r="G513" s="19" t="s">
        <v>612</v>
      </c>
      <c r="H513" s="19" t="s">
        <v>605</v>
      </c>
    </row>
    <row r="514" customFormat="false" ht="15" hidden="false" customHeight="false" outlineLevel="0" collapsed="false">
      <c r="B514" s="9" t="s">
        <v>93</v>
      </c>
      <c r="C514" s="5" t="s">
        <v>569</v>
      </c>
      <c r="D514" s="5" t="s">
        <v>192</v>
      </c>
      <c r="E514" s="5" t="s">
        <v>836</v>
      </c>
      <c r="F514" s="9" t="s">
        <v>843</v>
      </c>
      <c r="G514" s="19" t="s">
        <v>614</v>
      </c>
      <c r="H514" s="19" t="s">
        <v>607</v>
      </c>
    </row>
    <row r="515" customFormat="false" ht="15" hidden="false" customHeight="false" outlineLevel="0" collapsed="false">
      <c r="B515" s="9" t="s">
        <v>93</v>
      </c>
      <c r="C515" s="5" t="s">
        <v>569</v>
      </c>
      <c r="D515" s="5" t="s">
        <v>192</v>
      </c>
      <c r="E515" s="5" t="s">
        <v>840</v>
      </c>
      <c r="F515" s="9" t="s">
        <v>1482</v>
      </c>
      <c r="G515" s="19" t="s">
        <v>616</v>
      </c>
      <c r="H515" s="19" t="s">
        <v>609</v>
      </c>
    </row>
    <row r="516" customFormat="false" ht="15" hidden="false" customHeight="false" outlineLevel="0" collapsed="false">
      <c r="B516" s="9" t="s">
        <v>93</v>
      </c>
      <c r="C516" s="5" t="s">
        <v>569</v>
      </c>
      <c r="D516" s="5" t="s">
        <v>235</v>
      </c>
      <c r="E516" s="5" t="s">
        <v>836</v>
      </c>
      <c r="F516" s="9" t="s">
        <v>1483</v>
      </c>
      <c r="G516" s="19" t="s">
        <v>618</v>
      </c>
      <c r="H516" s="19" t="s">
        <v>1572</v>
      </c>
    </row>
    <row r="517" customFormat="false" ht="15" hidden="false" customHeight="false" outlineLevel="0" collapsed="false">
      <c r="B517" s="9" t="s">
        <v>93</v>
      </c>
      <c r="C517" s="5" t="s">
        <v>569</v>
      </c>
      <c r="D517" s="5" t="s">
        <v>1084</v>
      </c>
      <c r="E517" s="5" t="s">
        <v>840</v>
      </c>
      <c r="F517" s="9" t="s">
        <v>1085</v>
      </c>
      <c r="G517" s="19" t="s">
        <v>620</v>
      </c>
      <c r="H517" s="19" t="s">
        <v>1573</v>
      </c>
    </row>
    <row r="518" customFormat="false" ht="15" hidden="false" customHeight="false" outlineLevel="0" collapsed="false">
      <c r="B518" s="9" t="s">
        <v>93</v>
      </c>
      <c r="C518" s="5" t="s">
        <v>569</v>
      </c>
      <c r="D518" s="5" t="s">
        <v>1567</v>
      </c>
      <c r="E518" s="5" t="s">
        <v>836</v>
      </c>
      <c r="F518" s="9" t="s">
        <v>1568</v>
      </c>
      <c r="G518" s="19" t="s">
        <v>1574</v>
      </c>
      <c r="H518" s="19" t="s">
        <v>1575</v>
      </c>
    </row>
    <row r="519" customFormat="false" ht="15" hidden="false" customHeight="false" outlineLevel="0" collapsed="false">
      <c r="B519" s="9" t="s">
        <v>93</v>
      </c>
      <c r="C519" s="5" t="s">
        <v>569</v>
      </c>
      <c r="D519" s="5" t="s">
        <v>1486</v>
      </c>
      <c r="E519" s="5" t="s">
        <v>836</v>
      </c>
      <c r="F519" s="9" t="s">
        <v>1570</v>
      </c>
      <c r="G519" s="19" t="s">
        <v>1576</v>
      </c>
      <c r="H519" s="19" t="s">
        <v>1577</v>
      </c>
    </row>
    <row r="520" customFormat="false" ht="15" hidden="false" customHeight="false" outlineLevel="0" collapsed="false">
      <c r="B520" s="9" t="s">
        <v>93</v>
      </c>
      <c r="C520" s="5" t="s">
        <v>578</v>
      </c>
      <c r="D520" s="5" t="s">
        <v>179</v>
      </c>
      <c r="E520" s="5" t="s">
        <v>836</v>
      </c>
      <c r="F520" s="9" t="s">
        <v>839</v>
      </c>
      <c r="G520" s="19" t="s">
        <v>1578</v>
      </c>
      <c r="H520" s="19" t="s">
        <v>611</v>
      </c>
    </row>
    <row r="521" customFormat="false" ht="15" hidden="false" customHeight="false" outlineLevel="0" collapsed="false">
      <c r="B521" s="9" t="s">
        <v>93</v>
      </c>
      <c r="C521" s="5" t="s">
        <v>578</v>
      </c>
      <c r="D521" s="5" t="s">
        <v>179</v>
      </c>
      <c r="E521" s="5" t="s">
        <v>1443</v>
      </c>
      <c r="F521" s="9" t="s">
        <v>1529</v>
      </c>
      <c r="G521" s="19" t="s">
        <v>1579</v>
      </c>
      <c r="H521" s="19" t="s">
        <v>613</v>
      </c>
    </row>
    <row r="522" customFormat="false" ht="15" hidden="false" customHeight="false" outlineLevel="0" collapsed="false">
      <c r="B522" s="9" t="s">
        <v>93</v>
      </c>
      <c r="C522" s="5" t="s">
        <v>578</v>
      </c>
      <c r="D522" s="5" t="s">
        <v>179</v>
      </c>
      <c r="E522" s="5" t="s">
        <v>1443</v>
      </c>
      <c r="F522" s="9" t="s">
        <v>838</v>
      </c>
      <c r="G522" s="19" t="s">
        <v>1580</v>
      </c>
      <c r="H522" s="19" t="s">
        <v>615</v>
      </c>
    </row>
    <row r="523" customFormat="false" ht="15" hidden="false" customHeight="false" outlineLevel="0" collapsed="false">
      <c r="B523" s="9" t="s">
        <v>93</v>
      </c>
      <c r="C523" s="5" t="s">
        <v>578</v>
      </c>
      <c r="D523" s="5" t="s">
        <v>179</v>
      </c>
      <c r="E523" s="5" t="s">
        <v>840</v>
      </c>
      <c r="F523" s="9" t="s">
        <v>1532</v>
      </c>
      <c r="G523" s="19" t="s">
        <v>1581</v>
      </c>
      <c r="H523" s="19" t="s">
        <v>617</v>
      </c>
    </row>
    <row r="524" customFormat="false" ht="15" hidden="false" customHeight="false" outlineLevel="0" collapsed="false">
      <c r="B524" s="9" t="s">
        <v>93</v>
      </c>
      <c r="C524" s="5" t="s">
        <v>578</v>
      </c>
      <c r="D524" s="5" t="s">
        <v>192</v>
      </c>
      <c r="E524" s="5" t="s">
        <v>836</v>
      </c>
      <c r="F524" s="9" t="s">
        <v>843</v>
      </c>
      <c r="G524" s="19" t="s">
        <v>1582</v>
      </c>
      <c r="H524" s="19" t="s">
        <v>619</v>
      </c>
    </row>
    <row r="525" customFormat="false" ht="15" hidden="false" customHeight="false" outlineLevel="0" collapsed="false">
      <c r="B525" s="9" t="s">
        <v>93</v>
      </c>
      <c r="C525" s="5" t="s">
        <v>578</v>
      </c>
      <c r="D525" s="5" t="s">
        <v>192</v>
      </c>
      <c r="E525" s="5" t="s">
        <v>840</v>
      </c>
      <c r="F525" s="9" t="s">
        <v>1482</v>
      </c>
      <c r="G525" s="19" t="s">
        <v>1583</v>
      </c>
      <c r="H525" s="19" t="s">
        <v>621</v>
      </c>
    </row>
    <row r="526" customFormat="false" ht="15" hidden="false" customHeight="false" outlineLevel="0" collapsed="false">
      <c r="B526" s="9" t="s">
        <v>93</v>
      </c>
      <c r="C526" s="5" t="s">
        <v>578</v>
      </c>
      <c r="D526" s="5" t="s">
        <v>192</v>
      </c>
      <c r="E526" s="5" t="s">
        <v>840</v>
      </c>
      <c r="F526" s="9" t="s">
        <v>1536</v>
      </c>
      <c r="G526" s="19" t="s">
        <v>1584</v>
      </c>
      <c r="H526" s="19" t="s">
        <v>1585</v>
      </c>
    </row>
    <row r="527" customFormat="false" ht="15" hidden="false" customHeight="false" outlineLevel="0" collapsed="false">
      <c r="B527" s="9" t="s">
        <v>93</v>
      </c>
      <c r="C527" s="5" t="s">
        <v>578</v>
      </c>
      <c r="D527" s="5" t="s">
        <v>1084</v>
      </c>
      <c r="E527" s="5" t="s">
        <v>840</v>
      </c>
      <c r="F527" s="9" t="s">
        <v>1085</v>
      </c>
      <c r="G527" s="19" t="s">
        <v>1586</v>
      </c>
      <c r="H527" s="19" t="s">
        <v>1587</v>
      </c>
    </row>
    <row r="528" customFormat="false" ht="15" hidden="false" customHeight="false" outlineLevel="0" collapsed="false">
      <c r="B528" s="9" t="s">
        <v>93</v>
      </c>
      <c r="C528" s="5" t="s">
        <v>578</v>
      </c>
      <c r="D528" s="5" t="s">
        <v>1567</v>
      </c>
      <c r="E528" s="5" t="s">
        <v>836</v>
      </c>
      <c r="F528" s="9" t="s">
        <v>1568</v>
      </c>
      <c r="G528" s="19" t="s">
        <v>1588</v>
      </c>
      <c r="H528" s="19" t="s">
        <v>1589</v>
      </c>
    </row>
    <row r="529" customFormat="false" ht="15" hidden="false" customHeight="false" outlineLevel="0" collapsed="false">
      <c r="B529" s="9" t="s">
        <v>93</v>
      </c>
      <c r="C529" s="5" t="s">
        <v>578</v>
      </c>
      <c r="D529" s="5" t="s">
        <v>1486</v>
      </c>
      <c r="E529" s="5" t="s">
        <v>836</v>
      </c>
      <c r="F529" s="9" t="s">
        <v>1570</v>
      </c>
      <c r="G529" s="19" t="s">
        <v>1590</v>
      </c>
      <c r="H529" s="19" t="s">
        <v>1591</v>
      </c>
    </row>
    <row r="530" customFormat="false" ht="15" hidden="false" customHeight="false" outlineLevel="0" collapsed="false">
      <c r="B530" s="9" t="s">
        <v>96</v>
      </c>
      <c r="C530" s="5" t="s">
        <v>560</v>
      </c>
      <c r="D530" s="5" t="s">
        <v>179</v>
      </c>
      <c r="E530" s="5" t="s">
        <v>836</v>
      </c>
      <c r="F530" s="9" t="s">
        <v>839</v>
      </c>
      <c r="G530" s="19" t="s">
        <v>622</v>
      </c>
      <c r="H530" s="19" t="s">
        <v>623</v>
      </c>
    </row>
    <row r="531" customFormat="false" ht="15" hidden="false" customHeight="false" outlineLevel="0" collapsed="false">
      <c r="B531" s="9" t="s">
        <v>96</v>
      </c>
      <c r="C531" s="5" t="s">
        <v>560</v>
      </c>
      <c r="D531" s="5" t="s">
        <v>232</v>
      </c>
      <c r="E531" s="5" t="s">
        <v>840</v>
      </c>
      <c r="F531" s="9" t="s">
        <v>1480</v>
      </c>
      <c r="G531" s="19" t="s">
        <v>624</v>
      </c>
      <c r="H531" s="19" t="s">
        <v>625</v>
      </c>
    </row>
    <row r="532" customFormat="false" ht="15" hidden="false" customHeight="false" outlineLevel="0" collapsed="false">
      <c r="B532" s="9" t="s">
        <v>96</v>
      </c>
      <c r="C532" s="5" t="s">
        <v>560</v>
      </c>
      <c r="D532" s="5" t="s">
        <v>192</v>
      </c>
      <c r="E532" s="5" t="s">
        <v>836</v>
      </c>
      <c r="F532" s="9" t="s">
        <v>843</v>
      </c>
      <c r="G532" s="19" t="s">
        <v>626</v>
      </c>
      <c r="H532" s="19" t="s">
        <v>627</v>
      </c>
    </row>
    <row r="533" customFormat="false" ht="15" hidden="false" customHeight="false" outlineLevel="0" collapsed="false">
      <c r="B533" s="9" t="s">
        <v>96</v>
      </c>
      <c r="C533" s="5" t="s">
        <v>560</v>
      </c>
      <c r="D533" s="5" t="s">
        <v>192</v>
      </c>
      <c r="E533" s="5" t="s">
        <v>840</v>
      </c>
      <c r="F533" s="9" t="s">
        <v>1482</v>
      </c>
      <c r="G533" s="19" t="s">
        <v>628</v>
      </c>
      <c r="H533" s="19" t="s">
        <v>629</v>
      </c>
    </row>
    <row r="534" customFormat="false" ht="15" hidden="false" customHeight="false" outlineLevel="0" collapsed="false">
      <c r="B534" s="9" t="s">
        <v>96</v>
      </c>
      <c r="C534" s="5" t="s">
        <v>560</v>
      </c>
      <c r="D534" s="5" t="s">
        <v>235</v>
      </c>
      <c r="E534" s="5" t="s">
        <v>836</v>
      </c>
      <c r="F534" s="9" t="s">
        <v>1483</v>
      </c>
      <c r="G534" s="19" t="s">
        <v>630</v>
      </c>
      <c r="H534" s="19" t="s">
        <v>1592</v>
      </c>
    </row>
    <row r="535" customFormat="false" ht="15" hidden="false" customHeight="false" outlineLevel="0" collapsed="false">
      <c r="B535" s="9" t="s">
        <v>96</v>
      </c>
      <c r="C535" s="5" t="s">
        <v>560</v>
      </c>
      <c r="D535" s="5" t="s">
        <v>1084</v>
      </c>
      <c r="E535" s="5" t="s">
        <v>840</v>
      </c>
      <c r="F535" s="9" t="s">
        <v>1085</v>
      </c>
      <c r="G535" s="19" t="s">
        <v>632</v>
      </c>
      <c r="H535" s="19" t="s">
        <v>1593</v>
      </c>
    </row>
    <row r="536" customFormat="false" ht="15" hidden="false" customHeight="false" outlineLevel="0" collapsed="false">
      <c r="B536" s="9" t="s">
        <v>96</v>
      </c>
      <c r="C536" s="5" t="s">
        <v>560</v>
      </c>
      <c r="D536" s="5" t="s">
        <v>1567</v>
      </c>
      <c r="E536" s="5" t="s">
        <v>836</v>
      </c>
      <c r="F536" s="9" t="s">
        <v>1568</v>
      </c>
      <c r="G536" s="19" t="s">
        <v>634</v>
      </c>
      <c r="H536" s="19" t="s">
        <v>1594</v>
      </c>
    </row>
    <row r="537" customFormat="false" ht="15" hidden="false" customHeight="false" outlineLevel="0" collapsed="false">
      <c r="B537" s="9" t="s">
        <v>96</v>
      </c>
      <c r="C537" s="5" t="s">
        <v>560</v>
      </c>
      <c r="D537" s="5" t="s">
        <v>1486</v>
      </c>
      <c r="E537" s="5" t="s">
        <v>836</v>
      </c>
      <c r="F537" s="9" t="s">
        <v>1570</v>
      </c>
      <c r="G537" s="19" t="s">
        <v>636</v>
      </c>
      <c r="H537" s="19" t="s">
        <v>1595</v>
      </c>
    </row>
    <row r="538" customFormat="false" ht="15" hidden="false" customHeight="false" outlineLevel="0" collapsed="false">
      <c r="B538" s="9" t="s">
        <v>96</v>
      </c>
      <c r="C538" s="5" t="s">
        <v>569</v>
      </c>
      <c r="D538" s="5" t="s">
        <v>179</v>
      </c>
      <c r="E538" s="5" t="s">
        <v>836</v>
      </c>
      <c r="F538" s="9" t="s">
        <v>839</v>
      </c>
      <c r="G538" s="19" t="s">
        <v>638</v>
      </c>
      <c r="H538" s="19" t="s">
        <v>631</v>
      </c>
    </row>
    <row r="539" customFormat="false" ht="15" hidden="false" customHeight="false" outlineLevel="0" collapsed="false">
      <c r="B539" s="9" t="s">
        <v>96</v>
      </c>
      <c r="C539" s="5" t="s">
        <v>569</v>
      </c>
      <c r="D539" s="5" t="s">
        <v>232</v>
      </c>
      <c r="E539" s="5" t="s">
        <v>840</v>
      </c>
      <c r="F539" s="9" t="s">
        <v>1480</v>
      </c>
      <c r="G539" s="19" t="s">
        <v>640</v>
      </c>
      <c r="H539" s="19" t="s">
        <v>633</v>
      </c>
    </row>
    <row r="540" customFormat="false" ht="15" hidden="false" customHeight="false" outlineLevel="0" collapsed="false">
      <c r="B540" s="9" t="s">
        <v>96</v>
      </c>
      <c r="C540" s="5" t="s">
        <v>569</v>
      </c>
      <c r="D540" s="5" t="s">
        <v>192</v>
      </c>
      <c r="E540" s="5" t="s">
        <v>836</v>
      </c>
      <c r="F540" s="9" t="s">
        <v>843</v>
      </c>
      <c r="G540" s="19" t="s">
        <v>642</v>
      </c>
      <c r="H540" s="19" t="s">
        <v>635</v>
      </c>
    </row>
    <row r="541" customFormat="false" ht="15" hidden="false" customHeight="false" outlineLevel="0" collapsed="false">
      <c r="B541" s="9" t="s">
        <v>96</v>
      </c>
      <c r="C541" s="5" t="s">
        <v>569</v>
      </c>
      <c r="D541" s="5" t="s">
        <v>192</v>
      </c>
      <c r="E541" s="5" t="s">
        <v>840</v>
      </c>
      <c r="F541" s="9" t="s">
        <v>1482</v>
      </c>
      <c r="G541" s="19" t="s">
        <v>644</v>
      </c>
      <c r="H541" s="19" t="s">
        <v>637</v>
      </c>
    </row>
    <row r="542" customFormat="false" ht="15" hidden="false" customHeight="false" outlineLevel="0" collapsed="false">
      <c r="B542" s="9" t="s">
        <v>96</v>
      </c>
      <c r="C542" s="5" t="s">
        <v>569</v>
      </c>
      <c r="D542" s="5" t="s">
        <v>235</v>
      </c>
      <c r="E542" s="5" t="s">
        <v>836</v>
      </c>
      <c r="F542" s="9" t="s">
        <v>1483</v>
      </c>
      <c r="G542" s="19" t="s">
        <v>646</v>
      </c>
      <c r="H542" s="19" t="s">
        <v>1596</v>
      </c>
    </row>
    <row r="543" customFormat="false" ht="15" hidden="false" customHeight="false" outlineLevel="0" collapsed="false">
      <c r="B543" s="9" t="s">
        <v>96</v>
      </c>
      <c r="C543" s="5" t="s">
        <v>569</v>
      </c>
      <c r="D543" s="5" t="s">
        <v>1084</v>
      </c>
      <c r="E543" s="5" t="s">
        <v>840</v>
      </c>
      <c r="F543" s="9" t="s">
        <v>1085</v>
      </c>
      <c r="G543" s="19" t="s">
        <v>648</v>
      </c>
      <c r="H543" s="19" t="s">
        <v>1597</v>
      </c>
    </row>
    <row r="544" customFormat="false" ht="15" hidden="false" customHeight="false" outlineLevel="0" collapsed="false">
      <c r="B544" s="9" t="s">
        <v>96</v>
      </c>
      <c r="C544" s="5" t="s">
        <v>569</v>
      </c>
      <c r="D544" s="5" t="s">
        <v>1567</v>
      </c>
      <c r="E544" s="5" t="s">
        <v>836</v>
      </c>
      <c r="F544" s="9" t="s">
        <v>1568</v>
      </c>
      <c r="G544" s="19" t="s">
        <v>1598</v>
      </c>
      <c r="H544" s="19" t="s">
        <v>1599</v>
      </c>
    </row>
    <row r="545" customFormat="false" ht="15" hidden="false" customHeight="false" outlineLevel="0" collapsed="false">
      <c r="B545" s="9" t="s">
        <v>96</v>
      </c>
      <c r="C545" s="5" t="s">
        <v>569</v>
      </c>
      <c r="D545" s="5" t="s">
        <v>1486</v>
      </c>
      <c r="E545" s="5" t="s">
        <v>836</v>
      </c>
      <c r="F545" s="9" t="s">
        <v>1570</v>
      </c>
      <c r="G545" s="19" t="s">
        <v>1600</v>
      </c>
      <c r="H545" s="19" t="s">
        <v>1601</v>
      </c>
    </row>
    <row r="546" customFormat="false" ht="15" hidden="false" customHeight="false" outlineLevel="0" collapsed="false">
      <c r="B546" s="9" t="s">
        <v>96</v>
      </c>
      <c r="C546" s="5" t="s">
        <v>578</v>
      </c>
      <c r="D546" s="5" t="s">
        <v>179</v>
      </c>
      <c r="E546" s="5" t="s">
        <v>836</v>
      </c>
      <c r="F546" s="9" t="s">
        <v>839</v>
      </c>
      <c r="G546" s="19" t="s">
        <v>1602</v>
      </c>
      <c r="H546" s="19" t="s">
        <v>639</v>
      </c>
    </row>
    <row r="547" customFormat="false" ht="15" hidden="false" customHeight="false" outlineLevel="0" collapsed="false">
      <c r="B547" s="9" t="s">
        <v>96</v>
      </c>
      <c r="C547" s="5" t="s">
        <v>578</v>
      </c>
      <c r="D547" s="5" t="s">
        <v>179</v>
      </c>
      <c r="E547" s="5" t="s">
        <v>1443</v>
      </c>
      <c r="F547" s="9" t="s">
        <v>1529</v>
      </c>
      <c r="G547" s="19" t="s">
        <v>1603</v>
      </c>
      <c r="H547" s="19" t="s">
        <v>641</v>
      </c>
    </row>
    <row r="548" customFormat="false" ht="15" hidden="false" customHeight="false" outlineLevel="0" collapsed="false">
      <c r="B548" s="9" t="s">
        <v>96</v>
      </c>
      <c r="C548" s="5" t="s">
        <v>578</v>
      </c>
      <c r="D548" s="5" t="s">
        <v>179</v>
      </c>
      <c r="E548" s="5" t="s">
        <v>1443</v>
      </c>
      <c r="F548" s="9" t="s">
        <v>838</v>
      </c>
      <c r="G548" s="19" t="s">
        <v>1604</v>
      </c>
      <c r="H548" s="19" t="s">
        <v>643</v>
      </c>
    </row>
    <row r="549" customFormat="false" ht="15" hidden="false" customHeight="false" outlineLevel="0" collapsed="false">
      <c r="B549" s="9" t="s">
        <v>96</v>
      </c>
      <c r="C549" s="5" t="s">
        <v>578</v>
      </c>
      <c r="D549" s="5" t="s">
        <v>179</v>
      </c>
      <c r="E549" s="5" t="s">
        <v>840</v>
      </c>
      <c r="F549" s="9" t="s">
        <v>1532</v>
      </c>
      <c r="G549" s="19" t="s">
        <v>1605</v>
      </c>
      <c r="H549" s="19" t="s">
        <v>645</v>
      </c>
    </row>
    <row r="550" customFormat="false" ht="15" hidden="false" customHeight="false" outlineLevel="0" collapsed="false">
      <c r="B550" s="9" t="s">
        <v>96</v>
      </c>
      <c r="C550" s="5" t="s">
        <v>578</v>
      </c>
      <c r="D550" s="5" t="s">
        <v>192</v>
      </c>
      <c r="E550" s="5" t="s">
        <v>836</v>
      </c>
      <c r="F550" s="9" t="s">
        <v>843</v>
      </c>
      <c r="G550" s="19" t="s">
        <v>1606</v>
      </c>
      <c r="H550" s="19" t="s">
        <v>647</v>
      </c>
    </row>
    <row r="551" customFormat="false" ht="15" hidden="false" customHeight="false" outlineLevel="0" collapsed="false">
      <c r="B551" s="9" t="s">
        <v>96</v>
      </c>
      <c r="C551" s="5" t="s">
        <v>578</v>
      </c>
      <c r="D551" s="5" t="s">
        <v>192</v>
      </c>
      <c r="E551" s="5" t="s">
        <v>840</v>
      </c>
      <c r="F551" s="9" t="s">
        <v>1482</v>
      </c>
      <c r="G551" s="19" t="s">
        <v>1607</v>
      </c>
      <c r="H551" s="19" t="s">
        <v>649</v>
      </c>
    </row>
    <row r="552" customFormat="false" ht="15" hidden="false" customHeight="false" outlineLevel="0" collapsed="false">
      <c r="B552" s="9" t="s">
        <v>96</v>
      </c>
      <c r="C552" s="5" t="s">
        <v>578</v>
      </c>
      <c r="D552" s="5" t="s">
        <v>192</v>
      </c>
      <c r="E552" s="5" t="s">
        <v>840</v>
      </c>
      <c r="F552" s="9" t="s">
        <v>1536</v>
      </c>
      <c r="G552" s="19" t="s">
        <v>1608</v>
      </c>
      <c r="H552" s="19" t="s">
        <v>1609</v>
      </c>
    </row>
    <row r="553" customFormat="false" ht="15" hidden="false" customHeight="false" outlineLevel="0" collapsed="false">
      <c r="B553" s="9" t="s">
        <v>96</v>
      </c>
      <c r="C553" s="5" t="s">
        <v>578</v>
      </c>
      <c r="D553" s="5" t="s">
        <v>1084</v>
      </c>
      <c r="E553" s="5" t="s">
        <v>840</v>
      </c>
      <c r="F553" s="9" t="s">
        <v>1085</v>
      </c>
      <c r="G553" s="19" t="s">
        <v>1610</v>
      </c>
      <c r="H553" s="19" t="s">
        <v>1611</v>
      </c>
    </row>
    <row r="554" customFormat="false" ht="15" hidden="false" customHeight="false" outlineLevel="0" collapsed="false">
      <c r="B554" s="9" t="s">
        <v>96</v>
      </c>
      <c r="C554" s="5" t="s">
        <v>578</v>
      </c>
      <c r="D554" s="5" t="s">
        <v>1567</v>
      </c>
      <c r="E554" s="5" t="s">
        <v>836</v>
      </c>
      <c r="F554" s="9" t="s">
        <v>1568</v>
      </c>
      <c r="G554" s="19" t="s">
        <v>1612</v>
      </c>
      <c r="H554" s="19" t="s">
        <v>1613</v>
      </c>
    </row>
    <row r="555" customFormat="false" ht="15" hidden="false" customHeight="false" outlineLevel="0" collapsed="false">
      <c r="B555" s="9" t="s">
        <v>96</v>
      </c>
      <c r="C555" s="5" t="s">
        <v>578</v>
      </c>
      <c r="D555" s="5" t="s">
        <v>1486</v>
      </c>
      <c r="E555" s="5" t="s">
        <v>836</v>
      </c>
      <c r="F555" s="9" t="s">
        <v>1570</v>
      </c>
      <c r="G555" s="19" t="s">
        <v>1614</v>
      </c>
      <c r="H555" s="19" t="s">
        <v>1615</v>
      </c>
    </row>
    <row r="556" customFormat="false" ht="15" hidden="false" customHeight="false" outlineLevel="0" collapsed="false">
      <c r="B556" s="9" t="s">
        <v>90</v>
      </c>
      <c r="C556" s="5" t="s">
        <v>560</v>
      </c>
      <c r="D556" s="5" t="s">
        <v>179</v>
      </c>
      <c r="E556" s="5" t="s">
        <v>836</v>
      </c>
      <c r="F556" s="9" t="s">
        <v>839</v>
      </c>
      <c r="G556" s="19" t="s">
        <v>650</v>
      </c>
      <c r="H556" s="19" t="s">
        <v>651</v>
      </c>
    </row>
    <row r="557" customFormat="false" ht="15" hidden="false" customHeight="false" outlineLevel="0" collapsed="false">
      <c r="B557" s="9" t="s">
        <v>90</v>
      </c>
      <c r="C557" s="5" t="s">
        <v>560</v>
      </c>
      <c r="D557" s="5" t="s">
        <v>232</v>
      </c>
      <c r="E557" s="5" t="s">
        <v>840</v>
      </c>
      <c r="F557" s="9" t="s">
        <v>1480</v>
      </c>
      <c r="G557" s="19" t="s">
        <v>653</v>
      </c>
      <c r="H557" s="19" t="s">
        <v>654</v>
      </c>
    </row>
    <row r="558" customFormat="false" ht="15" hidden="false" customHeight="false" outlineLevel="0" collapsed="false">
      <c r="B558" s="9" t="s">
        <v>90</v>
      </c>
      <c r="C558" s="5" t="s">
        <v>560</v>
      </c>
      <c r="D558" s="5" t="s">
        <v>192</v>
      </c>
      <c r="E558" s="5" t="s">
        <v>836</v>
      </c>
      <c r="F558" s="9" t="s">
        <v>843</v>
      </c>
      <c r="G558" s="19" t="s">
        <v>655</v>
      </c>
      <c r="H558" s="19" t="s">
        <v>656</v>
      </c>
    </row>
    <row r="559" customFormat="false" ht="15" hidden="false" customHeight="false" outlineLevel="0" collapsed="false">
      <c r="B559" s="9" t="s">
        <v>90</v>
      </c>
      <c r="C559" s="5" t="s">
        <v>560</v>
      </c>
      <c r="D559" s="5" t="s">
        <v>192</v>
      </c>
      <c r="E559" s="5" t="s">
        <v>840</v>
      </c>
      <c r="F559" s="9" t="s">
        <v>1482</v>
      </c>
      <c r="G559" s="19" t="s">
        <v>657</v>
      </c>
      <c r="H559" s="19" t="s">
        <v>658</v>
      </c>
    </row>
    <row r="560" customFormat="false" ht="15" hidden="false" customHeight="false" outlineLevel="0" collapsed="false">
      <c r="B560" s="9" t="s">
        <v>90</v>
      </c>
      <c r="C560" s="5" t="s">
        <v>560</v>
      </c>
      <c r="D560" s="5" t="s">
        <v>235</v>
      </c>
      <c r="E560" s="5" t="s">
        <v>836</v>
      </c>
      <c r="F560" s="9" t="s">
        <v>1483</v>
      </c>
      <c r="G560" s="19" t="s">
        <v>659</v>
      </c>
      <c r="H560" s="19" t="s">
        <v>660</v>
      </c>
    </row>
    <row r="561" customFormat="false" ht="15" hidden="false" customHeight="false" outlineLevel="0" collapsed="false">
      <c r="B561" s="9" t="s">
        <v>90</v>
      </c>
      <c r="C561" s="5" t="s">
        <v>560</v>
      </c>
      <c r="D561" s="5" t="s">
        <v>1084</v>
      </c>
      <c r="E561" s="5" t="s">
        <v>840</v>
      </c>
      <c r="F561" s="9" t="s">
        <v>1085</v>
      </c>
      <c r="G561" s="19" t="s">
        <v>661</v>
      </c>
      <c r="H561" s="19" t="s">
        <v>1616</v>
      </c>
    </row>
    <row r="562" customFormat="false" ht="15" hidden="false" customHeight="false" outlineLevel="0" collapsed="false">
      <c r="B562" s="9" t="s">
        <v>90</v>
      </c>
      <c r="C562" s="5" t="s">
        <v>560</v>
      </c>
      <c r="D562" s="5" t="s">
        <v>1567</v>
      </c>
      <c r="E562" s="5" t="s">
        <v>836</v>
      </c>
      <c r="F562" s="9" t="s">
        <v>1568</v>
      </c>
      <c r="G562" s="19" t="s">
        <v>663</v>
      </c>
      <c r="H562" s="19" t="s">
        <v>1617</v>
      </c>
    </row>
    <row r="563" customFormat="false" ht="15" hidden="false" customHeight="false" outlineLevel="0" collapsed="false">
      <c r="B563" s="9" t="s">
        <v>90</v>
      </c>
      <c r="C563" s="5" t="s">
        <v>560</v>
      </c>
      <c r="D563" s="5" t="s">
        <v>1486</v>
      </c>
      <c r="E563" s="5" t="s">
        <v>836</v>
      </c>
      <c r="F563" s="9" t="s">
        <v>1570</v>
      </c>
      <c r="G563" s="19" t="s">
        <v>665</v>
      </c>
      <c r="H563" s="19" t="s">
        <v>1618</v>
      </c>
    </row>
    <row r="564" customFormat="false" ht="15" hidden="false" customHeight="false" outlineLevel="0" collapsed="false">
      <c r="B564" s="9" t="s">
        <v>90</v>
      </c>
      <c r="C564" s="5" t="s">
        <v>560</v>
      </c>
      <c r="D564" s="5" t="s">
        <v>652</v>
      </c>
      <c r="E564" s="5" t="s">
        <v>853</v>
      </c>
      <c r="F564" s="9" t="s">
        <v>1619</v>
      </c>
      <c r="G564" s="19" t="s">
        <v>667</v>
      </c>
      <c r="H564" s="19" t="s">
        <v>1620</v>
      </c>
    </row>
    <row r="565" customFormat="false" ht="15" hidden="false" customHeight="false" outlineLevel="0" collapsed="false">
      <c r="B565" s="9" t="s">
        <v>90</v>
      </c>
      <c r="C565" s="5" t="s">
        <v>560</v>
      </c>
      <c r="D565" s="5" t="s">
        <v>652</v>
      </c>
      <c r="E565" s="5" t="s">
        <v>836</v>
      </c>
      <c r="F565" s="9" t="s">
        <v>1621</v>
      </c>
      <c r="G565" s="19" t="s">
        <v>669</v>
      </c>
      <c r="H565" s="19" t="s">
        <v>1622</v>
      </c>
    </row>
    <row r="566" customFormat="false" ht="15" hidden="false" customHeight="false" outlineLevel="0" collapsed="false">
      <c r="B566" s="9" t="s">
        <v>90</v>
      </c>
      <c r="C566" s="5" t="s">
        <v>569</v>
      </c>
      <c r="D566" s="5" t="s">
        <v>179</v>
      </c>
      <c r="E566" s="5" t="s">
        <v>836</v>
      </c>
      <c r="F566" s="9" t="s">
        <v>839</v>
      </c>
      <c r="G566" s="19" t="s">
        <v>671</v>
      </c>
      <c r="H566" s="19" t="s">
        <v>662</v>
      </c>
    </row>
    <row r="567" customFormat="false" ht="15" hidden="false" customHeight="false" outlineLevel="0" collapsed="false">
      <c r="B567" s="9" t="s">
        <v>90</v>
      </c>
      <c r="C567" s="5" t="s">
        <v>569</v>
      </c>
      <c r="D567" s="5" t="s">
        <v>232</v>
      </c>
      <c r="E567" s="5" t="s">
        <v>840</v>
      </c>
      <c r="F567" s="9" t="s">
        <v>1480</v>
      </c>
      <c r="G567" s="19" t="s">
        <v>673</v>
      </c>
      <c r="H567" s="19" t="s">
        <v>664</v>
      </c>
    </row>
    <row r="568" customFormat="false" ht="15" hidden="false" customHeight="false" outlineLevel="0" collapsed="false">
      <c r="B568" s="9" t="s">
        <v>90</v>
      </c>
      <c r="C568" s="5" t="s">
        <v>569</v>
      </c>
      <c r="D568" s="5" t="s">
        <v>192</v>
      </c>
      <c r="E568" s="5" t="s">
        <v>836</v>
      </c>
      <c r="F568" s="9" t="s">
        <v>843</v>
      </c>
      <c r="G568" s="19" t="s">
        <v>675</v>
      </c>
      <c r="H568" s="19" t="s">
        <v>666</v>
      </c>
    </row>
    <row r="569" customFormat="false" ht="15" hidden="false" customHeight="false" outlineLevel="0" collapsed="false">
      <c r="B569" s="9" t="s">
        <v>90</v>
      </c>
      <c r="C569" s="5" t="s">
        <v>569</v>
      </c>
      <c r="D569" s="5" t="s">
        <v>192</v>
      </c>
      <c r="E569" s="5" t="s">
        <v>840</v>
      </c>
      <c r="F569" s="9" t="s">
        <v>1482</v>
      </c>
      <c r="G569" s="19" t="s">
        <v>677</v>
      </c>
      <c r="H569" s="19" t="s">
        <v>668</v>
      </c>
    </row>
    <row r="570" customFormat="false" ht="15" hidden="false" customHeight="false" outlineLevel="0" collapsed="false">
      <c r="B570" s="9" t="s">
        <v>90</v>
      </c>
      <c r="C570" s="5" t="s">
        <v>569</v>
      </c>
      <c r="D570" s="5" t="s">
        <v>235</v>
      </c>
      <c r="E570" s="5" t="s">
        <v>836</v>
      </c>
      <c r="F570" s="9" t="s">
        <v>1483</v>
      </c>
      <c r="G570" s="19" t="s">
        <v>679</v>
      </c>
      <c r="H570" s="19" t="s">
        <v>670</v>
      </c>
    </row>
    <row r="571" customFormat="false" ht="15" hidden="false" customHeight="false" outlineLevel="0" collapsed="false">
      <c r="B571" s="9" t="s">
        <v>90</v>
      </c>
      <c r="C571" s="5" t="s">
        <v>569</v>
      </c>
      <c r="D571" s="5" t="s">
        <v>1084</v>
      </c>
      <c r="E571" s="5" t="s">
        <v>840</v>
      </c>
      <c r="F571" s="9" t="s">
        <v>1085</v>
      </c>
      <c r="G571" s="19" t="s">
        <v>681</v>
      </c>
      <c r="H571" s="19" t="s">
        <v>1623</v>
      </c>
    </row>
    <row r="572" customFormat="false" ht="15" hidden="false" customHeight="false" outlineLevel="0" collapsed="false">
      <c r="B572" s="9" t="s">
        <v>90</v>
      </c>
      <c r="C572" s="5" t="s">
        <v>569</v>
      </c>
      <c r="D572" s="5" t="s">
        <v>1567</v>
      </c>
      <c r="E572" s="5" t="s">
        <v>836</v>
      </c>
      <c r="F572" s="9" t="s">
        <v>1568</v>
      </c>
      <c r="G572" s="19" t="s">
        <v>683</v>
      </c>
      <c r="H572" s="19" t="s">
        <v>1624</v>
      </c>
    </row>
    <row r="573" customFormat="false" ht="15" hidden="false" customHeight="false" outlineLevel="0" collapsed="false">
      <c r="B573" s="9" t="s">
        <v>90</v>
      </c>
      <c r="C573" s="5" t="s">
        <v>569</v>
      </c>
      <c r="D573" s="5" t="s">
        <v>1486</v>
      </c>
      <c r="E573" s="5" t="s">
        <v>836</v>
      </c>
      <c r="F573" s="9" t="s">
        <v>1570</v>
      </c>
      <c r="G573" s="19" t="s">
        <v>1625</v>
      </c>
      <c r="H573" s="19" t="s">
        <v>1626</v>
      </c>
    </row>
    <row r="574" customFormat="false" ht="15" hidden="false" customHeight="false" outlineLevel="0" collapsed="false">
      <c r="B574" s="9" t="s">
        <v>90</v>
      </c>
      <c r="C574" s="5" t="s">
        <v>569</v>
      </c>
      <c r="D574" s="5" t="s">
        <v>652</v>
      </c>
      <c r="E574" s="5" t="s">
        <v>853</v>
      </c>
      <c r="F574" s="9" t="s">
        <v>1619</v>
      </c>
      <c r="G574" s="19" t="s">
        <v>1627</v>
      </c>
      <c r="H574" s="19" t="s">
        <v>1628</v>
      </c>
    </row>
    <row r="575" customFormat="false" ht="15" hidden="false" customHeight="false" outlineLevel="0" collapsed="false">
      <c r="B575" s="9" t="s">
        <v>90</v>
      </c>
      <c r="C575" s="5" t="s">
        <v>569</v>
      </c>
      <c r="D575" s="5" t="s">
        <v>652</v>
      </c>
      <c r="E575" s="5" t="s">
        <v>836</v>
      </c>
      <c r="F575" s="9" t="s">
        <v>1621</v>
      </c>
      <c r="G575" s="19" t="s">
        <v>1629</v>
      </c>
      <c r="H575" s="19" t="s">
        <v>1630</v>
      </c>
    </row>
    <row r="576" customFormat="false" ht="15" hidden="false" customHeight="false" outlineLevel="0" collapsed="false">
      <c r="B576" s="9" t="s">
        <v>90</v>
      </c>
      <c r="C576" s="5" t="s">
        <v>578</v>
      </c>
      <c r="D576" s="5" t="s">
        <v>179</v>
      </c>
      <c r="E576" s="5" t="s">
        <v>836</v>
      </c>
      <c r="F576" s="9" t="s">
        <v>839</v>
      </c>
      <c r="G576" s="19" t="s">
        <v>1631</v>
      </c>
      <c r="H576" s="19" t="s">
        <v>672</v>
      </c>
    </row>
    <row r="577" customFormat="false" ht="15" hidden="false" customHeight="false" outlineLevel="0" collapsed="false">
      <c r="B577" s="9" t="s">
        <v>90</v>
      </c>
      <c r="C577" s="5" t="s">
        <v>578</v>
      </c>
      <c r="D577" s="5" t="s">
        <v>179</v>
      </c>
      <c r="E577" s="5" t="s">
        <v>1443</v>
      </c>
      <c r="F577" s="9" t="s">
        <v>1529</v>
      </c>
      <c r="G577" s="19" t="s">
        <v>1632</v>
      </c>
      <c r="H577" s="19" t="s">
        <v>674</v>
      </c>
    </row>
    <row r="578" customFormat="false" ht="15" hidden="false" customHeight="false" outlineLevel="0" collapsed="false">
      <c r="B578" s="9" t="s">
        <v>90</v>
      </c>
      <c r="C578" s="5" t="s">
        <v>578</v>
      </c>
      <c r="D578" s="5" t="s">
        <v>179</v>
      </c>
      <c r="E578" s="5" t="s">
        <v>1443</v>
      </c>
      <c r="F578" s="9" t="s">
        <v>838</v>
      </c>
      <c r="G578" s="19" t="s">
        <v>1633</v>
      </c>
      <c r="H578" s="19" t="s">
        <v>676</v>
      </c>
    </row>
    <row r="579" customFormat="false" ht="15" hidden="false" customHeight="false" outlineLevel="0" collapsed="false">
      <c r="B579" s="9" t="s">
        <v>90</v>
      </c>
      <c r="C579" s="5" t="s">
        <v>578</v>
      </c>
      <c r="D579" s="5" t="s">
        <v>179</v>
      </c>
      <c r="E579" s="5" t="s">
        <v>840</v>
      </c>
      <c r="F579" s="9" t="s">
        <v>1532</v>
      </c>
      <c r="G579" s="19" t="s">
        <v>1634</v>
      </c>
      <c r="H579" s="19" t="s">
        <v>678</v>
      </c>
    </row>
    <row r="580" customFormat="false" ht="15" hidden="false" customHeight="false" outlineLevel="0" collapsed="false">
      <c r="B580" s="9" t="s">
        <v>90</v>
      </c>
      <c r="C580" s="5" t="s">
        <v>578</v>
      </c>
      <c r="D580" s="5" t="s">
        <v>192</v>
      </c>
      <c r="E580" s="5" t="s">
        <v>836</v>
      </c>
      <c r="F580" s="9" t="s">
        <v>843</v>
      </c>
      <c r="G580" s="19" t="s">
        <v>1635</v>
      </c>
      <c r="H580" s="19" t="s">
        <v>680</v>
      </c>
    </row>
    <row r="581" customFormat="false" ht="15" hidden="false" customHeight="false" outlineLevel="0" collapsed="false">
      <c r="B581" s="9" t="s">
        <v>90</v>
      </c>
      <c r="C581" s="5" t="s">
        <v>578</v>
      </c>
      <c r="D581" s="5" t="s">
        <v>192</v>
      </c>
      <c r="E581" s="5" t="s">
        <v>840</v>
      </c>
      <c r="F581" s="9" t="s">
        <v>1482</v>
      </c>
      <c r="G581" s="19" t="s">
        <v>1636</v>
      </c>
      <c r="H581" s="19" t="s">
        <v>682</v>
      </c>
    </row>
    <row r="582" customFormat="false" ht="15" hidden="false" customHeight="false" outlineLevel="0" collapsed="false">
      <c r="B582" s="9" t="s">
        <v>90</v>
      </c>
      <c r="C582" s="5" t="s">
        <v>578</v>
      </c>
      <c r="D582" s="5" t="s">
        <v>192</v>
      </c>
      <c r="E582" s="5" t="s">
        <v>840</v>
      </c>
      <c r="F582" s="9" t="s">
        <v>1536</v>
      </c>
      <c r="G582" s="19" t="s">
        <v>1637</v>
      </c>
      <c r="H582" s="19" t="s">
        <v>684</v>
      </c>
    </row>
    <row r="583" customFormat="false" ht="15" hidden="false" customHeight="false" outlineLevel="0" collapsed="false">
      <c r="B583" s="9" t="s">
        <v>90</v>
      </c>
      <c r="C583" s="5" t="s">
        <v>578</v>
      </c>
      <c r="D583" s="5" t="s">
        <v>1084</v>
      </c>
      <c r="E583" s="5" t="s">
        <v>840</v>
      </c>
      <c r="F583" s="9" t="s">
        <v>1085</v>
      </c>
      <c r="G583" s="19" t="s">
        <v>1638</v>
      </c>
      <c r="H583" s="19" t="s">
        <v>1639</v>
      </c>
    </row>
    <row r="584" customFormat="false" ht="15" hidden="false" customHeight="false" outlineLevel="0" collapsed="false">
      <c r="B584" s="9" t="s">
        <v>90</v>
      </c>
      <c r="C584" s="5" t="s">
        <v>578</v>
      </c>
      <c r="D584" s="5" t="s">
        <v>1567</v>
      </c>
      <c r="E584" s="5" t="s">
        <v>836</v>
      </c>
      <c r="F584" s="9" t="s">
        <v>1568</v>
      </c>
      <c r="G584" s="19" t="s">
        <v>1640</v>
      </c>
      <c r="H584" s="19" t="s">
        <v>1641</v>
      </c>
    </row>
    <row r="585" customFormat="false" ht="15" hidden="false" customHeight="false" outlineLevel="0" collapsed="false">
      <c r="B585" s="9" t="s">
        <v>90</v>
      </c>
      <c r="C585" s="5" t="s">
        <v>578</v>
      </c>
      <c r="D585" s="5" t="s">
        <v>1486</v>
      </c>
      <c r="E585" s="5" t="s">
        <v>836</v>
      </c>
      <c r="F585" s="9" t="s">
        <v>1570</v>
      </c>
      <c r="G585" s="19" t="s">
        <v>1642</v>
      </c>
      <c r="H585" s="19" t="s">
        <v>1643</v>
      </c>
    </row>
    <row r="586" customFormat="false" ht="15" hidden="false" customHeight="false" outlineLevel="0" collapsed="false">
      <c r="B586" s="9" t="s">
        <v>90</v>
      </c>
      <c r="C586" s="5" t="s">
        <v>578</v>
      </c>
      <c r="D586" s="5" t="s">
        <v>652</v>
      </c>
      <c r="E586" s="5" t="s">
        <v>853</v>
      </c>
      <c r="F586" s="9" t="s">
        <v>1619</v>
      </c>
      <c r="G586" s="19" t="s">
        <v>1644</v>
      </c>
      <c r="H586" s="19" t="s">
        <v>1645</v>
      </c>
    </row>
    <row r="587" customFormat="false" ht="15" hidden="false" customHeight="false" outlineLevel="0" collapsed="false">
      <c r="B587" s="9" t="s">
        <v>90</v>
      </c>
      <c r="C587" s="5" t="s">
        <v>578</v>
      </c>
      <c r="D587" s="5" t="s">
        <v>652</v>
      </c>
      <c r="E587" s="5" t="s">
        <v>836</v>
      </c>
      <c r="F587" s="9" t="s">
        <v>1621</v>
      </c>
      <c r="G587" s="19" t="s">
        <v>1646</v>
      </c>
      <c r="H587" s="19" t="s">
        <v>1647</v>
      </c>
    </row>
    <row r="588" customFormat="false" ht="15" hidden="false" customHeight="false" outlineLevel="0" collapsed="false">
      <c r="B588" s="9" t="s">
        <v>108</v>
      </c>
      <c r="C588" s="5" t="s">
        <v>685</v>
      </c>
      <c r="D588" s="5" t="s">
        <v>232</v>
      </c>
      <c r="E588" s="5" t="s">
        <v>840</v>
      </c>
      <c r="F588" s="9" t="s">
        <v>1648</v>
      </c>
      <c r="G588" s="19" t="s">
        <v>686</v>
      </c>
      <c r="H588" s="19" t="s">
        <v>687</v>
      </c>
    </row>
    <row r="589" customFormat="false" ht="15" hidden="false" customHeight="false" outlineLevel="0" collapsed="false">
      <c r="B589" s="9" t="s">
        <v>108</v>
      </c>
      <c r="C589" s="5" t="s">
        <v>685</v>
      </c>
      <c r="D589" s="5" t="s">
        <v>235</v>
      </c>
      <c r="E589" s="5" t="s">
        <v>836</v>
      </c>
      <c r="F589" s="9" t="s">
        <v>1649</v>
      </c>
      <c r="G589" s="19" t="s">
        <v>688</v>
      </c>
      <c r="H589" s="19" t="s">
        <v>689</v>
      </c>
    </row>
    <row r="590" customFormat="false" ht="15" hidden="false" customHeight="false" outlineLevel="0" collapsed="false">
      <c r="B590" s="9" t="s">
        <v>108</v>
      </c>
      <c r="C590" s="5" t="s">
        <v>685</v>
      </c>
      <c r="D590" s="5" t="s">
        <v>192</v>
      </c>
      <c r="E590" s="5" t="s">
        <v>836</v>
      </c>
      <c r="F590" s="9" t="s">
        <v>1650</v>
      </c>
      <c r="G590" s="19" t="s">
        <v>690</v>
      </c>
      <c r="H590" s="19" t="s">
        <v>691</v>
      </c>
    </row>
    <row r="591" customFormat="false" ht="15" hidden="false" customHeight="false" outlineLevel="0" collapsed="false">
      <c r="B591" s="9" t="s">
        <v>108</v>
      </c>
      <c r="C591" s="5" t="s">
        <v>685</v>
      </c>
      <c r="D591" s="5" t="s">
        <v>1651</v>
      </c>
      <c r="E591" s="5" t="s">
        <v>1443</v>
      </c>
      <c r="F591" s="9" t="s">
        <v>1652</v>
      </c>
      <c r="G591" s="19" t="s">
        <v>693</v>
      </c>
      <c r="H591" s="19" t="s">
        <v>1653</v>
      </c>
    </row>
    <row r="592" customFormat="false" ht="15" hidden="false" customHeight="false" outlineLevel="0" collapsed="false">
      <c r="B592" s="9" t="s">
        <v>108</v>
      </c>
      <c r="C592" s="5" t="s">
        <v>685</v>
      </c>
      <c r="D592" s="5" t="s">
        <v>1567</v>
      </c>
      <c r="E592" s="5" t="s">
        <v>836</v>
      </c>
      <c r="F592" s="9" t="s">
        <v>1568</v>
      </c>
      <c r="G592" s="19" t="s">
        <v>695</v>
      </c>
      <c r="H592" s="19" t="s">
        <v>1654</v>
      </c>
    </row>
    <row r="593" customFormat="false" ht="15" hidden="false" customHeight="false" outlineLevel="0" collapsed="false">
      <c r="B593" s="9" t="s">
        <v>108</v>
      </c>
      <c r="C593" s="5" t="s">
        <v>685</v>
      </c>
      <c r="D593" s="5" t="s">
        <v>1655</v>
      </c>
      <c r="E593" s="5" t="s">
        <v>840</v>
      </c>
      <c r="F593" s="9" t="s">
        <v>1656</v>
      </c>
      <c r="G593" s="19" t="s">
        <v>697</v>
      </c>
      <c r="H593" s="19" t="s">
        <v>1657</v>
      </c>
    </row>
    <row r="594" customFormat="false" ht="15" hidden="false" customHeight="false" outlineLevel="0" collapsed="false">
      <c r="B594" s="9" t="s">
        <v>108</v>
      </c>
      <c r="C594" s="5" t="s">
        <v>685</v>
      </c>
      <c r="D594" s="5" t="s">
        <v>1084</v>
      </c>
      <c r="E594" s="5" t="s">
        <v>836</v>
      </c>
      <c r="F594" s="9" t="s">
        <v>1658</v>
      </c>
      <c r="G594" s="19" t="s">
        <v>699</v>
      </c>
      <c r="H594" s="19" t="s">
        <v>1659</v>
      </c>
    </row>
    <row r="595" customFormat="false" ht="15" hidden="false" customHeight="false" outlineLevel="0" collapsed="false">
      <c r="B595" s="9" t="s">
        <v>108</v>
      </c>
      <c r="C595" s="5" t="s">
        <v>685</v>
      </c>
      <c r="D595" s="5" t="s">
        <v>1660</v>
      </c>
      <c r="E595" s="5" t="s">
        <v>836</v>
      </c>
      <c r="F595" s="9" t="s">
        <v>1661</v>
      </c>
      <c r="G595" s="19" t="s">
        <v>701</v>
      </c>
      <c r="H595" s="19" t="s">
        <v>1662</v>
      </c>
    </row>
    <row r="596" customFormat="false" ht="15" hidden="false" customHeight="false" outlineLevel="0" collapsed="false">
      <c r="B596" s="9" t="s">
        <v>108</v>
      </c>
      <c r="C596" s="5" t="s">
        <v>685</v>
      </c>
      <c r="D596" s="5" t="s">
        <v>1660</v>
      </c>
      <c r="E596" s="5" t="s">
        <v>840</v>
      </c>
      <c r="F596" s="9" t="s">
        <v>1663</v>
      </c>
      <c r="G596" s="19" t="s">
        <v>704</v>
      </c>
      <c r="H596" s="19" t="s">
        <v>1664</v>
      </c>
    </row>
    <row r="597" customFormat="false" ht="15" hidden="false" customHeight="false" outlineLevel="0" collapsed="false">
      <c r="B597" s="9" t="s">
        <v>108</v>
      </c>
      <c r="C597" s="5" t="s">
        <v>685</v>
      </c>
      <c r="D597" s="5" t="s">
        <v>1660</v>
      </c>
      <c r="E597" s="5" t="s">
        <v>836</v>
      </c>
      <c r="F597" s="9" t="s">
        <v>1665</v>
      </c>
      <c r="G597" s="19" t="s">
        <v>706</v>
      </c>
      <c r="H597" s="19" t="s">
        <v>1666</v>
      </c>
    </row>
    <row r="598" customFormat="false" ht="15" hidden="false" customHeight="false" outlineLevel="0" collapsed="false">
      <c r="B598" s="9" t="s">
        <v>108</v>
      </c>
      <c r="C598" s="5" t="s">
        <v>685</v>
      </c>
      <c r="D598" s="5" t="s">
        <v>1660</v>
      </c>
      <c r="E598" s="5" t="s">
        <v>840</v>
      </c>
      <c r="F598" s="9" t="s">
        <v>1667</v>
      </c>
      <c r="G598" s="19" t="s">
        <v>708</v>
      </c>
      <c r="H598" s="19" t="s">
        <v>1668</v>
      </c>
    </row>
    <row r="599" customFormat="false" ht="15" hidden="false" customHeight="false" outlineLevel="0" collapsed="false">
      <c r="B599" s="9" t="s">
        <v>108</v>
      </c>
      <c r="C599" s="5" t="s">
        <v>685</v>
      </c>
      <c r="D599" s="5" t="s">
        <v>1486</v>
      </c>
      <c r="E599" s="5" t="s">
        <v>836</v>
      </c>
      <c r="F599" s="9" t="s">
        <v>1669</v>
      </c>
      <c r="G599" s="19" t="s">
        <v>711</v>
      </c>
      <c r="H599" s="19" t="s">
        <v>1670</v>
      </c>
    </row>
    <row r="600" customFormat="false" ht="15" hidden="false" customHeight="false" outlineLevel="0" collapsed="false">
      <c r="B600" s="9" t="s">
        <v>108</v>
      </c>
      <c r="C600" s="5" t="s">
        <v>692</v>
      </c>
      <c r="D600" s="5" t="s">
        <v>232</v>
      </c>
      <c r="E600" s="5" t="s">
        <v>840</v>
      </c>
      <c r="F600" s="9" t="s">
        <v>1648</v>
      </c>
      <c r="G600" s="19" t="s">
        <v>713</v>
      </c>
      <c r="H600" s="19" t="s">
        <v>694</v>
      </c>
    </row>
    <row r="601" customFormat="false" ht="15" hidden="false" customHeight="false" outlineLevel="0" collapsed="false">
      <c r="B601" s="9" t="s">
        <v>108</v>
      </c>
      <c r="C601" s="5" t="s">
        <v>692</v>
      </c>
      <c r="D601" s="5" t="s">
        <v>235</v>
      </c>
      <c r="E601" s="5" t="s">
        <v>836</v>
      </c>
      <c r="F601" s="9" t="s">
        <v>1671</v>
      </c>
      <c r="G601" s="19" t="s">
        <v>715</v>
      </c>
      <c r="H601" s="19" t="s">
        <v>696</v>
      </c>
    </row>
    <row r="602" customFormat="false" ht="15" hidden="false" customHeight="false" outlineLevel="0" collapsed="false">
      <c r="B602" s="9" t="s">
        <v>108</v>
      </c>
      <c r="C602" s="5" t="s">
        <v>692</v>
      </c>
      <c r="D602" s="5" t="s">
        <v>192</v>
      </c>
      <c r="E602" s="5" t="s">
        <v>836</v>
      </c>
      <c r="F602" s="9" t="s">
        <v>1650</v>
      </c>
      <c r="G602" s="19" t="s">
        <v>717</v>
      </c>
      <c r="H602" s="19" t="s">
        <v>698</v>
      </c>
    </row>
    <row r="603" customFormat="false" ht="15" hidden="false" customHeight="false" outlineLevel="0" collapsed="false">
      <c r="B603" s="9" t="s">
        <v>108</v>
      </c>
      <c r="C603" s="5" t="s">
        <v>692</v>
      </c>
      <c r="D603" s="5" t="s">
        <v>192</v>
      </c>
      <c r="E603" s="5" t="s">
        <v>840</v>
      </c>
      <c r="F603" s="9" t="s">
        <v>1672</v>
      </c>
      <c r="G603" s="19" t="s">
        <v>719</v>
      </c>
      <c r="H603" s="19" t="s">
        <v>700</v>
      </c>
    </row>
    <row r="604" customFormat="false" ht="15" hidden="false" customHeight="false" outlineLevel="0" collapsed="false">
      <c r="B604" s="9" t="s">
        <v>108</v>
      </c>
      <c r="C604" s="5" t="s">
        <v>692</v>
      </c>
      <c r="D604" s="5" t="s">
        <v>1651</v>
      </c>
      <c r="E604" s="5" t="s">
        <v>1443</v>
      </c>
      <c r="F604" s="9" t="s">
        <v>1652</v>
      </c>
      <c r="G604" s="19" t="s">
        <v>721</v>
      </c>
      <c r="H604" s="19" t="s">
        <v>702</v>
      </c>
    </row>
    <row r="605" customFormat="false" ht="15" hidden="false" customHeight="false" outlineLevel="0" collapsed="false">
      <c r="B605" s="9" t="s">
        <v>108</v>
      </c>
      <c r="C605" s="5" t="s">
        <v>692</v>
      </c>
      <c r="D605" s="5" t="s">
        <v>1567</v>
      </c>
      <c r="E605" s="5" t="s">
        <v>836</v>
      </c>
      <c r="F605" s="9" t="s">
        <v>1568</v>
      </c>
      <c r="G605" s="19" t="s">
        <v>1673</v>
      </c>
      <c r="H605" s="19" t="s">
        <v>1674</v>
      </c>
    </row>
    <row r="606" customFormat="false" ht="15" hidden="false" customHeight="false" outlineLevel="0" collapsed="false">
      <c r="B606" s="9" t="s">
        <v>108</v>
      </c>
      <c r="C606" s="5" t="s">
        <v>692</v>
      </c>
      <c r="D606" s="5" t="s">
        <v>1655</v>
      </c>
      <c r="E606" s="5" t="s">
        <v>840</v>
      </c>
      <c r="F606" s="9" t="s">
        <v>1656</v>
      </c>
      <c r="G606" s="19" t="s">
        <v>1675</v>
      </c>
      <c r="H606" s="19" t="s">
        <v>1676</v>
      </c>
    </row>
    <row r="607" customFormat="false" ht="15" hidden="false" customHeight="false" outlineLevel="0" collapsed="false">
      <c r="B607" s="9" t="s">
        <v>108</v>
      </c>
      <c r="C607" s="5" t="s">
        <v>692</v>
      </c>
      <c r="D607" s="5" t="s">
        <v>1084</v>
      </c>
      <c r="E607" s="5" t="s">
        <v>836</v>
      </c>
      <c r="F607" s="9" t="s">
        <v>1658</v>
      </c>
      <c r="G607" s="19" t="s">
        <v>1677</v>
      </c>
      <c r="H607" s="19" t="s">
        <v>1678</v>
      </c>
    </row>
    <row r="608" customFormat="false" ht="15" hidden="false" customHeight="false" outlineLevel="0" collapsed="false">
      <c r="B608" s="9" t="s">
        <v>108</v>
      </c>
      <c r="C608" s="5" t="s">
        <v>692</v>
      </c>
      <c r="D608" s="5" t="s">
        <v>1084</v>
      </c>
      <c r="E608" s="5" t="s">
        <v>840</v>
      </c>
      <c r="F608" s="9" t="s">
        <v>1679</v>
      </c>
      <c r="G608" s="19" t="s">
        <v>1680</v>
      </c>
      <c r="H608" s="19" t="s">
        <v>1681</v>
      </c>
    </row>
    <row r="609" customFormat="false" ht="15" hidden="false" customHeight="false" outlineLevel="0" collapsed="false">
      <c r="B609" s="9" t="s">
        <v>108</v>
      </c>
      <c r="C609" s="5" t="s">
        <v>692</v>
      </c>
      <c r="D609" s="5" t="s">
        <v>1660</v>
      </c>
      <c r="E609" s="5" t="s">
        <v>836</v>
      </c>
      <c r="F609" s="9" t="s">
        <v>1661</v>
      </c>
      <c r="G609" s="19" t="s">
        <v>1682</v>
      </c>
      <c r="H609" s="19" t="s">
        <v>1683</v>
      </c>
    </row>
    <row r="610" customFormat="false" ht="15" hidden="false" customHeight="false" outlineLevel="0" collapsed="false">
      <c r="B610" s="9" t="s">
        <v>108</v>
      </c>
      <c r="C610" s="5" t="s">
        <v>692</v>
      </c>
      <c r="D610" s="5" t="s">
        <v>1660</v>
      </c>
      <c r="E610" s="5" t="s">
        <v>840</v>
      </c>
      <c r="F610" s="9" t="s">
        <v>1663</v>
      </c>
      <c r="G610" s="19" t="s">
        <v>1684</v>
      </c>
      <c r="H610" s="19" t="s">
        <v>1685</v>
      </c>
    </row>
    <row r="611" customFormat="false" ht="15" hidden="false" customHeight="false" outlineLevel="0" collapsed="false">
      <c r="B611" s="9" t="s">
        <v>108</v>
      </c>
      <c r="C611" s="5" t="s">
        <v>692</v>
      </c>
      <c r="D611" s="5" t="s">
        <v>1660</v>
      </c>
      <c r="E611" s="5" t="s">
        <v>836</v>
      </c>
      <c r="F611" s="9" t="s">
        <v>1665</v>
      </c>
      <c r="G611" s="19" t="s">
        <v>1686</v>
      </c>
      <c r="H611" s="19" t="s">
        <v>1687</v>
      </c>
    </row>
    <row r="612" customFormat="false" ht="15" hidden="false" customHeight="false" outlineLevel="0" collapsed="false">
      <c r="B612" s="9" t="s">
        <v>108</v>
      </c>
      <c r="C612" s="5" t="s">
        <v>692</v>
      </c>
      <c r="D612" s="5" t="s">
        <v>1660</v>
      </c>
      <c r="E612" s="5" t="s">
        <v>840</v>
      </c>
      <c r="F612" s="9" t="s">
        <v>1667</v>
      </c>
      <c r="G612" s="19" t="s">
        <v>1688</v>
      </c>
      <c r="H612" s="19" t="s">
        <v>1689</v>
      </c>
    </row>
    <row r="613" customFormat="false" ht="15" hidden="false" customHeight="false" outlineLevel="0" collapsed="false">
      <c r="B613" s="9" t="s">
        <v>108</v>
      </c>
      <c r="C613" s="5" t="s">
        <v>692</v>
      </c>
      <c r="D613" s="5" t="s">
        <v>1486</v>
      </c>
      <c r="E613" s="5" t="s">
        <v>836</v>
      </c>
      <c r="F613" s="9" t="s">
        <v>1669</v>
      </c>
      <c r="G613" s="19" t="s">
        <v>1690</v>
      </c>
      <c r="H613" s="19" t="s">
        <v>1691</v>
      </c>
    </row>
    <row r="614" customFormat="false" ht="15" hidden="false" customHeight="false" outlineLevel="0" collapsed="false">
      <c r="B614" s="9" t="s">
        <v>108</v>
      </c>
      <c r="C614" s="5" t="s">
        <v>703</v>
      </c>
      <c r="D614" s="5" t="s">
        <v>232</v>
      </c>
      <c r="E614" s="5" t="s">
        <v>840</v>
      </c>
      <c r="F614" s="9" t="s">
        <v>1648</v>
      </c>
      <c r="G614" s="19" t="s">
        <v>1692</v>
      </c>
      <c r="H614" s="19" t="s">
        <v>705</v>
      </c>
    </row>
    <row r="615" customFormat="false" ht="15" hidden="false" customHeight="false" outlineLevel="0" collapsed="false">
      <c r="B615" s="9" t="s">
        <v>108</v>
      </c>
      <c r="C615" s="5" t="s">
        <v>703</v>
      </c>
      <c r="D615" s="5" t="s">
        <v>235</v>
      </c>
      <c r="E615" s="5" t="s">
        <v>836</v>
      </c>
      <c r="F615" s="9" t="s">
        <v>1649</v>
      </c>
      <c r="G615" s="19" t="s">
        <v>1693</v>
      </c>
      <c r="H615" s="19" t="s">
        <v>707</v>
      </c>
    </row>
    <row r="616" customFormat="false" ht="15" hidden="false" customHeight="false" outlineLevel="0" collapsed="false">
      <c r="B616" s="9" t="s">
        <v>108</v>
      </c>
      <c r="C616" s="5" t="s">
        <v>703</v>
      </c>
      <c r="D616" s="5" t="s">
        <v>192</v>
      </c>
      <c r="E616" s="5" t="s">
        <v>836</v>
      </c>
      <c r="F616" s="9" t="s">
        <v>1650</v>
      </c>
      <c r="G616" s="19" t="s">
        <v>1694</v>
      </c>
      <c r="H616" s="19" t="s">
        <v>709</v>
      </c>
    </row>
    <row r="617" customFormat="false" ht="15" hidden="false" customHeight="false" outlineLevel="0" collapsed="false">
      <c r="B617" s="9" t="s">
        <v>108</v>
      </c>
      <c r="C617" s="5" t="s">
        <v>703</v>
      </c>
      <c r="D617" s="5" t="s">
        <v>1651</v>
      </c>
      <c r="E617" s="5" t="s">
        <v>1443</v>
      </c>
      <c r="F617" s="9" t="s">
        <v>1652</v>
      </c>
      <c r="G617" s="19" t="s">
        <v>1695</v>
      </c>
      <c r="H617" s="19" t="s">
        <v>1696</v>
      </c>
    </row>
    <row r="618" customFormat="false" ht="15" hidden="false" customHeight="false" outlineLevel="0" collapsed="false">
      <c r="B618" s="9" t="s">
        <v>108</v>
      </c>
      <c r="C618" s="5" t="s">
        <v>703</v>
      </c>
      <c r="D618" s="5" t="s">
        <v>1567</v>
      </c>
      <c r="E618" s="5" t="s">
        <v>836</v>
      </c>
      <c r="F618" s="9" t="s">
        <v>1568</v>
      </c>
      <c r="G618" s="19" t="s">
        <v>1697</v>
      </c>
      <c r="H618" s="19" t="s">
        <v>1698</v>
      </c>
    </row>
    <row r="619" customFormat="false" ht="15" hidden="false" customHeight="false" outlineLevel="0" collapsed="false">
      <c r="B619" s="9" t="s">
        <v>108</v>
      </c>
      <c r="C619" s="5" t="s">
        <v>703</v>
      </c>
      <c r="D619" s="5" t="s">
        <v>1655</v>
      </c>
      <c r="E619" s="5" t="s">
        <v>840</v>
      </c>
      <c r="F619" s="9" t="s">
        <v>1656</v>
      </c>
      <c r="G619" s="19" t="s">
        <v>1699</v>
      </c>
      <c r="H619" s="19" t="s">
        <v>1700</v>
      </c>
    </row>
    <row r="620" customFormat="false" ht="15" hidden="false" customHeight="false" outlineLevel="0" collapsed="false">
      <c r="B620" s="9" t="s">
        <v>108</v>
      </c>
      <c r="C620" s="5" t="s">
        <v>703</v>
      </c>
      <c r="D620" s="5" t="s">
        <v>1084</v>
      </c>
      <c r="E620" s="5" t="s">
        <v>836</v>
      </c>
      <c r="F620" s="9" t="s">
        <v>1658</v>
      </c>
      <c r="G620" s="19" t="s">
        <v>1701</v>
      </c>
      <c r="H620" s="19" t="s">
        <v>1702</v>
      </c>
    </row>
    <row r="621" customFormat="false" ht="15" hidden="false" customHeight="false" outlineLevel="0" collapsed="false">
      <c r="B621" s="9" t="s">
        <v>108</v>
      </c>
      <c r="C621" s="5" t="s">
        <v>703</v>
      </c>
      <c r="D621" s="5" t="s">
        <v>1660</v>
      </c>
      <c r="E621" s="5" t="s">
        <v>836</v>
      </c>
      <c r="F621" s="9" t="s">
        <v>1661</v>
      </c>
      <c r="G621" s="19" t="s">
        <v>1703</v>
      </c>
      <c r="H621" s="19" t="s">
        <v>1704</v>
      </c>
    </row>
    <row r="622" customFormat="false" ht="15" hidden="false" customHeight="false" outlineLevel="0" collapsed="false">
      <c r="B622" s="9" t="s">
        <v>108</v>
      </c>
      <c r="C622" s="5" t="s">
        <v>703</v>
      </c>
      <c r="D622" s="5" t="s">
        <v>1660</v>
      </c>
      <c r="E622" s="5" t="s">
        <v>840</v>
      </c>
      <c r="F622" s="9" t="s">
        <v>1663</v>
      </c>
      <c r="G622" s="19" t="s">
        <v>1705</v>
      </c>
      <c r="H622" s="19" t="s">
        <v>1706</v>
      </c>
    </row>
    <row r="623" customFormat="false" ht="15" hidden="false" customHeight="false" outlineLevel="0" collapsed="false">
      <c r="B623" s="9" t="s">
        <v>108</v>
      </c>
      <c r="C623" s="5" t="s">
        <v>703</v>
      </c>
      <c r="D623" s="5" t="s">
        <v>1660</v>
      </c>
      <c r="E623" s="5" t="s">
        <v>836</v>
      </c>
      <c r="F623" s="9" t="s">
        <v>1665</v>
      </c>
      <c r="G623" s="19" t="s">
        <v>1707</v>
      </c>
      <c r="H623" s="19" t="s">
        <v>1708</v>
      </c>
    </row>
    <row r="624" customFormat="false" ht="15" hidden="false" customHeight="false" outlineLevel="0" collapsed="false">
      <c r="B624" s="9" t="s">
        <v>108</v>
      </c>
      <c r="C624" s="5" t="s">
        <v>703</v>
      </c>
      <c r="D624" s="5" t="s">
        <v>1660</v>
      </c>
      <c r="E624" s="5" t="s">
        <v>840</v>
      </c>
      <c r="F624" s="9" t="s">
        <v>1667</v>
      </c>
      <c r="G624" s="19" t="s">
        <v>1709</v>
      </c>
      <c r="H624" s="19" t="s">
        <v>1710</v>
      </c>
    </row>
    <row r="625" customFormat="false" ht="15" hidden="false" customHeight="false" outlineLevel="0" collapsed="false">
      <c r="B625" s="9" t="s">
        <v>108</v>
      </c>
      <c r="C625" s="5" t="s">
        <v>703</v>
      </c>
      <c r="D625" s="5" t="s">
        <v>1486</v>
      </c>
      <c r="E625" s="5" t="s">
        <v>836</v>
      </c>
      <c r="F625" s="9" t="s">
        <v>1669</v>
      </c>
      <c r="G625" s="19" t="s">
        <v>1711</v>
      </c>
      <c r="H625" s="19" t="s">
        <v>1712</v>
      </c>
    </row>
    <row r="626" customFormat="false" ht="15" hidden="false" customHeight="false" outlineLevel="0" collapsed="false">
      <c r="B626" s="9" t="s">
        <v>108</v>
      </c>
      <c r="C626" s="5" t="s">
        <v>710</v>
      </c>
      <c r="D626" s="5" t="s">
        <v>235</v>
      </c>
      <c r="E626" s="5" t="s">
        <v>836</v>
      </c>
      <c r="F626" s="9" t="s">
        <v>1671</v>
      </c>
      <c r="G626" s="19" t="s">
        <v>1713</v>
      </c>
      <c r="H626" s="19" t="s">
        <v>712</v>
      </c>
    </row>
    <row r="627" customFormat="false" ht="15" hidden="false" customHeight="false" outlineLevel="0" collapsed="false">
      <c r="B627" s="9" t="s">
        <v>108</v>
      </c>
      <c r="C627" s="5" t="s">
        <v>710</v>
      </c>
      <c r="D627" s="5" t="s">
        <v>1651</v>
      </c>
      <c r="E627" s="5" t="s">
        <v>840</v>
      </c>
      <c r="F627" s="9" t="s">
        <v>1651</v>
      </c>
      <c r="G627" s="19" t="s">
        <v>1714</v>
      </c>
      <c r="H627" s="19" t="s">
        <v>714</v>
      </c>
    </row>
    <row r="628" customFormat="false" ht="15" hidden="false" customHeight="false" outlineLevel="0" collapsed="false">
      <c r="B628" s="9" t="s">
        <v>108</v>
      </c>
      <c r="C628" s="5" t="s">
        <v>710</v>
      </c>
      <c r="D628" s="5" t="s">
        <v>1651</v>
      </c>
      <c r="E628" s="5" t="s">
        <v>1443</v>
      </c>
      <c r="F628" s="9" t="s">
        <v>1652</v>
      </c>
      <c r="G628" s="19" t="s">
        <v>1715</v>
      </c>
      <c r="H628" s="19" t="s">
        <v>716</v>
      </c>
    </row>
    <row r="629" customFormat="false" ht="15" hidden="false" customHeight="false" outlineLevel="0" collapsed="false">
      <c r="B629" s="9" t="s">
        <v>108</v>
      </c>
      <c r="C629" s="5" t="s">
        <v>710</v>
      </c>
      <c r="D629" s="5" t="s">
        <v>192</v>
      </c>
      <c r="E629" s="5" t="s">
        <v>836</v>
      </c>
      <c r="F629" s="9" t="s">
        <v>1650</v>
      </c>
      <c r="G629" s="19" t="s">
        <v>1716</v>
      </c>
      <c r="H629" s="19" t="s">
        <v>718</v>
      </c>
    </row>
    <row r="630" customFormat="false" ht="15" hidden="false" customHeight="false" outlineLevel="0" collapsed="false">
      <c r="B630" s="9" t="s">
        <v>108</v>
      </c>
      <c r="C630" s="5" t="s">
        <v>710</v>
      </c>
      <c r="D630" s="5" t="s">
        <v>192</v>
      </c>
      <c r="E630" s="5" t="s">
        <v>840</v>
      </c>
      <c r="F630" s="9" t="s">
        <v>1672</v>
      </c>
      <c r="G630" s="19" t="s">
        <v>1717</v>
      </c>
      <c r="H630" s="19" t="s">
        <v>720</v>
      </c>
    </row>
    <row r="631" customFormat="false" ht="15" hidden="false" customHeight="false" outlineLevel="0" collapsed="false">
      <c r="B631" s="9" t="s">
        <v>108</v>
      </c>
      <c r="C631" s="5" t="s">
        <v>710</v>
      </c>
      <c r="D631" s="5" t="s">
        <v>1567</v>
      </c>
      <c r="E631" s="5" t="s">
        <v>836</v>
      </c>
      <c r="F631" s="9" t="s">
        <v>1568</v>
      </c>
      <c r="G631" s="19" t="s">
        <v>1718</v>
      </c>
      <c r="H631" s="19" t="s">
        <v>722</v>
      </c>
    </row>
    <row r="632" customFormat="false" ht="15" hidden="false" customHeight="false" outlineLevel="0" collapsed="false">
      <c r="B632" s="9" t="s">
        <v>108</v>
      </c>
      <c r="C632" s="5" t="s">
        <v>710</v>
      </c>
      <c r="D632" s="5" t="s">
        <v>1655</v>
      </c>
      <c r="E632" s="5" t="s">
        <v>840</v>
      </c>
      <c r="F632" s="9" t="s">
        <v>1656</v>
      </c>
      <c r="G632" s="19" t="s">
        <v>1719</v>
      </c>
      <c r="H632" s="19" t="s">
        <v>1720</v>
      </c>
    </row>
    <row r="633" customFormat="false" ht="15" hidden="false" customHeight="false" outlineLevel="0" collapsed="false">
      <c r="B633" s="9" t="s">
        <v>108</v>
      </c>
      <c r="C633" s="5" t="s">
        <v>710</v>
      </c>
      <c r="D633" s="5" t="s">
        <v>1084</v>
      </c>
      <c r="E633" s="5" t="s">
        <v>836</v>
      </c>
      <c r="F633" s="9" t="s">
        <v>1658</v>
      </c>
      <c r="G633" s="19" t="s">
        <v>1721</v>
      </c>
      <c r="H633" s="19" t="s">
        <v>1722</v>
      </c>
    </row>
    <row r="634" customFormat="false" ht="15" hidden="false" customHeight="false" outlineLevel="0" collapsed="false">
      <c r="B634" s="9" t="s">
        <v>108</v>
      </c>
      <c r="C634" s="5" t="s">
        <v>710</v>
      </c>
      <c r="D634" s="5" t="s">
        <v>1084</v>
      </c>
      <c r="E634" s="5" t="s">
        <v>840</v>
      </c>
      <c r="F634" s="9" t="s">
        <v>1679</v>
      </c>
      <c r="G634" s="19" t="s">
        <v>1723</v>
      </c>
      <c r="H634" s="19" t="s">
        <v>1724</v>
      </c>
    </row>
    <row r="635" customFormat="false" ht="15" hidden="false" customHeight="false" outlineLevel="0" collapsed="false">
      <c r="B635" s="9" t="s">
        <v>108</v>
      </c>
      <c r="C635" s="5" t="s">
        <v>710</v>
      </c>
      <c r="D635" s="5" t="s">
        <v>1660</v>
      </c>
      <c r="E635" s="5" t="s">
        <v>836</v>
      </c>
      <c r="F635" s="9" t="s">
        <v>1661</v>
      </c>
      <c r="G635" s="19" t="s">
        <v>1725</v>
      </c>
      <c r="H635" s="19" t="s">
        <v>1726</v>
      </c>
    </row>
    <row r="636" customFormat="false" ht="15" hidden="false" customHeight="false" outlineLevel="0" collapsed="false">
      <c r="B636" s="9" t="s">
        <v>108</v>
      </c>
      <c r="C636" s="5" t="s">
        <v>710</v>
      </c>
      <c r="D636" s="5" t="s">
        <v>1660</v>
      </c>
      <c r="E636" s="5" t="s">
        <v>840</v>
      </c>
      <c r="F636" s="9" t="s">
        <v>1663</v>
      </c>
      <c r="G636" s="19" t="s">
        <v>1727</v>
      </c>
      <c r="H636" s="19" t="s">
        <v>1728</v>
      </c>
    </row>
    <row r="637" customFormat="false" ht="15" hidden="false" customHeight="false" outlineLevel="0" collapsed="false">
      <c r="B637" s="9" t="s">
        <v>108</v>
      </c>
      <c r="C637" s="5" t="s">
        <v>710</v>
      </c>
      <c r="D637" s="5" t="s">
        <v>1660</v>
      </c>
      <c r="E637" s="5" t="s">
        <v>836</v>
      </c>
      <c r="F637" s="9" t="s">
        <v>1665</v>
      </c>
      <c r="G637" s="19" t="s">
        <v>1729</v>
      </c>
      <c r="H637" s="19" t="s">
        <v>1730</v>
      </c>
    </row>
    <row r="638" customFormat="false" ht="15" hidden="false" customHeight="false" outlineLevel="0" collapsed="false">
      <c r="B638" s="9" t="s">
        <v>108</v>
      </c>
      <c r="C638" s="5" t="s">
        <v>710</v>
      </c>
      <c r="D638" s="5" t="s">
        <v>1660</v>
      </c>
      <c r="E638" s="5" t="s">
        <v>840</v>
      </c>
      <c r="F638" s="9" t="s">
        <v>1667</v>
      </c>
      <c r="G638" s="19" t="s">
        <v>1731</v>
      </c>
      <c r="H638" s="19" t="s">
        <v>1732</v>
      </c>
    </row>
    <row r="639" customFormat="false" ht="15" hidden="false" customHeight="false" outlineLevel="0" collapsed="false">
      <c r="B639" s="9" t="s">
        <v>108</v>
      </c>
      <c r="C639" s="5" t="s">
        <v>710</v>
      </c>
      <c r="D639" s="5" t="s">
        <v>1486</v>
      </c>
      <c r="E639" s="5" t="s">
        <v>836</v>
      </c>
      <c r="F639" s="9" t="s">
        <v>1669</v>
      </c>
      <c r="G639" s="19" t="s">
        <v>1733</v>
      </c>
      <c r="H639" s="19" t="s">
        <v>1734</v>
      </c>
    </row>
    <row r="640" customFormat="false" ht="15" hidden="false" customHeight="false" outlineLevel="0" collapsed="false">
      <c r="B640" s="9" t="s">
        <v>111</v>
      </c>
      <c r="C640" s="5" t="s">
        <v>685</v>
      </c>
      <c r="D640" s="5" t="s">
        <v>232</v>
      </c>
      <c r="E640" s="5" t="s">
        <v>840</v>
      </c>
      <c r="F640" s="9" t="s">
        <v>1648</v>
      </c>
      <c r="G640" s="19" t="s">
        <v>723</v>
      </c>
      <c r="H640" s="19" t="s">
        <v>724</v>
      </c>
    </row>
    <row r="641" customFormat="false" ht="15" hidden="false" customHeight="false" outlineLevel="0" collapsed="false">
      <c r="B641" s="9" t="s">
        <v>111</v>
      </c>
      <c r="C641" s="5" t="s">
        <v>685</v>
      </c>
      <c r="D641" s="5" t="s">
        <v>235</v>
      </c>
      <c r="E641" s="5" t="s">
        <v>836</v>
      </c>
      <c r="F641" s="9" t="s">
        <v>1649</v>
      </c>
      <c r="G641" s="19" t="s">
        <v>725</v>
      </c>
      <c r="H641" s="19" t="s">
        <v>726</v>
      </c>
    </row>
    <row r="642" customFormat="false" ht="15" hidden="false" customHeight="false" outlineLevel="0" collapsed="false">
      <c r="B642" s="9" t="s">
        <v>111</v>
      </c>
      <c r="C642" s="5" t="s">
        <v>685</v>
      </c>
      <c r="D642" s="5" t="s">
        <v>192</v>
      </c>
      <c r="E642" s="5" t="s">
        <v>836</v>
      </c>
      <c r="F642" s="9" t="s">
        <v>1650</v>
      </c>
      <c r="G642" s="19" t="s">
        <v>727</v>
      </c>
      <c r="H642" s="19" t="s">
        <v>728</v>
      </c>
    </row>
    <row r="643" customFormat="false" ht="15" hidden="false" customHeight="false" outlineLevel="0" collapsed="false">
      <c r="B643" s="9" t="s">
        <v>111</v>
      </c>
      <c r="C643" s="5" t="s">
        <v>685</v>
      </c>
      <c r="D643" s="5" t="s">
        <v>1651</v>
      </c>
      <c r="E643" s="5" t="s">
        <v>1443</v>
      </c>
      <c r="F643" s="9" t="s">
        <v>1652</v>
      </c>
      <c r="G643" s="19" t="s">
        <v>729</v>
      </c>
      <c r="H643" s="19" t="s">
        <v>1735</v>
      </c>
    </row>
    <row r="644" customFormat="false" ht="15" hidden="false" customHeight="false" outlineLevel="0" collapsed="false">
      <c r="B644" s="9" t="s">
        <v>111</v>
      </c>
      <c r="C644" s="5" t="s">
        <v>685</v>
      </c>
      <c r="D644" s="5" t="s">
        <v>1567</v>
      </c>
      <c r="E644" s="5" t="s">
        <v>836</v>
      </c>
      <c r="F644" s="9" t="s">
        <v>1568</v>
      </c>
      <c r="G644" s="19" t="s">
        <v>731</v>
      </c>
      <c r="H644" s="19" t="s">
        <v>1736</v>
      </c>
    </row>
    <row r="645" customFormat="false" ht="15" hidden="false" customHeight="false" outlineLevel="0" collapsed="false">
      <c r="B645" s="9" t="s">
        <v>111</v>
      </c>
      <c r="C645" s="5" t="s">
        <v>685</v>
      </c>
      <c r="D645" s="5" t="s">
        <v>1655</v>
      </c>
      <c r="E645" s="5" t="s">
        <v>840</v>
      </c>
      <c r="F645" s="9" t="s">
        <v>1656</v>
      </c>
      <c r="G645" s="19" t="s">
        <v>733</v>
      </c>
      <c r="H645" s="19" t="s">
        <v>1737</v>
      </c>
    </row>
    <row r="646" customFormat="false" ht="15" hidden="false" customHeight="false" outlineLevel="0" collapsed="false">
      <c r="B646" s="9" t="s">
        <v>111</v>
      </c>
      <c r="C646" s="5" t="s">
        <v>685</v>
      </c>
      <c r="D646" s="5" t="s">
        <v>1084</v>
      </c>
      <c r="E646" s="5" t="s">
        <v>836</v>
      </c>
      <c r="F646" s="9" t="s">
        <v>1658</v>
      </c>
      <c r="G646" s="19" t="s">
        <v>735</v>
      </c>
      <c r="H646" s="19" t="s">
        <v>1738</v>
      </c>
    </row>
    <row r="647" customFormat="false" ht="15" hidden="false" customHeight="false" outlineLevel="0" collapsed="false">
      <c r="B647" s="9" t="s">
        <v>111</v>
      </c>
      <c r="C647" s="5" t="s">
        <v>685</v>
      </c>
      <c r="D647" s="5" t="s">
        <v>1660</v>
      </c>
      <c r="E647" s="5" t="s">
        <v>836</v>
      </c>
      <c r="F647" s="9" t="s">
        <v>1661</v>
      </c>
      <c r="G647" s="19" t="s">
        <v>737</v>
      </c>
      <c r="H647" s="19" t="s">
        <v>1739</v>
      </c>
    </row>
    <row r="648" customFormat="false" ht="15" hidden="false" customHeight="false" outlineLevel="0" collapsed="false">
      <c r="B648" s="9" t="s">
        <v>111</v>
      </c>
      <c r="C648" s="5" t="s">
        <v>685</v>
      </c>
      <c r="D648" s="5" t="s">
        <v>1660</v>
      </c>
      <c r="E648" s="5" t="s">
        <v>840</v>
      </c>
      <c r="F648" s="9" t="s">
        <v>1663</v>
      </c>
      <c r="G648" s="19" t="s">
        <v>739</v>
      </c>
      <c r="H648" s="19" t="s">
        <v>1740</v>
      </c>
    </row>
    <row r="649" customFormat="false" ht="15" hidden="false" customHeight="false" outlineLevel="0" collapsed="false">
      <c r="B649" s="9" t="s">
        <v>111</v>
      </c>
      <c r="C649" s="5" t="s">
        <v>685</v>
      </c>
      <c r="D649" s="5" t="s">
        <v>1660</v>
      </c>
      <c r="E649" s="5" t="s">
        <v>836</v>
      </c>
      <c r="F649" s="9" t="s">
        <v>1665</v>
      </c>
      <c r="G649" s="19" t="s">
        <v>741</v>
      </c>
      <c r="H649" s="19" t="s">
        <v>1741</v>
      </c>
    </row>
    <row r="650" customFormat="false" ht="15" hidden="false" customHeight="false" outlineLevel="0" collapsed="false">
      <c r="B650" s="9" t="s">
        <v>111</v>
      </c>
      <c r="C650" s="5" t="s">
        <v>685</v>
      </c>
      <c r="D650" s="5" t="s">
        <v>1660</v>
      </c>
      <c r="E650" s="5" t="s">
        <v>840</v>
      </c>
      <c r="F650" s="9" t="s">
        <v>1667</v>
      </c>
      <c r="G650" s="19" t="s">
        <v>743</v>
      </c>
      <c r="H650" s="19" t="s">
        <v>1742</v>
      </c>
    </row>
    <row r="651" customFormat="false" ht="15" hidden="false" customHeight="false" outlineLevel="0" collapsed="false">
      <c r="B651" s="9" t="s">
        <v>111</v>
      </c>
      <c r="C651" s="5" t="s">
        <v>685</v>
      </c>
      <c r="D651" s="5" t="s">
        <v>1486</v>
      </c>
      <c r="E651" s="5" t="s">
        <v>836</v>
      </c>
      <c r="F651" s="9" t="s">
        <v>1669</v>
      </c>
      <c r="G651" s="19" t="s">
        <v>745</v>
      </c>
      <c r="H651" s="19" t="s">
        <v>1743</v>
      </c>
    </row>
    <row r="652" customFormat="false" ht="15" hidden="false" customHeight="false" outlineLevel="0" collapsed="false">
      <c r="B652" s="9" t="s">
        <v>111</v>
      </c>
      <c r="C652" s="5" t="s">
        <v>692</v>
      </c>
      <c r="D652" s="5" t="s">
        <v>232</v>
      </c>
      <c r="E652" s="5" t="s">
        <v>840</v>
      </c>
      <c r="F652" s="9" t="s">
        <v>1648</v>
      </c>
      <c r="G652" s="19" t="s">
        <v>747</v>
      </c>
      <c r="H652" s="19" t="s">
        <v>730</v>
      </c>
    </row>
    <row r="653" customFormat="false" ht="15" hidden="false" customHeight="false" outlineLevel="0" collapsed="false">
      <c r="B653" s="9" t="s">
        <v>111</v>
      </c>
      <c r="C653" s="5" t="s">
        <v>692</v>
      </c>
      <c r="D653" s="5" t="s">
        <v>235</v>
      </c>
      <c r="E653" s="5" t="s">
        <v>836</v>
      </c>
      <c r="F653" s="9" t="s">
        <v>1671</v>
      </c>
      <c r="G653" s="19" t="s">
        <v>749</v>
      </c>
      <c r="H653" s="19" t="s">
        <v>732</v>
      </c>
    </row>
    <row r="654" customFormat="false" ht="15" hidden="false" customHeight="false" outlineLevel="0" collapsed="false">
      <c r="B654" s="9" t="s">
        <v>111</v>
      </c>
      <c r="C654" s="5" t="s">
        <v>692</v>
      </c>
      <c r="D654" s="5" t="s">
        <v>192</v>
      </c>
      <c r="E654" s="5" t="s">
        <v>836</v>
      </c>
      <c r="F654" s="9" t="s">
        <v>1650</v>
      </c>
      <c r="G654" s="19" t="s">
        <v>751</v>
      </c>
      <c r="H654" s="19" t="s">
        <v>734</v>
      </c>
    </row>
    <row r="655" customFormat="false" ht="15" hidden="false" customHeight="false" outlineLevel="0" collapsed="false">
      <c r="B655" s="9" t="s">
        <v>111</v>
      </c>
      <c r="C655" s="5" t="s">
        <v>692</v>
      </c>
      <c r="D655" s="5" t="s">
        <v>192</v>
      </c>
      <c r="E655" s="5" t="s">
        <v>840</v>
      </c>
      <c r="F655" s="9" t="s">
        <v>1672</v>
      </c>
      <c r="G655" s="19" t="s">
        <v>753</v>
      </c>
      <c r="H655" s="19" t="s">
        <v>736</v>
      </c>
    </row>
    <row r="656" customFormat="false" ht="15" hidden="false" customHeight="false" outlineLevel="0" collapsed="false">
      <c r="B656" s="9" t="s">
        <v>111</v>
      </c>
      <c r="C656" s="5" t="s">
        <v>692</v>
      </c>
      <c r="D656" s="5" t="s">
        <v>1651</v>
      </c>
      <c r="E656" s="5" t="s">
        <v>1443</v>
      </c>
      <c r="F656" s="9" t="s">
        <v>1652</v>
      </c>
      <c r="G656" s="19" t="s">
        <v>755</v>
      </c>
      <c r="H656" s="19" t="s">
        <v>738</v>
      </c>
    </row>
    <row r="657" customFormat="false" ht="15" hidden="false" customHeight="false" outlineLevel="0" collapsed="false">
      <c r="B657" s="9" t="s">
        <v>111</v>
      </c>
      <c r="C657" s="5" t="s">
        <v>692</v>
      </c>
      <c r="D657" s="5" t="s">
        <v>1567</v>
      </c>
      <c r="E657" s="5" t="s">
        <v>836</v>
      </c>
      <c r="F657" s="9" t="s">
        <v>1568</v>
      </c>
      <c r="G657" s="19" t="s">
        <v>1744</v>
      </c>
      <c r="H657" s="19" t="s">
        <v>1745</v>
      </c>
    </row>
    <row r="658" customFormat="false" ht="15" hidden="false" customHeight="false" outlineLevel="0" collapsed="false">
      <c r="B658" s="9" t="s">
        <v>111</v>
      </c>
      <c r="C658" s="5" t="s">
        <v>692</v>
      </c>
      <c r="D658" s="5" t="s">
        <v>1655</v>
      </c>
      <c r="E658" s="5" t="s">
        <v>840</v>
      </c>
      <c r="F658" s="9" t="s">
        <v>1656</v>
      </c>
      <c r="G658" s="19" t="s">
        <v>1746</v>
      </c>
      <c r="H658" s="19" t="s">
        <v>1747</v>
      </c>
    </row>
    <row r="659" customFormat="false" ht="15" hidden="false" customHeight="false" outlineLevel="0" collapsed="false">
      <c r="B659" s="9" t="s">
        <v>111</v>
      </c>
      <c r="C659" s="5" t="s">
        <v>692</v>
      </c>
      <c r="D659" s="5" t="s">
        <v>1084</v>
      </c>
      <c r="E659" s="5" t="s">
        <v>836</v>
      </c>
      <c r="F659" s="9" t="s">
        <v>1658</v>
      </c>
      <c r="G659" s="19" t="s">
        <v>1748</v>
      </c>
      <c r="H659" s="19" t="s">
        <v>1749</v>
      </c>
    </row>
    <row r="660" customFormat="false" ht="15" hidden="false" customHeight="false" outlineLevel="0" collapsed="false">
      <c r="B660" s="9" t="s">
        <v>111</v>
      </c>
      <c r="C660" s="5" t="s">
        <v>692</v>
      </c>
      <c r="D660" s="5" t="s">
        <v>1084</v>
      </c>
      <c r="E660" s="5" t="s">
        <v>840</v>
      </c>
      <c r="F660" s="9" t="s">
        <v>1679</v>
      </c>
      <c r="G660" s="19" t="s">
        <v>1750</v>
      </c>
      <c r="H660" s="19" t="s">
        <v>1751</v>
      </c>
    </row>
    <row r="661" customFormat="false" ht="15" hidden="false" customHeight="false" outlineLevel="0" collapsed="false">
      <c r="B661" s="9" t="s">
        <v>111</v>
      </c>
      <c r="C661" s="5" t="s">
        <v>692</v>
      </c>
      <c r="D661" s="5" t="s">
        <v>1660</v>
      </c>
      <c r="E661" s="5" t="s">
        <v>836</v>
      </c>
      <c r="F661" s="9" t="s">
        <v>1661</v>
      </c>
      <c r="G661" s="19" t="s">
        <v>1752</v>
      </c>
      <c r="H661" s="19" t="s">
        <v>1753</v>
      </c>
    </row>
    <row r="662" customFormat="false" ht="15" hidden="false" customHeight="false" outlineLevel="0" collapsed="false">
      <c r="B662" s="9" t="s">
        <v>111</v>
      </c>
      <c r="C662" s="5" t="s">
        <v>692</v>
      </c>
      <c r="D662" s="5" t="s">
        <v>1660</v>
      </c>
      <c r="E662" s="5" t="s">
        <v>840</v>
      </c>
      <c r="F662" s="9" t="s">
        <v>1663</v>
      </c>
      <c r="G662" s="19" t="s">
        <v>1754</v>
      </c>
      <c r="H662" s="19" t="s">
        <v>1755</v>
      </c>
    </row>
    <row r="663" customFormat="false" ht="15" hidden="false" customHeight="false" outlineLevel="0" collapsed="false">
      <c r="B663" s="9" t="s">
        <v>111</v>
      </c>
      <c r="C663" s="5" t="s">
        <v>692</v>
      </c>
      <c r="D663" s="5" t="s">
        <v>1660</v>
      </c>
      <c r="E663" s="5" t="s">
        <v>836</v>
      </c>
      <c r="F663" s="9" t="s">
        <v>1665</v>
      </c>
      <c r="G663" s="19" t="s">
        <v>1756</v>
      </c>
      <c r="H663" s="19" t="s">
        <v>1757</v>
      </c>
    </row>
    <row r="664" customFormat="false" ht="15" hidden="false" customHeight="false" outlineLevel="0" collapsed="false">
      <c r="B664" s="9" t="s">
        <v>111</v>
      </c>
      <c r="C664" s="5" t="s">
        <v>692</v>
      </c>
      <c r="D664" s="5" t="s">
        <v>1660</v>
      </c>
      <c r="E664" s="5" t="s">
        <v>840</v>
      </c>
      <c r="F664" s="9" t="s">
        <v>1667</v>
      </c>
      <c r="G664" s="19" t="s">
        <v>1758</v>
      </c>
      <c r="H664" s="19" t="s">
        <v>1759</v>
      </c>
    </row>
    <row r="665" customFormat="false" ht="15" hidden="false" customHeight="false" outlineLevel="0" collapsed="false">
      <c r="B665" s="9" t="s">
        <v>111</v>
      </c>
      <c r="C665" s="5" t="s">
        <v>692</v>
      </c>
      <c r="D665" s="5" t="s">
        <v>1486</v>
      </c>
      <c r="E665" s="5" t="s">
        <v>836</v>
      </c>
      <c r="F665" s="9" t="s">
        <v>1669</v>
      </c>
      <c r="G665" s="19" t="s">
        <v>1760</v>
      </c>
      <c r="H665" s="19" t="s">
        <v>1761</v>
      </c>
    </row>
    <row r="666" customFormat="false" ht="15" hidden="false" customHeight="false" outlineLevel="0" collapsed="false">
      <c r="B666" s="9" t="s">
        <v>111</v>
      </c>
      <c r="C666" s="5" t="s">
        <v>703</v>
      </c>
      <c r="D666" s="5" t="s">
        <v>232</v>
      </c>
      <c r="E666" s="5" t="s">
        <v>840</v>
      </c>
      <c r="F666" s="9" t="s">
        <v>1648</v>
      </c>
      <c r="G666" s="19" t="s">
        <v>1762</v>
      </c>
      <c r="H666" s="19" t="s">
        <v>740</v>
      </c>
    </row>
    <row r="667" customFormat="false" ht="15" hidden="false" customHeight="false" outlineLevel="0" collapsed="false">
      <c r="B667" s="9" t="s">
        <v>111</v>
      </c>
      <c r="C667" s="5" t="s">
        <v>703</v>
      </c>
      <c r="D667" s="5" t="s">
        <v>235</v>
      </c>
      <c r="E667" s="5" t="s">
        <v>836</v>
      </c>
      <c r="F667" s="9" t="s">
        <v>1649</v>
      </c>
      <c r="G667" s="19" t="s">
        <v>1763</v>
      </c>
      <c r="H667" s="19" t="s">
        <v>742</v>
      </c>
    </row>
    <row r="668" customFormat="false" ht="15" hidden="false" customHeight="false" outlineLevel="0" collapsed="false">
      <c r="B668" s="9" t="s">
        <v>111</v>
      </c>
      <c r="C668" s="5" t="s">
        <v>703</v>
      </c>
      <c r="D668" s="5" t="s">
        <v>192</v>
      </c>
      <c r="E668" s="5" t="s">
        <v>836</v>
      </c>
      <c r="F668" s="9" t="s">
        <v>1650</v>
      </c>
      <c r="G668" s="19" t="s">
        <v>1764</v>
      </c>
      <c r="H668" s="19" t="s">
        <v>744</v>
      </c>
    </row>
    <row r="669" customFormat="false" ht="15" hidden="false" customHeight="false" outlineLevel="0" collapsed="false">
      <c r="B669" s="9" t="s">
        <v>111</v>
      </c>
      <c r="C669" s="5" t="s">
        <v>703</v>
      </c>
      <c r="D669" s="5" t="s">
        <v>1651</v>
      </c>
      <c r="E669" s="5" t="s">
        <v>1443</v>
      </c>
      <c r="F669" s="9" t="s">
        <v>1652</v>
      </c>
      <c r="G669" s="19" t="s">
        <v>1765</v>
      </c>
      <c r="H669" s="19" t="s">
        <v>1766</v>
      </c>
    </row>
    <row r="670" customFormat="false" ht="15" hidden="false" customHeight="false" outlineLevel="0" collapsed="false">
      <c r="B670" s="9" t="s">
        <v>111</v>
      </c>
      <c r="C670" s="5" t="s">
        <v>703</v>
      </c>
      <c r="D670" s="5" t="s">
        <v>1567</v>
      </c>
      <c r="E670" s="5" t="s">
        <v>836</v>
      </c>
      <c r="F670" s="9" t="s">
        <v>1568</v>
      </c>
      <c r="G670" s="19" t="s">
        <v>1767</v>
      </c>
      <c r="H670" s="19" t="s">
        <v>1768</v>
      </c>
    </row>
    <row r="671" customFormat="false" ht="15" hidden="false" customHeight="false" outlineLevel="0" collapsed="false">
      <c r="B671" s="9" t="s">
        <v>111</v>
      </c>
      <c r="C671" s="5" t="s">
        <v>703</v>
      </c>
      <c r="D671" s="5" t="s">
        <v>1655</v>
      </c>
      <c r="E671" s="5" t="s">
        <v>840</v>
      </c>
      <c r="F671" s="9" t="s">
        <v>1656</v>
      </c>
      <c r="G671" s="19" t="s">
        <v>1769</v>
      </c>
      <c r="H671" s="19" t="s">
        <v>1770</v>
      </c>
    </row>
    <row r="672" customFormat="false" ht="15" hidden="false" customHeight="false" outlineLevel="0" collapsed="false">
      <c r="B672" s="9" t="s">
        <v>111</v>
      </c>
      <c r="C672" s="5" t="s">
        <v>703</v>
      </c>
      <c r="D672" s="5" t="s">
        <v>1084</v>
      </c>
      <c r="E672" s="5" t="s">
        <v>836</v>
      </c>
      <c r="F672" s="9" t="s">
        <v>1658</v>
      </c>
      <c r="G672" s="19" t="s">
        <v>1771</v>
      </c>
      <c r="H672" s="19" t="s">
        <v>1772</v>
      </c>
    </row>
    <row r="673" customFormat="false" ht="15" hidden="false" customHeight="false" outlineLevel="0" collapsed="false">
      <c r="B673" s="9" t="s">
        <v>111</v>
      </c>
      <c r="C673" s="5" t="s">
        <v>703</v>
      </c>
      <c r="D673" s="5" t="s">
        <v>1660</v>
      </c>
      <c r="E673" s="5" t="s">
        <v>836</v>
      </c>
      <c r="F673" s="9" t="s">
        <v>1661</v>
      </c>
      <c r="G673" s="19" t="s">
        <v>1773</v>
      </c>
      <c r="H673" s="19" t="s">
        <v>1774</v>
      </c>
    </row>
    <row r="674" customFormat="false" ht="15" hidden="false" customHeight="false" outlineLevel="0" collapsed="false">
      <c r="B674" s="9" t="s">
        <v>111</v>
      </c>
      <c r="C674" s="5" t="s">
        <v>703</v>
      </c>
      <c r="D674" s="5" t="s">
        <v>1660</v>
      </c>
      <c r="E674" s="5" t="s">
        <v>840</v>
      </c>
      <c r="F674" s="9" t="s">
        <v>1663</v>
      </c>
      <c r="G674" s="19" t="s">
        <v>1775</v>
      </c>
      <c r="H674" s="19" t="s">
        <v>1776</v>
      </c>
    </row>
    <row r="675" customFormat="false" ht="15" hidden="false" customHeight="false" outlineLevel="0" collapsed="false">
      <c r="B675" s="9" t="s">
        <v>111</v>
      </c>
      <c r="C675" s="5" t="s">
        <v>703</v>
      </c>
      <c r="D675" s="5" t="s">
        <v>1660</v>
      </c>
      <c r="E675" s="5" t="s">
        <v>836</v>
      </c>
      <c r="F675" s="9" t="s">
        <v>1665</v>
      </c>
      <c r="G675" s="19" t="s">
        <v>1777</v>
      </c>
      <c r="H675" s="19" t="s">
        <v>1778</v>
      </c>
    </row>
    <row r="676" customFormat="false" ht="15" hidden="false" customHeight="false" outlineLevel="0" collapsed="false">
      <c r="B676" s="9" t="s">
        <v>111</v>
      </c>
      <c r="C676" s="5" t="s">
        <v>703</v>
      </c>
      <c r="D676" s="5" t="s">
        <v>1660</v>
      </c>
      <c r="E676" s="5" t="s">
        <v>840</v>
      </c>
      <c r="F676" s="9" t="s">
        <v>1667</v>
      </c>
      <c r="G676" s="19" t="s">
        <v>1779</v>
      </c>
      <c r="H676" s="19" t="s">
        <v>1780</v>
      </c>
    </row>
    <row r="677" customFormat="false" ht="15" hidden="false" customHeight="false" outlineLevel="0" collapsed="false">
      <c r="B677" s="9" t="s">
        <v>111</v>
      </c>
      <c r="C677" s="5" t="s">
        <v>703</v>
      </c>
      <c r="D677" s="5" t="s">
        <v>1486</v>
      </c>
      <c r="E677" s="5" t="s">
        <v>836</v>
      </c>
      <c r="F677" s="9" t="s">
        <v>1669</v>
      </c>
      <c r="G677" s="19" t="s">
        <v>1781</v>
      </c>
      <c r="H677" s="19" t="s">
        <v>1782</v>
      </c>
    </row>
    <row r="678" customFormat="false" ht="15" hidden="false" customHeight="false" outlineLevel="0" collapsed="false">
      <c r="B678" s="9" t="s">
        <v>111</v>
      </c>
      <c r="C678" s="5" t="s">
        <v>710</v>
      </c>
      <c r="D678" s="5" t="s">
        <v>235</v>
      </c>
      <c r="E678" s="5" t="s">
        <v>836</v>
      </c>
      <c r="F678" s="9" t="s">
        <v>1671</v>
      </c>
      <c r="G678" s="19" t="s">
        <v>1783</v>
      </c>
      <c r="H678" s="19" t="s">
        <v>746</v>
      </c>
    </row>
    <row r="679" customFormat="false" ht="15" hidden="false" customHeight="false" outlineLevel="0" collapsed="false">
      <c r="B679" s="9" t="s">
        <v>111</v>
      </c>
      <c r="C679" s="5" t="s">
        <v>710</v>
      </c>
      <c r="D679" s="5" t="s">
        <v>1651</v>
      </c>
      <c r="E679" s="5" t="s">
        <v>840</v>
      </c>
      <c r="F679" s="9" t="s">
        <v>1651</v>
      </c>
      <c r="G679" s="19" t="s">
        <v>1784</v>
      </c>
      <c r="H679" s="19" t="s">
        <v>748</v>
      </c>
    </row>
    <row r="680" customFormat="false" ht="15" hidden="false" customHeight="false" outlineLevel="0" collapsed="false">
      <c r="B680" s="9" t="s">
        <v>111</v>
      </c>
      <c r="C680" s="5" t="s">
        <v>710</v>
      </c>
      <c r="D680" s="5" t="s">
        <v>1651</v>
      </c>
      <c r="E680" s="5" t="s">
        <v>1443</v>
      </c>
      <c r="F680" s="9" t="s">
        <v>1652</v>
      </c>
      <c r="G680" s="19" t="s">
        <v>1785</v>
      </c>
      <c r="H680" s="19" t="s">
        <v>750</v>
      </c>
    </row>
    <row r="681" customFormat="false" ht="15" hidden="false" customHeight="false" outlineLevel="0" collapsed="false">
      <c r="B681" s="9" t="s">
        <v>111</v>
      </c>
      <c r="C681" s="5" t="s">
        <v>710</v>
      </c>
      <c r="D681" s="5" t="s">
        <v>192</v>
      </c>
      <c r="E681" s="5" t="s">
        <v>836</v>
      </c>
      <c r="F681" s="9" t="s">
        <v>1650</v>
      </c>
      <c r="G681" s="19" t="s">
        <v>1786</v>
      </c>
      <c r="H681" s="19" t="s">
        <v>752</v>
      </c>
    </row>
    <row r="682" customFormat="false" ht="15" hidden="false" customHeight="false" outlineLevel="0" collapsed="false">
      <c r="B682" s="9" t="s">
        <v>111</v>
      </c>
      <c r="C682" s="5" t="s">
        <v>710</v>
      </c>
      <c r="D682" s="5" t="s">
        <v>192</v>
      </c>
      <c r="E682" s="5" t="s">
        <v>840</v>
      </c>
      <c r="F682" s="9" t="s">
        <v>1672</v>
      </c>
      <c r="G682" s="19" t="s">
        <v>1787</v>
      </c>
      <c r="H682" s="19" t="s">
        <v>754</v>
      </c>
    </row>
    <row r="683" customFormat="false" ht="15" hidden="false" customHeight="false" outlineLevel="0" collapsed="false">
      <c r="B683" s="9" t="s">
        <v>111</v>
      </c>
      <c r="C683" s="5" t="s">
        <v>710</v>
      </c>
      <c r="D683" s="5" t="s">
        <v>1567</v>
      </c>
      <c r="E683" s="5" t="s">
        <v>836</v>
      </c>
      <c r="F683" s="9" t="s">
        <v>1568</v>
      </c>
      <c r="G683" s="19" t="s">
        <v>1788</v>
      </c>
      <c r="H683" s="19" t="s">
        <v>756</v>
      </c>
    </row>
    <row r="684" customFormat="false" ht="15" hidden="false" customHeight="false" outlineLevel="0" collapsed="false">
      <c r="B684" s="9" t="s">
        <v>111</v>
      </c>
      <c r="C684" s="5" t="s">
        <v>710</v>
      </c>
      <c r="D684" s="5" t="s">
        <v>1655</v>
      </c>
      <c r="E684" s="5" t="s">
        <v>840</v>
      </c>
      <c r="F684" s="9" t="s">
        <v>1656</v>
      </c>
      <c r="G684" s="19" t="s">
        <v>1789</v>
      </c>
      <c r="H684" s="19" t="s">
        <v>1790</v>
      </c>
    </row>
    <row r="685" customFormat="false" ht="15" hidden="false" customHeight="false" outlineLevel="0" collapsed="false">
      <c r="B685" s="9" t="s">
        <v>111</v>
      </c>
      <c r="C685" s="5" t="s">
        <v>710</v>
      </c>
      <c r="D685" s="5" t="s">
        <v>1084</v>
      </c>
      <c r="E685" s="5" t="s">
        <v>836</v>
      </c>
      <c r="F685" s="9" t="s">
        <v>1658</v>
      </c>
      <c r="G685" s="19" t="s">
        <v>1791</v>
      </c>
      <c r="H685" s="19" t="s">
        <v>1792</v>
      </c>
    </row>
    <row r="686" customFormat="false" ht="15" hidden="false" customHeight="false" outlineLevel="0" collapsed="false">
      <c r="B686" s="9" t="s">
        <v>111</v>
      </c>
      <c r="C686" s="5" t="s">
        <v>710</v>
      </c>
      <c r="D686" s="5" t="s">
        <v>1084</v>
      </c>
      <c r="E686" s="5" t="s">
        <v>840</v>
      </c>
      <c r="F686" s="9" t="s">
        <v>1679</v>
      </c>
      <c r="G686" s="19" t="s">
        <v>1793</v>
      </c>
      <c r="H686" s="19" t="s">
        <v>1794</v>
      </c>
    </row>
    <row r="687" customFormat="false" ht="15" hidden="false" customHeight="false" outlineLevel="0" collapsed="false">
      <c r="B687" s="9" t="s">
        <v>111</v>
      </c>
      <c r="C687" s="5" t="s">
        <v>710</v>
      </c>
      <c r="D687" s="5" t="s">
        <v>1660</v>
      </c>
      <c r="E687" s="5" t="s">
        <v>836</v>
      </c>
      <c r="F687" s="9" t="s">
        <v>1661</v>
      </c>
      <c r="G687" s="19" t="s">
        <v>1795</v>
      </c>
      <c r="H687" s="19" t="s">
        <v>1796</v>
      </c>
    </row>
    <row r="688" customFormat="false" ht="15" hidden="false" customHeight="false" outlineLevel="0" collapsed="false">
      <c r="B688" s="9" t="s">
        <v>111</v>
      </c>
      <c r="C688" s="5" t="s">
        <v>710</v>
      </c>
      <c r="D688" s="5" t="s">
        <v>1660</v>
      </c>
      <c r="E688" s="5" t="s">
        <v>840</v>
      </c>
      <c r="F688" s="9" t="s">
        <v>1663</v>
      </c>
      <c r="G688" s="19" t="s">
        <v>1797</v>
      </c>
      <c r="H688" s="19" t="s">
        <v>1798</v>
      </c>
    </row>
    <row r="689" customFormat="false" ht="15" hidden="false" customHeight="false" outlineLevel="0" collapsed="false">
      <c r="B689" s="9" t="s">
        <v>111</v>
      </c>
      <c r="C689" s="5" t="s">
        <v>710</v>
      </c>
      <c r="D689" s="5" t="s">
        <v>1660</v>
      </c>
      <c r="E689" s="5" t="s">
        <v>836</v>
      </c>
      <c r="F689" s="9" t="s">
        <v>1665</v>
      </c>
      <c r="G689" s="19" t="s">
        <v>1799</v>
      </c>
      <c r="H689" s="19" t="s">
        <v>1800</v>
      </c>
    </row>
    <row r="690" customFormat="false" ht="15" hidden="false" customHeight="false" outlineLevel="0" collapsed="false">
      <c r="B690" s="9" t="s">
        <v>111</v>
      </c>
      <c r="C690" s="5" t="s">
        <v>710</v>
      </c>
      <c r="D690" s="5" t="s">
        <v>1660</v>
      </c>
      <c r="E690" s="5" t="s">
        <v>840</v>
      </c>
      <c r="F690" s="9" t="s">
        <v>1667</v>
      </c>
      <c r="G690" s="19" t="s">
        <v>1801</v>
      </c>
      <c r="H690" s="19" t="s">
        <v>1802</v>
      </c>
    </row>
    <row r="691" customFormat="false" ht="15" hidden="false" customHeight="false" outlineLevel="0" collapsed="false">
      <c r="B691" s="9" t="s">
        <v>111</v>
      </c>
      <c r="C691" s="5" t="s">
        <v>710</v>
      </c>
      <c r="D691" s="5" t="s">
        <v>1486</v>
      </c>
      <c r="E691" s="5" t="s">
        <v>836</v>
      </c>
      <c r="F691" s="9" t="s">
        <v>1669</v>
      </c>
      <c r="G691" s="19" t="s">
        <v>1803</v>
      </c>
      <c r="H691" s="19" t="s">
        <v>1804</v>
      </c>
    </row>
    <row r="692" customFormat="false" ht="22.35" hidden="false" customHeight="false" outlineLevel="0" collapsed="false">
      <c r="B692" s="9" t="s">
        <v>99</v>
      </c>
      <c r="C692" s="5" t="s">
        <v>685</v>
      </c>
      <c r="D692" s="5" t="s">
        <v>232</v>
      </c>
      <c r="E692" s="5" t="s">
        <v>840</v>
      </c>
      <c r="F692" s="9" t="s">
        <v>842</v>
      </c>
      <c r="G692" s="19" t="s">
        <v>757</v>
      </c>
      <c r="H692" s="19" t="s">
        <v>758</v>
      </c>
    </row>
    <row r="693" customFormat="false" ht="22.35" hidden="false" customHeight="false" outlineLevel="0" collapsed="false">
      <c r="B693" s="9" t="s">
        <v>99</v>
      </c>
      <c r="C693" s="5" t="s">
        <v>685</v>
      </c>
      <c r="D693" s="5" t="s">
        <v>235</v>
      </c>
      <c r="E693" s="5" t="s">
        <v>836</v>
      </c>
      <c r="F693" s="9" t="s">
        <v>1649</v>
      </c>
      <c r="G693" s="19" t="s">
        <v>759</v>
      </c>
      <c r="H693" s="19" t="s">
        <v>760</v>
      </c>
    </row>
    <row r="694" customFormat="false" ht="22.35" hidden="false" customHeight="false" outlineLevel="0" collapsed="false">
      <c r="B694" s="9" t="s">
        <v>99</v>
      </c>
      <c r="C694" s="5" t="s">
        <v>685</v>
      </c>
      <c r="D694" s="5" t="s">
        <v>192</v>
      </c>
      <c r="E694" s="5" t="s">
        <v>836</v>
      </c>
      <c r="F694" s="9" t="s">
        <v>1650</v>
      </c>
      <c r="G694" s="19" t="s">
        <v>761</v>
      </c>
      <c r="H694" s="19" t="s">
        <v>762</v>
      </c>
    </row>
    <row r="695" customFormat="false" ht="22.35" hidden="false" customHeight="false" outlineLevel="0" collapsed="false">
      <c r="B695" s="9" t="s">
        <v>99</v>
      </c>
      <c r="C695" s="5" t="s">
        <v>685</v>
      </c>
      <c r="D695" s="5" t="s">
        <v>1651</v>
      </c>
      <c r="E695" s="5" t="s">
        <v>1443</v>
      </c>
      <c r="F695" s="9" t="s">
        <v>1652</v>
      </c>
      <c r="G695" s="19" t="s">
        <v>763</v>
      </c>
      <c r="H695" s="19" t="s">
        <v>764</v>
      </c>
    </row>
    <row r="696" customFormat="false" ht="22.35" hidden="false" customHeight="false" outlineLevel="0" collapsed="false">
      <c r="B696" s="9" t="s">
        <v>99</v>
      </c>
      <c r="C696" s="5" t="s">
        <v>685</v>
      </c>
      <c r="D696" s="5" t="s">
        <v>1567</v>
      </c>
      <c r="E696" s="5" t="s">
        <v>836</v>
      </c>
      <c r="F696" s="9" t="s">
        <v>1568</v>
      </c>
      <c r="G696" s="19" t="s">
        <v>765</v>
      </c>
      <c r="H696" s="19" t="s">
        <v>1805</v>
      </c>
    </row>
    <row r="697" customFormat="false" ht="22.35" hidden="false" customHeight="false" outlineLevel="0" collapsed="false">
      <c r="B697" s="9" t="s">
        <v>99</v>
      </c>
      <c r="C697" s="5" t="s">
        <v>685</v>
      </c>
      <c r="D697" s="5" t="s">
        <v>1655</v>
      </c>
      <c r="E697" s="5" t="s">
        <v>840</v>
      </c>
      <c r="F697" s="9" t="s">
        <v>1806</v>
      </c>
      <c r="G697" s="19" t="s">
        <v>767</v>
      </c>
      <c r="H697" s="19" t="s">
        <v>1807</v>
      </c>
    </row>
    <row r="698" customFormat="false" ht="22.35" hidden="false" customHeight="false" outlineLevel="0" collapsed="false">
      <c r="B698" s="9" t="s">
        <v>99</v>
      </c>
      <c r="C698" s="5" t="s">
        <v>685</v>
      </c>
      <c r="D698" s="5" t="s">
        <v>1084</v>
      </c>
      <c r="E698" s="5" t="s">
        <v>836</v>
      </c>
      <c r="F698" s="9" t="s">
        <v>1658</v>
      </c>
      <c r="G698" s="19" t="s">
        <v>769</v>
      </c>
      <c r="H698" s="19" t="s">
        <v>1808</v>
      </c>
    </row>
    <row r="699" customFormat="false" ht="22.35" hidden="false" customHeight="false" outlineLevel="0" collapsed="false">
      <c r="B699" s="9" t="s">
        <v>99</v>
      </c>
      <c r="C699" s="5" t="s">
        <v>685</v>
      </c>
      <c r="D699" s="5" t="s">
        <v>1809</v>
      </c>
      <c r="E699" s="5" t="s">
        <v>836</v>
      </c>
      <c r="F699" s="9" t="s">
        <v>1810</v>
      </c>
      <c r="G699" s="19" t="s">
        <v>771</v>
      </c>
      <c r="H699" s="19" t="s">
        <v>1811</v>
      </c>
    </row>
    <row r="700" customFormat="false" ht="22.35" hidden="false" customHeight="false" outlineLevel="0" collapsed="false">
      <c r="B700" s="9" t="s">
        <v>99</v>
      </c>
      <c r="C700" s="5" t="s">
        <v>685</v>
      </c>
      <c r="D700" s="5" t="s">
        <v>365</v>
      </c>
      <c r="E700" s="5" t="s">
        <v>836</v>
      </c>
      <c r="F700" s="9" t="s">
        <v>1812</v>
      </c>
      <c r="G700" s="19" t="s">
        <v>773</v>
      </c>
      <c r="H700" s="19" t="s">
        <v>1813</v>
      </c>
    </row>
    <row r="701" customFormat="false" ht="22.35" hidden="false" customHeight="false" outlineLevel="0" collapsed="false">
      <c r="B701" s="9" t="s">
        <v>99</v>
      </c>
      <c r="C701" s="5" t="s">
        <v>685</v>
      </c>
      <c r="D701" s="5" t="s">
        <v>365</v>
      </c>
      <c r="E701" s="5" t="s">
        <v>853</v>
      </c>
      <c r="F701" s="9" t="s">
        <v>1814</v>
      </c>
      <c r="G701" s="19" t="s">
        <v>775</v>
      </c>
      <c r="H701" s="19" t="s">
        <v>1815</v>
      </c>
    </row>
    <row r="702" customFormat="false" ht="22.35" hidden="false" customHeight="false" outlineLevel="0" collapsed="false">
      <c r="B702" s="9" t="s">
        <v>99</v>
      </c>
      <c r="C702" s="5" t="s">
        <v>685</v>
      </c>
      <c r="D702" s="5" t="s">
        <v>1816</v>
      </c>
      <c r="E702" s="5" t="s">
        <v>836</v>
      </c>
      <c r="F702" s="9" t="s">
        <v>1817</v>
      </c>
      <c r="G702" s="19" t="s">
        <v>777</v>
      </c>
      <c r="H702" s="19" t="s">
        <v>1818</v>
      </c>
    </row>
    <row r="703" customFormat="false" ht="22.35" hidden="false" customHeight="false" outlineLevel="0" collapsed="false">
      <c r="B703" s="9" t="s">
        <v>99</v>
      </c>
      <c r="C703" s="5" t="s">
        <v>685</v>
      </c>
      <c r="D703" s="5" t="s">
        <v>1816</v>
      </c>
      <c r="E703" s="5" t="s">
        <v>836</v>
      </c>
      <c r="F703" s="9" t="s">
        <v>1819</v>
      </c>
      <c r="G703" s="19" t="s">
        <v>779</v>
      </c>
      <c r="H703" s="19" t="s">
        <v>1820</v>
      </c>
    </row>
    <row r="704" customFormat="false" ht="22.35" hidden="false" customHeight="false" outlineLevel="0" collapsed="false">
      <c r="B704" s="9" t="s">
        <v>99</v>
      </c>
      <c r="C704" s="5" t="s">
        <v>685</v>
      </c>
      <c r="D704" s="5" t="s">
        <v>1816</v>
      </c>
      <c r="E704" s="5" t="s">
        <v>836</v>
      </c>
      <c r="F704" s="9" t="s">
        <v>1821</v>
      </c>
      <c r="G704" s="19" t="s">
        <v>781</v>
      </c>
      <c r="H704" s="19" t="s">
        <v>1822</v>
      </c>
    </row>
    <row r="705" customFormat="false" ht="22.35" hidden="false" customHeight="false" outlineLevel="0" collapsed="false">
      <c r="B705" s="9" t="s">
        <v>99</v>
      </c>
      <c r="C705" s="5" t="s">
        <v>685</v>
      </c>
      <c r="D705" s="5" t="s">
        <v>1823</v>
      </c>
      <c r="E705" s="5" t="s">
        <v>836</v>
      </c>
      <c r="F705" s="9" t="s">
        <v>1824</v>
      </c>
      <c r="G705" s="19" t="s">
        <v>783</v>
      </c>
      <c r="H705" s="19" t="s">
        <v>1825</v>
      </c>
    </row>
    <row r="706" customFormat="false" ht="22.35" hidden="false" customHeight="false" outlineLevel="0" collapsed="false">
      <c r="B706" s="9" t="s">
        <v>99</v>
      </c>
      <c r="C706" s="5" t="s">
        <v>685</v>
      </c>
      <c r="D706" s="5" t="s">
        <v>1823</v>
      </c>
      <c r="E706" s="5" t="s">
        <v>836</v>
      </c>
      <c r="F706" s="9" t="s">
        <v>1826</v>
      </c>
      <c r="G706" s="19" t="s">
        <v>785</v>
      </c>
      <c r="H706" s="19" t="s">
        <v>1827</v>
      </c>
    </row>
    <row r="707" customFormat="false" ht="22.35" hidden="false" customHeight="false" outlineLevel="0" collapsed="false">
      <c r="B707" s="9" t="s">
        <v>99</v>
      </c>
      <c r="C707" s="5" t="s">
        <v>685</v>
      </c>
      <c r="D707" s="5" t="s">
        <v>1486</v>
      </c>
      <c r="E707" s="5" t="s">
        <v>836</v>
      </c>
      <c r="F707" s="9" t="s">
        <v>1828</v>
      </c>
      <c r="G707" s="19" t="s">
        <v>787</v>
      </c>
      <c r="H707" s="19" t="s">
        <v>1829</v>
      </c>
    </row>
    <row r="708" customFormat="false" ht="22.35" hidden="false" customHeight="false" outlineLevel="0" collapsed="false">
      <c r="B708" s="9" t="s">
        <v>99</v>
      </c>
      <c r="C708" s="5" t="s">
        <v>692</v>
      </c>
      <c r="D708" s="5" t="s">
        <v>232</v>
      </c>
      <c r="E708" s="5" t="s">
        <v>840</v>
      </c>
      <c r="F708" s="9" t="s">
        <v>842</v>
      </c>
      <c r="G708" s="19" t="s">
        <v>789</v>
      </c>
      <c r="H708" s="19" t="s">
        <v>766</v>
      </c>
    </row>
    <row r="709" customFormat="false" ht="22.35" hidden="false" customHeight="false" outlineLevel="0" collapsed="false">
      <c r="B709" s="9" t="s">
        <v>99</v>
      </c>
      <c r="C709" s="5" t="s">
        <v>692</v>
      </c>
      <c r="D709" s="5" t="s">
        <v>235</v>
      </c>
      <c r="E709" s="5" t="s">
        <v>836</v>
      </c>
      <c r="F709" s="9" t="s">
        <v>1671</v>
      </c>
      <c r="G709" s="19" t="s">
        <v>791</v>
      </c>
      <c r="H709" s="19" t="s">
        <v>768</v>
      </c>
    </row>
    <row r="710" customFormat="false" ht="22.35" hidden="false" customHeight="false" outlineLevel="0" collapsed="false">
      <c r="B710" s="9" t="s">
        <v>99</v>
      </c>
      <c r="C710" s="5" t="s">
        <v>692</v>
      </c>
      <c r="D710" s="5" t="s">
        <v>192</v>
      </c>
      <c r="E710" s="5" t="s">
        <v>836</v>
      </c>
      <c r="F710" s="9" t="s">
        <v>1650</v>
      </c>
      <c r="G710" s="19" t="s">
        <v>793</v>
      </c>
      <c r="H710" s="19" t="s">
        <v>770</v>
      </c>
    </row>
    <row r="711" customFormat="false" ht="22.35" hidden="false" customHeight="false" outlineLevel="0" collapsed="false">
      <c r="B711" s="9" t="s">
        <v>99</v>
      </c>
      <c r="C711" s="5" t="s">
        <v>692</v>
      </c>
      <c r="D711" s="5" t="s">
        <v>192</v>
      </c>
      <c r="E711" s="5" t="s">
        <v>840</v>
      </c>
      <c r="F711" s="9" t="s">
        <v>1672</v>
      </c>
      <c r="G711" s="19" t="s">
        <v>795</v>
      </c>
      <c r="H711" s="19" t="s">
        <v>772</v>
      </c>
    </row>
    <row r="712" customFormat="false" ht="22.35" hidden="false" customHeight="false" outlineLevel="0" collapsed="false">
      <c r="B712" s="9" t="s">
        <v>99</v>
      </c>
      <c r="C712" s="5" t="s">
        <v>692</v>
      </c>
      <c r="D712" s="5" t="s">
        <v>1651</v>
      </c>
      <c r="E712" s="5" t="s">
        <v>1443</v>
      </c>
      <c r="F712" s="9" t="s">
        <v>1652</v>
      </c>
      <c r="G712" s="19" t="s">
        <v>797</v>
      </c>
      <c r="H712" s="19" t="s">
        <v>774</v>
      </c>
    </row>
    <row r="713" customFormat="false" ht="22.35" hidden="false" customHeight="false" outlineLevel="0" collapsed="false">
      <c r="B713" s="9" t="s">
        <v>99</v>
      </c>
      <c r="C713" s="5" t="s">
        <v>692</v>
      </c>
      <c r="D713" s="5" t="s">
        <v>1567</v>
      </c>
      <c r="E713" s="5" t="s">
        <v>836</v>
      </c>
      <c r="F713" s="9" t="s">
        <v>1568</v>
      </c>
      <c r="G713" s="19" t="s">
        <v>1830</v>
      </c>
      <c r="H713" s="19" t="s">
        <v>776</v>
      </c>
    </row>
    <row r="714" customFormat="false" ht="22.35" hidden="false" customHeight="false" outlineLevel="0" collapsed="false">
      <c r="B714" s="9" t="s">
        <v>99</v>
      </c>
      <c r="C714" s="5" t="s">
        <v>692</v>
      </c>
      <c r="D714" s="5" t="s">
        <v>1655</v>
      </c>
      <c r="E714" s="5" t="s">
        <v>840</v>
      </c>
      <c r="F714" s="9" t="s">
        <v>1806</v>
      </c>
      <c r="G714" s="19" t="s">
        <v>1831</v>
      </c>
      <c r="H714" s="19" t="s">
        <v>1832</v>
      </c>
    </row>
    <row r="715" customFormat="false" ht="22.35" hidden="false" customHeight="false" outlineLevel="0" collapsed="false">
      <c r="B715" s="9" t="s">
        <v>99</v>
      </c>
      <c r="C715" s="5" t="s">
        <v>692</v>
      </c>
      <c r="D715" s="5" t="s">
        <v>1084</v>
      </c>
      <c r="E715" s="5" t="s">
        <v>836</v>
      </c>
      <c r="F715" s="9" t="s">
        <v>1658</v>
      </c>
      <c r="G715" s="19" t="s">
        <v>1833</v>
      </c>
      <c r="H715" s="19" t="s">
        <v>1834</v>
      </c>
    </row>
    <row r="716" customFormat="false" ht="22.35" hidden="false" customHeight="false" outlineLevel="0" collapsed="false">
      <c r="B716" s="9" t="s">
        <v>99</v>
      </c>
      <c r="C716" s="5" t="s">
        <v>692</v>
      </c>
      <c r="D716" s="5" t="s">
        <v>1084</v>
      </c>
      <c r="E716" s="5" t="s">
        <v>840</v>
      </c>
      <c r="F716" s="9" t="s">
        <v>1679</v>
      </c>
      <c r="G716" s="19" t="s">
        <v>1835</v>
      </c>
      <c r="H716" s="19" t="s">
        <v>1836</v>
      </c>
    </row>
    <row r="717" customFormat="false" ht="22.35" hidden="false" customHeight="false" outlineLevel="0" collapsed="false">
      <c r="B717" s="9" t="s">
        <v>99</v>
      </c>
      <c r="C717" s="5" t="s">
        <v>692</v>
      </c>
      <c r="D717" s="5" t="s">
        <v>1809</v>
      </c>
      <c r="E717" s="5" t="s">
        <v>836</v>
      </c>
      <c r="F717" s="9" t="s">
        <v>1810</v>
      </c>
      <c r="G717" s="19" t="s">
        <v>1837</v>
      </c>
      <c r="H717" s="19" t="s">
        <v>1838</v>
      </c>
    </row>
    <row r="718" customFormat="false" ht="22.35" hidden="false" customHeight="false" outlineLevel="0" collapsed="false">
      <c r="B718" s="9" t="s">
        <v>99</v>
      </c>
      <c r="C718" s="5" t="s">
        <v>692</v>
      </c>
      <c r="D718" s="5" t="s">
        <v>365</v>
      </c>
      <c r="E718" s="5" t="s">
        <v>836</v>
      </c>
      <c r="F718" s="9" t="s">
        <v>1812</v>
      </c>
      <c r="G718" s="19" t="s">
        <v>1839</v>
      </c>
      <c r="H718" s="19" t="s">
        <v>1840</v>
      </c>
    </row>
    <row r="719" customFormat="false" ht="22.35" hidden="false" customHeight="false" outlineLevel="0" collapsed="false">
      <c r="B719" s="9" t="s">
        <v>99</v>
      </c>
      <c r="C719" s="5" t="s">
        <v>692</v>
      </c>
      <c r="D719" s="5" t="s">
        <v>365</v>
      </c>
      <c r="E719" s="5" t="s">
        <v>853</v>
      </c>
      <c r="F719" s="9" t="s">
        <v>1814</v>
      </c>
      <c r="G719" s="19" t="s">
        <v>1841</v>
      </c>
      <c r="H719" s="19" t="s">
        <v>1842</v>
      </c>
    </row>
    <row r="720" customFormat="false" ht="22.35" hidden="false" customHeight="false" outlineLevel="0" collapsed="false">
      <c r="B720" s="9" t="s">
        <v>99</v>
      </c>
      <c r="C720" s="5" t="s">
        <v>692</v>
      </c>
      <c r="D720" s="5" t="s">
        <v>1816</v>
      </c>
      <c r="E720" s="5" t="s">
        <v>836</v>
      </c>
      <c r="F720" s="9" t="s">
        <v>1817</v>
      </c>
      <c r="G720" s="19" t="s">
        <v>1843</v>
      </c>
      <c r="H720" s="19" t="s">
        <v>1844</v>
      </c>
    </row>
    <row r="721" customFormat="false" ht="22.35" hidden="false" customHeight="false" outlineLevel="0" collapsed="false">
      <c r="B721" s="9" t="s">
        <v>99</v>
      </c>
      <c r="C721" s="5" t="s">
        <v>692</v>
      </c>
      <c r="D721" s="5" t="s">
        <v>1816</v>
      </c>
      <c r="E721" s="5" t="s">
        <v>836</v>
      </c>
      <c r="F721" s="9" t="s">
        <v>1819</v>
      </c>
      <c r="G721" s="19" t="s">
        <v>1845</v>
      </c>
      <c r="H721" s="19" t="s">
        <v>1846</v>
      </c>
    </row>
    <row r="722" customFormat="false" ht="22.35" hidden="false" customHeight="false" outlineLevel="0" collapsed="false">
      <c r="B722" s="9" t="s">
        <v>99</v>
      </c>
      <c r="C722" s="5" t="s">
        <v>692</v>
      </c>
      <c r="D722" s="5" t="s">
        <v>1816</v>
      </c>
      <c r="E722" s="5" t="s">
        <v>836</v>
      </c>
      <c r="F722" s="9" t="s">
        <v>1821</v>
      </c>
      <c r="G722" s="19" t="s">
        <v>1847</v>
      </c>
      <c r="H722" s="19" t="s">
        <v>1848</v>
      </c>
    </row>
    <row r="723" customFormat="false" ht="22.35" hidden="false" customHeight="false" outlineLevel="0" collapsed="false">
      <c r="B723" s="9" t="s">
        <v>99</v>
      </c>
      <c r="C723" s="5" t="s">
        <v>692</v>
      </c>
      <c r="D723" s="5" t="s">
        <v>1823</v>
      </c>
      <c r="E723" s="5" t="s">
        <v>836</v>
      </c>
      <c r="F723" s="9" t="s">
        <v>1824</v>
      </c>
      <c r="G723" s="19" t="s">
        <v>1849</v>
      </c>
      <c r="H723" s="19" t="s">
        <v>1850</v>
      </c>
    </row>
    <row r="724" customFormat="false" ht="22.35" hidden="false" customHeight="false" outlineLevel="0" collapsed="false">
      <c r="B724" s="9" t="s">
        <v>99</v>
      </c>
      <c r="C724" s="5" t="s">
        <v>692</v>
      </c>
      <c r="D724" s="5" t="s">
        <v>1823</v>
      </c>
      <c r="E724" s="5" t="s">
        <v>836</v>
      </c>
      <c r="F724" s="9" t="s">
        <v>1826</v>
      </c>
      <c r="G724" s="19" t="s">
        <v>1851</v>
      </c>
      <c r="H724" s="19" t="s">
        <v>1852</v>
      </c>
    </row>
    <row r="725" customFormat="false" ht="22.35" hidden="false" customHeight="false" outlineLevel="0" collapsed="false">
      <c r="B725" s="9" t="s">
        <v>99</v>
      </c>
      <c r="C725" s="5" t="s">
        <v>692</v>
      </c>
      <c r="D725" s="5" t="s">
        <v>1486</v>
      </c>
      <c r="E725" s="5" t="s">
        <v>836</v>
      </c>
      <c r="F725" s="9" t="s">
        <v>1828</v>
      </c>
      <c r="G725" s="19" t="s">
        <v>1853</v>
      </c>
      <c r="H725" s="19" t="s">
        <v>1854</v>
      </c>
    </row>
    <row r="726" customFormat="false" ht="22.35" hidden="false" customHeight="false" outlineLevel="0" collapsed="false">
      <c r="B726" s="9" t="s">
        <v>99</v>
      </c>
      <c r="C726" s="5" t="s">
        <v>703</v>
      </c>
      <c r="D726" s="5" t="s">
        <v>232</v>
      </c>
      <c r="E726" s="5" t="s">
        <v>840</v>
      </c>
      <c r="F726" s="9" t="s">
        <v>842</v>
      </c>
      <c r="G726" s="19" t="s">
        <v>1855</v>
      </c>
      <c r="H726" s="19" t="s">
        <v>778</v>
      </c>
    </row>
    <row r="727" customFormat="false" ht="22.35" hidden="false" customHeight="false" outlineLevel="0" collapsed="false">
      <c r="B727" s="9" t="s">
        <v>99</v>
      </c>
      <c r="C727" s="5" t="s">
        <v>703</v>
      </c>
      <c r="D727" s="5" t="s">
        <v>235</v>
      </c>
      <c r="E727" s="5" t="s">
        <v>836</v>
      </c>
      <c r="F727" s="9" t="s">
        <v>1649</v>
      </c>
      <c r="G727" s="19" t="s">
        <v>1856</v>
      </c>
      <c r="H727" s="19" t="s">
        <v>780</v>
      </c>
    </row>
    <row r="728" customFormat="false" ht="22.35" hidden="false" customHeight="false" outlineLevel="0" collapsed="false">
      <c r="B728" s="9" t="s">
        <v>99</v>
      </c>
      <c r="C728" s="5" t="s">
        <v>703</v>
      </c>
      <c r="D728" s="5" t="s">
        <v>192</v>
      </c>
      <c r="E728" s="5" t="s">
        <v>836</v>
      </c>
      <c r="F728" s="9" t="s">
        <v>1650</v>
      </c>
      <c r="G728" s="19" t="s">
        <v>1857</v>
      </c>
      <c r="H728" s="19" t="s">
        <v>782</v>
      </c>
    </row>
    <row r="729" customFormat="false" ht="22.35" hidden="false" customHeight="false" outlineLevel="0" collapsed="false">
      <c r="B729" s="9" t="s">
        <v>99</v>
      </c>
      <c r="C729" s="5" t="s">
        <v>703</v>
      </c>
      <c r="D729" s="5" t="s">
        <v>1651</v>
      </c>
      <c r="E729" s="5" t="s">
        <v>1443</v>
      </c>
      <c r="F729" s="9" t="s">
        <v>1652</v>
      </c>
      <c r="G729" s="19" t="s">
        <v>1858</v>
      </c>
      <c r="H729" s="19" t="s">
        <v>784</v>
      </c>
    </row>
    <row r="730" customFormat="false" ht="22.35" hidden="false" customHeight="false" outlineLevel="0" collapsed="false">
      <c r="B730" s="9" t="s">
        <v>99</v>
      </c>
      <c r="C730" s="5" t="s">
        <v>703</v>
      </c>
      <c r="D730" s="5" t="s">
        <v>1567</v>
      </c>
      <c r="E730" s="5" t="s">
        <v>836</v>
      </c>
      <c r="F730" s="9" t="s">
        <v>1568</v>
      </c>
      <c r="G730" s="19" t="s">
        <v>1859</v>
      </c>
      <c r="H730" s="19" t="s">
        <v>1860</v>
      </c>
    </row>
    <row r="731" customFormat="false" ht="22.35" hidden="false" customHeight="false" outlineLevel="0" collapsed="false">
      <c r="B731" s="9" t="s">
        <v>99</v>
      </c>
      <c r="C731" s="5" t="s">
        <v>703</v>
      </c>
      <c r="D731" s="5" t="s">
        <v>1655</v>
      </c>
      <c r="E731" s="5" t="s">
        <v>840</v>
      </c>
      <c r="F731" s="9" t="s">
        <v>1806</v>
      </c>
      <c r="G731" s="19" t="s">
        <v>1861</v>
      </c>
      <c r="H731" s="19" t="s">
        <v>1862</v>
      </c>
    </row>
    <row r="732" customFormat="false" ht="22.35" hidden="false" customHeight="false" outlineLevel="0" collapsed="false">
      <c r="B732" s="9" t="s">
        <v>99</v>
      </c>
      <c r="C732" s="5" t="s">
        <v>703</v>
      </c>
      <c r="D732" s="5" t="s">
        <v>1084</v>
      </c>
      <c r="E732" s="5" t="s">
        <v>836</v>
      </c>
      <c r="F732" s="9" t="s">
        <v>1658</v>
      </c>
      <c r="G732" s="19" t="s">
        <v>1863</v>
      </c>
      <c r="H732" s="19" t="s">
        <v>1864</v>
      </c>
    </row>
    <row r="733" customFormat="false" ht="22.35" hidden="false" customHeight="false" outlineLevel="0" collapsed="false">
      <c r="B733" s="9" t="s">
        <v>99</v>
      </c>
      <c r="C733" s="5" t="s">
        <v>703</v>
      </c>
      <c r="D733" s="5" t="s">
        <v>1809</v>
      </c>
      <c r="E733" s="5" t="s">
        <v>836</v>
      </c>
      <c r="F733" s="9" t="s">
        <v>1810</v>
      </c>
      <c r="G733" s="19" t="s">
        <v>1865</v>
      </c>
      <c r="H733" s="19" t="s">
        <v>1866</v>
      </c>
    </row>
    <row r="734" customFormat="false" ht="22.35" hidden="false" customHeight="false" outlineLevel="0" collapsed="false">
      <c r="B734" s="9" t="s">
        <v>99</v>
      </c>
      <c r="C734" s="5" t="s">
        <v>703</v>
      </c>
      <c r="D734" s="5" t="s">
        <v>365</v>
      </c>
      <c r="E734" s="5" t="s">
        <v>836</v>
      </c>
      <c r="F734" s="9" t="s">
        <v>1812</v>
      </c>
      <c r="G734" s="19" t="s">
        <v>1867</v>
      </c>
      <c r="H734" s="19" t="s">
        <v>1868</v>
      </c>
    </row>
    <row r="735" customFormat="false" ht="22.35" hidden="false" customHeight="false" outlineLevel="0" collapsed="false">
      <c r="B735" s="9" t="s">
        <v>99</v>
      </c>
      <c r="C735" s="5" t="s">
        <v>703</v>
      </c>
      <c r="D735" s="5" t="s">
        <v>365</v>
      </c>
      <c r="E735" s="5" t="s">
        <v>853</v>
      </c>
      <c r="F735" s="9" t="s">
        <v>1814</v>
      </c>
      <c r="G735" s="19" t="s">
        <v>1869</v>
      </c>
      <c r="H735" s="19" t="s">
        <v>1870</v>
      </c>
    </row>
    <row r="736" customFormat="false" ht="22.35" hidden="false" customHeight="false" outlineLevel="0" collapsed="false">
      <c r="B736" s="9" t="s">
        <v>99</v>
      </c>
      <c r="C736" s="5" t="s">
        <v>703</v>
      </c>
      <c r="D736" s="5" t="s">
        <v>1816</v>
      </c>
      <c r="E736" s="5" t="s">
        <v>836</v>
      </c>
      <c r="F736" s="9" t="s">
        <v>1817</v>
      </c>
      <c r="G736" s="19" t="s">
        <v>1871</v>
      </c>
      <c r="H736" s="19" t="s">
        <v>1872</v>
      </c>
    </row>
    <row r="737" customFormat="false" ht="22.35" hidden="false" customHeight="false" outlineLevel="0" collapsed="false">
      <c r="B737" s="9" t="s">
        <v>99</v>
      </c>
      <c r="C737" s="5" t="s">
        <v>703</v>
      </c>
      <c r="D737" s="5" t="s">
        <v>1816</v>
      </c>
      <c r="E737" s="5" t="s">
        <v>836</v>
      </c>
      <c r="F737" s="9" t="s">
        <v>1819</v>
      </c>
      <c r="G737" s="19" t="s">
        <v>1873</v>
      </c>
      <c r="H737" s="19" t="s">
        <v>1874</v>
      </c>
    </row>
    <row r="738" customFormat="false" ht="22.35" hidden="false" customHeight="false" outlineLevel="0" collapsed="false">
      <c r="B738" s="9" t="s">
        <v>99</v>
      </c>
      <c r="C738" s="5" t="s">
        <v>703</v>
      </c>
      <c r="D738" s="5" t="s">
        <v>1816</v>
      </c>
      <c r="E738" s="5" t="s">
        <v>836</v>
      </c>
      <c r="F738" s="9" t="s">
        <v>1821</v>
      </c>
      <c r="G738" s="19" t="s">
        <v>1875</v>
      </c>
      <c r="H738" s="19" t="s">
        <v>1876</v>
      </c>
    </row>
    <row r="739" customFormat="false" ht="22.35" hidden="false" customHeight="false" outlineLevel="0" collapsed="false">
      <c r="B739" s="9" t="s">
        <v>99</v>
      </c>
      <c r="C739" s="5" t="s">
        <v>703</v>
      </c>
      <c r="D739" s="5" t="s">
        <v>1823</v>
      </c>
      <c r="E739" s="5" t="s">
        <v>836</v>
      </c>
      <c r="F739" s="9" t="s">
        <v>1824</v>
      </c>
      <c r="G739" s="19" t="s">
        <v>1877</v>
      </c>
      <c r="H739" s="19" t="s">
        <v>1878</v>
      </c>
    </row>
    <row r="740" customFormat="false" ht="22.35" hidden="false" customHeight="false" outlineLevel="0" collapsed="false">
      <c r="B740" s="9" t="s">
        <v>99</v>
      </c>
      <c r="C740" s="5" t="s">
        <v>703</v>
      </c>
      <c r="D740" s="5" t="s">
        <v>1823</v>
      </c>
      <c r="E740" s="5" t="s">
        <v>836</v>
      </c>
      <c r="F740" s="9" t="s">
        <v>1826</v>
      </c>
      <c r="G740" s="19" t="s">
        <v>1879</v>
      </c>
      <c r="H740" s="19" t="s">
        <v>1880</v>
      </c>
    </row>
    <row r="741" customFormat="false" ht="22.35" hidden="false" customHeight="false" outlineLevel="0" collapsed="false">
      <c r="B741" s="9" t="s">
        <v>99</v>
      </c>
      <c r="C741" s="5" t="s">
        <v>703</v>
      </c>
      <c r="D741" s="5" t="s">
        <v>1486</v>
      </c>
      <c r="E741" s="5" t="s">
        <v>836</v>
      </c>
      <c r="F741" s="9" t="s">
        <v>1828</v>
      </c>
      <c r="G741" s="19" t="s">
        <v>1881</v>
      </c>
      <c r="H741" s="19" t="s">
        <v>1882</v>
      </c>
    </row>
    <row r="742" customFormat="false" ht="22.35" hidden="false" customHeight="false" outlineLevel="0" collapsed="false">
      <c r="B742" s="9" t="s">
        <v>99</v>
      </c>
      <c r="C742" s="5" t="s">
        <v>710</v>
      </c>
      <c r="D742" s="5" t="s">
        <v>235</v>
      </c>
      <c r="E742" s="5" t="s">
        <v>836</v>
      </c>
      <c r="F742" s="9" t="s">
        <v>1671</v>
      </c>
      <c r="G742" s="19" t="s">
        <v>1883</v>
      </c>
      <c r="H742" s="19" t="s">
        <v>786</v>
      </c>
    </row>
    <row r="743" customFormat="false" ht="22.35" hidden="false" customHeight="false" outlineLevel="0" collapsed="false">
      <c r="B743" s="9" t="s">
        <v>99</v>
      </c>
      <c r="C743" s="5" t="s">
        <v>710</v>
      </c>
      <c r="D743" s="5" t="s">
        <v>1651</v>
      </c>
      <c r="E743" s="5" t="s">
        <v>840</v>
      </c>
      <c r="F743" s="9" t="s">
        <v>1651</v>
      </c>
      <c r="G743" s="19" t="s">
        <v>1884</v>
      </c>
      <c r="H743" s="19" t="s">
        <v>788</v>
      </c>
    </row>
    <row r="744" customFormat="false" ht="22.35" hidden="false" customHeight="false" outlineLevel="0" collapsed="false">
      <c r="B744" s="9" t="s">
        <v>99</v>
      </c>
      <c r="C744" s="5" t="s">
        <v>710</v>
      </c>
      <c r="D744" s="5" t="s">
        <v>1651</v>
      </c>
      <c r="E744" s="5" t="s">
        <v>1443</v>
      </c>
      <c r="F744" s="9" t="s">
        <v>1652</v>
      </c>
      <c r="G744" s="19" t="s">
        <v>1885</v>
      </c>
      <c r="H744" s="19" t="s">
        <v>790</v>
      </c>
    </row>
    <row r="745" customFormat="false" ht="22.35" hidden="false" customHeight="false" outlineLevel="0" collapsed="false">
      <c r="B745" s="9" t="s">
        <v>99</v>
      </c>
      <c r="C745" s="5" t="s">
        <v>710</v>
      </c>
      <c r="D745" s="5" t="s">
        <v>192</v>
      </c>
      <c r="E745" s="5" t="s">
        <v>836</v>
      </c>
      <c r="F745" s="9" t="s">
        <v>1650</v>
      </c>
      <c r="G745" s="19" t="s">
        <v>1886</v>
      </c>
      <c r="H745" s="19" t="s">
        <v>792</v>
      </c>
    </row>
    <row r="746" customFormat="false" ht="22.35" hidden="false" customHeight="false" outlineLevel="0" collapsed="false">
      <c r="B746" s="9" t="s">
        <v>99</v>
      </c>
      <c r="C746" s="5" t="s">
        <v>710</v>
      </c>
      <c r="D746" s="5" t="s">
        <v>192</v>
      </c>
      <c r="E746" s="5" t="s">
        <v>840</v>
      </c>
      <c r="F746" s="9" t="s">
        <v>1672</v>
      </c>
      <c r="G746" s="19" t="s">
        <v>1887</v>
      </c>
      <c r="H746" s="19" t="s">
        <v>794</v>
      </c>
    </row>
    <row r="747" customFormat="false" ht="22.35" hidden="false" customHeight="false" outlineLevel="0" collapsed="false">
      <c r="B747" s="9" t="s">
        <v>99</v>
      </c>
      <c r="C747" s="5" t="s">
        <v>710</v>
      </c>
      <c r="D747" s="5" t="s">
        <v>1567</v>
      </c>
      <c r="E747" s="5" t="s">
        <v>836</v>
      </c>
      <c r="F747" s="9" t="s">
        <v>1568</v>
      </c>
      <c r="G747" s="19" t="s">
        <v>1888</v>
      </c>
      <c r="H747" s="19" t="s">
        <v>796</v>
      </c>
    </row>
    <row r="748" customFormat="false" ht="22.35" hidden="false" customHeight="false" outlineLevel="0" collapsed="false">
      <c r="B748" s="9" t="s">
        <v>99</v>
      </c>
      <c r="C748" s="5" t="s">
        <v>710</v>
      </c>
      <c r="D748" s="5" t="s">
        <v>1655</v>
      </c>
      <c r="E748" s="5" t="s">
        <v>840</v>
      </c>
      <c r="F748" s="9" t="s">
        <v>1806</v>
      </c>
      <c r="G748" s="19" t="s">
        <v>1889</v>
      </c>
      <c r="H748" s="19" t="s">
        <v>798</v>
      </c>
    </row>
    <row r="749" customFormat="false" ht="22.35" hidden="false" customHeight="false" outlineLevel="0" collapsed="false">
      <c r="B749" s="9" t="s">
        <v>99</v>
      </c>
      <c r="C749" s="5" t="s">
        <v>710</v>
      </c>
      <c r="D749" s="5" t="s">
        <v>1084</v>
      </c>
      <c r="E749" s="5" t="s">
        <v>836</v>
      </c>
      <c r="F749" s="9" t="s">
        <v>1658</v>
      </c>
      <c r="G749" s="19" t="s">
        <v>1890</v>
      </c>
      <c r="H749" s="19" t="s">
        <v>1891</v>
      </c>
    </row>
    <row r="750" customFormat="false" ht="22.35" hidden="false" customHeight="false" outlineLevel="0" collapsed="false">
      <c r="B750" s="9" t="s">
        <v>99</v>
      </c>
      <c r="C750" s="5" t="s">
        <v>710</v>
      </c>
      <c r="D750" s="5" t="s">
        <v>1084</v>
      </c>
      <c r="E750" s="5" t="s">
        <v>840</v>
      </c>
      <c r="F750" s="9" t="s">
        <v>1679</v>
      </c>
      <c r="G750" s="19" t="s">
        <v>1892</v>
      </c>
      <c r="H750" s="19" t="s">
        <v>1893</v>
      </c>
    </row>
    <row r="751" customFormat="false" ht="22.35" hidden="false" customHeight="false" outlineLevel="0" collapsed="false">
      <c r="B751" s="9" t="s">
        <v>99</v>
      </c>
      <c r="C751" s="5" t="s">
        <v>710</v>
      </c>
      <c r="D751" s="5" t="s">
        <v>1809</v>
      </c>
      <c r="E751" s="5" t="s">
        <v>836</v>
      </c>
      <c r="F751" s="9" t="s">
        <v>1810</v>
      </c>
      <c r="G751" s="19" t="s">
        <v>1894</v>
      </c>
      <c r="H751" s="19" t="s">
        <v>1895</v>
      </c>
    </row>
    <row r="752" customFormat="false" ht="22.35" hidden="false" customHeight="false" outlineLevel="0" collapsed="false">
      <c r="B752" s="9" t="s">
        <v>99</v>
      </c>
      <c r="C752" s="5" t="s">
        <v>710</v>
      </c>
      <c r="D752" s="5" t="s">
        <v>365</v>
      </c>
      <c r="E752" s="5" t="s">
        <v>836</v>
      </c>
      <c r="F752" s="9" t="s">
        <v>1812</v>
      </c>
      <c r="G752" s="19" t="s">
        <v>1896</v>
      </c>
      <c r="H752" s="19" t="s">
        <v>1897</v>
      </c>
    </row>
    <row r="753" customFormat="false" ht="22.35" hidden="false" customHeight="false" outlineLevel="0" collapsed="false">
      <c r="B753" s="9" t="s">
        <v>99</v>
      </c>
      <c r="C753" s="5" t="s">
        <v>710</v>
      </c>
      <c r="D753" s="5" t="s">
        <v>365</v>
      </c>
      <c r="E753" s="5" t="s">
        <v>853</v>
      </c>
      <c r="F753" s="9" t="s">
        <v>1814</v>
      </c>
      <c r="G753" s="19" t="s">
        <v>1898</v>
      </c>
      <c r="H753" s="19" t="s">
        <v>1899</v>
      </c>
    </row>
    <row r="754" customFormat="false" ht="22.35" hidden="false" customHeight="false" outlineLevel="0" collapsed="false">
      <c r="B754" s="9" t="s">
        <v>99</v>
      </c>
      <c r="C754" s="5" t="s">
        <v>710</v>
      </c>
      <c r="D754" s="5" t="s">
        <v>1816</v>
      </c>
      <c r="E754" s="5" t="s">
        <v>836</v>
      </c>
      <c r="F754" s="9" t="s">
        <v>1817</v>
      </c>
      <c r="G754" s="19" t="s">
        <v>1900</v>
      </c>
      <c r="H754" s="19" t="s">
        <v>1901</v>
      </c>
    </row>
    <row r="755" customFormat="false" ht="22.35" hidden="false" customHeight="false" outlineLevel="0" collapsed="false">
      <c r="B755" s="9" t="s">
        <v>99</v>
      </c>
      <c r="C755" s="5" t="s">
        <v>710</v>
      </c>
      <c r="D755" s="5" t="s">
        <v>1816</v>
      </c>
      <c r="E755" s="5" t="s">
        <v>836</v>
      </c>
      <c r="F755" s="9" t="s">
        <v>1819</v>
      </c>
      <c r="G755" s="19" t="s">
        <v>1902</v>
      </c>
      <c r="H755" s="19" t="s">
        <v>1903</v>
      </c>
    </row>
    <row r="756" customFormat="false" ht="22.35" hidden="false" customHeight="false" outlineLevel="0" collapsed="false">
      <c r="B756" s="9" t="s">
        <v>99</v>
      </c>
      <c r="C756" s="5" t="s">
        <v>710</v>
      </c>
      <c r="D756" s="5" t="s">
        <v>1816</v>
      </c>
      <c r="E756" s="5" t="s">
        <v>836</v>
      </c>
      <c r="F756" s="9" t="s">
        <v>1821</v>
      </c>
      <c r="G756" s="19" t="s">
        <v>1904</v>
      </c>
      <c r="H756" s="19" t="s">
        <v>1905</v>
      </c>
    </row>
    <row r="757" customFormat="false" ht="22.35" hidden="false" customHeight="false" outlineLevel="0" collapsed="false">
      <c r="B757" s="9" t="s">
        <v>99</v>
      </c>
      <c r="C757" s="5" t="s">
        <v>710</v>
      </c>
      <c r="D757" s="5" t="s">
        <v>1823</v>
      </c>
      <c r="E757" s="5" t="s">
        <v>836</v>
      </c>
      <c r="F757" s="9" t="s">
        <v>1824</v>
      </c>
      <c r="G757" s="19" t="s">
        <v>1906</v>
      </c>
      <c r="H757" s="19" t="s">
        <v>1907</v>
      </c>
    </row>
    <row r="758" customFormat="false" ht="22.35" hidden="false" customHeight="false" outlineLevel="0" collapsed="false">
      <c r="B758" s="9" t="s">
        <v>99</v>
      </c>
      <c r="C758" s="5" t="s">
        <v>710</v>
      </c>
      <c r="D758" s="5" t="s">
        <v>1823</v>
      </c>
      <c r="E758" s="5" t="s">
        <v>836</v>
      </c>
      <c r="F758" s="9" t="s">
        <v>1826</v>
      </c>
      <c r="G758" s="19" t="s">
        <v>1908</v>
      </c>
      <c r="H758" s="19" t="s">
        <v>1909</v>
      </c>
    </row>
    <row r="759" customFormat="false" ht="22.35" hidden="false" customHeight="false" outlineLevel="0" collapsed="false">
      <c r="B759" s="9" t="s">
        <v>99</v>
      </c>
      <c r="C759" s="5" t="s">
        <v>710</v>
      </c>
      <c r="D759" s="5" t="s">
        <v>1486</v>
      </c>
      <c r="E759" s="5" t="s">
        <v>836</v>
      </c>
      <c r="F759" s="9" t="s">
        <v>1828</v>
      </c>
      <c r="G759" s="19" t="s">
        <v>1910</v>
      </c>
      <c r="H759" s="19" t="s">
        <v>1911</v>
      </c>
    </row>
    <row r="760" customFormat="false" ht="15" hidden="false" customHeight="false" outlineLevel="0" collapsed="false">
      <c r="B760" s="9" t="s">
        <v>114</v>
      </c>
      <c r="C760" s="5" t="s">
        <v>799</v>
      </c>
      <c r="D760" s="5" t="s">
        <v>1912</v>
      </c>
      <c r="E760" s="5" t="s">
        <v>1913</v>
      </c>
      <c r="F760" s="9" t="s">
        <v>1914</v>
      </c>
      <c r="G760" s="19" t="s">
        <v>801</v>
      </c>
      <c r="H760" s="19" t="s">
        <v>802</v>
      </c>
    </row>
    <row r="761" customFormat="false" ht="15" hidden="false" customHeight="false" outlineLevel="0" collapsed="false">
      <c r="B761" s="9" t="s">
        <v>114</v>
      </c>
      <c r="C761" s="5" t="s">
        <v>799</v>
      </c>
      <c r="D761" s="5" t="s">
        <v>1912</v>
      </c>
      <c r="E761" s="5" t="s">
        <v>836</v>
      </c>
      <c r="F761" s="9" t="s">
        <v>1915</v>
      </c>
      <c r="G761" s="19" t="s">
        <v>803</v>
      </c>
      <c r="H761" s="19" t="s">
        <v>804</v>
      </c>
    </row>
    <row r="762" customFormat="false" ht="15" hidden="false" customHeight="false" outlineLevel="0" collapsed="false">
      <c r="B762" s="9" t="s">
        <v>114</v>
      </c>
      <c r="C762" s="5" t="s">
        <v>799</v>
      </c>
      <c r="D762" s="5" t="s">
        <v>1916</v>
      </c>
      <c r="E762" s="5" t="s">
        <v>836</v>
      </c>
      <c r="F762" s="9" t="s">
        <v>1917</v>
      </c>
      <c r="G762" s="19" t="s">
        <v>806</v>
      </c>
      <c r="H762" s="19" t="s">
        <v>1918</v>
      </c>
    </row>
    <row r="763" customFormat="false" ht="15" hidden="false" customHeight="false" outlineLevel="0" collapsed="false">
      <c r="B763" s="9" t="s">
        <v>114</v>
      </c>
      <c r="C763" s="5" t="s">
        <v>799</v>
      </c>
      <c r="D763" s="5" t="s">
        <v>4</v>
      </c>
      <c r="E763" s="5" t="s">
        <v>836</v>
      </c>
      <c r="F763" s="9" t="s">
        <v>1919</v>
      </c>
      <c r="G763" s="19" t="s">
        <v>808</v>
      </c>
      <c r="H763" s="19" t="s">
        <v>1920</v>
      </c>
    </row>
    <row r="764" customFormat="false" ht="15" hidden="false" customHeight="false" outlineLevel="0" collapsed="false">
      <c r="B764" s="9" t="s">
        <v>114</v>
      </c>
      <c r="C764" s="5" t="s">
        <v>799</v>
      </c>
      <c r="D764" s="5" t="s">
        <v>4</v>
      </c>
      <c r="E764" s="5" t="s">
        <v>836</v>
      </c>
      <c r="F764" s="9" t="s">
        <v>1921</v>
      </c>
      <c r="G764" s="19" t="s">
        <v>810</v>
      </c>
      <c r="H764" s="19" t="s">
        <v>1922</v>
      </c>
    </row>
    <row r="765" customFormat="false" ht="15" hidden="false" customHeight="false" outlineLevel="0" collapsed="false">
      <c r="B765" s="9" t="s">
        <v>114</v>
      </c>
      <c r="C765" s="5" t="s">
        <v>799</v>
      </c>
      <c r="D765" s="5" t="s">
        <v>800</v>
      </c>
      <c r="E765" s="5" t="s">
        <v>836</v>
      </c>
      <c r="F765" s="9" t="s">
        <v>856</v>
      </c>
      <c r="G765" s="19" t="s">
        <v>1923</v>
      </c>
      <c r="H765" s="19" t="s">
        <v>1924</v>
      </c>
    </row>
    <row r="766" customFormat="false" ht="15" hidden="false" customHeight="false" outlineLevel="0" collapsed="false">
      <c r="B766" s="9" t="s">
        <v>114</v>
      </c>
      <c r="C766" s="5" t="s">
        <v>799</v>
      </c>
      <c r="D766" s="5" t="s">
        <v>800</v>
      </c>
      <c r="E766" s="5" t="s">
        <v>840</v>
      </c>
      <c r="F766" s="9" t="s">
        <v>1925</v>
      </c>
      <c r="G766" s="19" t="s">
        <v>1926</v>
      </c>
      <c r="H766" s="19" t="s">
        <v>1927</v>
      </c>
    </row>
    <row r="767" customFormat="false" ht="15" hidden="false" customHeight="false" outlineLevel="0" collapsed="false">
      <c r="B767" s="9" t="s">
        <v>114</v>
      </c>
      <c r="C767" s="5" t="s">
        <v>799</v>
      </c>
      <c r="D767" s="5" t="s">
        <v>232</v>
      </c>
      <c r="E767" s="5" t="s">
        <v>840</v>
      </c>
      <c r="F767" s="9" t="s">
        <v>1928</v>
      </c>
      <c r="G767" s="19" t="s">
        <v>1929</v>
      </c>
      <c r="H767" s="19" t="s">
        <v>1930</v>
      </c>
    </row>
    <row r="768" customFormat="false" ht="15" hidden="false" customHeight="false" outlineLevel="0" collapsed="false">
      <c r="B768" s="9" t="s">
        <v>114</v>
      </c>
      <c r="C768" s="5" t="s">
        <v>799</v>
      </c>
      <c r="D768" s="5" t="s">
        <v>1931</v>
      </c>
      <c r="E768" s="5" t="s">
        <v>836</v>
      </c>
      <c r="F768" s="9" t="s">
        <v>1932</v>
      </c>
      <c r="G768" s="19" t="s">
        <v>1933</v>
      </c>
      <c r="H768" s="19" t="s">
        <v>1934</v>
      </c>
    </row>
    <row r="769" customFormat="false" ht="15" hidden="false" customHeight="false" outlineLevel="0" collapsed="false">
      <c r="B769" s="9" t="s">
        <v>114</v>
      </c>
      <c r="C769" s="5" t="s">
        <v>799</v>
      </c>
      <c r="D769" s="5" t="s">
        <v>1935</v>
      </c>
      <c r="E769" s="5" t="s">
        <v>836</v>
      </c>
      <c r="F769" s="9" t="s">
        <v>1936</v>
      </c>
      <c r="G769" s="19" t="s">
        <v>1937</v>
      </c>
      <c r="H769" s="19" t="s">
        <v>1938</v>
      </c>
    </row>
    <row r="770" customFormat="false" ht="15" hidden="false" customHeight="false" outlineLevel="0" collapsed="false">
      <c r="B770" s="9" t="s">
        <v>114</v>
      </c>
      <c r="C770" s="5" t="s">
        <v>799</v>
      </c>
      <c r="D770" s="5" t="s">
        <v>883</v>
      </c>
      <c r="E770" s="5" t="s">
        <v>836</v>
      </c>
      <c r="F770" s="9" t="s">
        <v>1939</v>
      </c>
      <c r="G770" s="19" t="s">
        <v>1940</v>
      </c>
      <c r="H770" s="19" t="s">
        <v>1941</v>
      </c>
    </row>
    <row r="771" customFormat="false" ht="15" hidden="false" customHeight="false" outlineLevel="0" collapsed="false">
      <c r="B771" s="9" t="s">
        <v>114</v>
      </c>
      <c r="C771" s="5" t="s">
        <v>799</v>
      </c>
      <c r="D771" s="5" t="s">
        <v>1486</v>
      </c>
      <c r="E771" s="5" t="s">
        <v>836</v>
      </c>
      <c r="F771" s="9" t="s">
        <v>1942</v>
      </c>
      <c r="G771" s="19" t="s">
        <v>1943</v>
      </c>
      <c r="H771" s="19" t="s">
        <v>1944</v>
      </c>
    </row>
    <row r="772" customFormat="false" ht="15" hidden="false" customHeight="false" outlineLevel="0" collapsed="false">
      <c r="B772" s="9" t="s">
        <v>114</v>
      </c>
      <c r="C772" s="5" t="s">
        <v>805</v>
      </c>
      <c r="D772" s="5" t="s">
        <v>1912</v>
      </c>
      <c r="E772" s="5" t="s">
        <v>1913</v>
      </c>
      <c r="F772" s="9" t="s">
        <v>1914</v>
      </c>
      <c r="G772" s="19" t="s">
        <v>1945</v>
      </c>
      <c r="H772" s="19" t="s">
        <v>807</v>
      </c>
    </row>
    <row r="773" customFormat="false" ht="15" hidden="false" customHeight="false" outlineLevel="0" collapsed="false">
      <c r="B773" s="9" t="s">
        <v>114</v>
      </c>
      <c r="C773" s="5" t="s">
        <v>805</v>
      </c>
      <c r="D773" s="5" t="s">
        <v>1912</v>
      </c>
      <c r="E773" s="5" t="s">
        <v>836</v>
      </c>
      <c r="F773" s="9" t="s">
        <v>1915</v>
      </c>
      <c r="G773" s="19" t="s">
        <v>1946</v>
      </c>
      <c r="H773" s="19" t="s">
        <v>809</v>
      </c>
    </row>
    <row r="774" customFormat="false" ht="15" hidden="false" customHeight="false" outlineLevel="0" collapsed="false">
      <c r="B774" s="9" t="s">
        <v>114</v>
      </c>
      <c r="C774" s="5" t="s">
        <v>805</v>
      </c>
      <c r="D774" s="5" t="s">
        <v>1916</v>
      </c>
      <c r="E774" s="5" t="s">
        <v>836</v>
      </c>
      <c r="F774" s="9" t="s">
        <v>1917</v>
      </c>
      <c r="G774" s="19" t="s">
        <v>1947</v>
      </c>
      <c r="H774" s="19" t="s">
        <v>811</v>
      </c>
    </row>
    <row r="775" customFormat="false" ht="15" hidden="false" customHeight="false" outlineLevel="0" collapsed="false">
      <c r="B775" s="9" t="s">
        <v>114</v>
      </c>
      <c r="C775" s="5" t="s">
        <v>805</v>
      </c>
      <c r="D775" s="5" t="s">
        <v>4</v>
      </c>
      <c r="E775" s="5" t="s">
        <v>836</v>
      </c>
      <c r="F775" s="9" t="s">
        <v>1919</v>
      </c>
      <c r="G775" s="19" t="s">
        <v>1948</v>
      </c>
      <c r="H775" s="19" t="s">
        <v>1949</v>
      </c>
    </row>
    <row r="776" customFormat="false" ht="15" hidden="false" customHeight="false" outlineLevel="0" collapsed="false">
      <c r="B776" s="9" t="s">
        <v>114</v>
      </c>
      <c r="C776" s="5" t="s">
        <v>805</v>
      </c>
      <c r="D776" s="5" t="s">
        <v>4</v>
      </c>
      <c r="E776" s="5" t="s">
        <v>836</v>
      </c>
      <c r="F776" s="9" t="s">
        <v>1921</v>
      </c>
      <c r="G776" s="19" t="s">
        <v>1950</v>
      </c>
      <c r="H776" s="19" t="s">
        <v>1951</v>
      </c>
    </row>
    <row r="777" customFormat="false" ht="15" hidden="false" customHeight="false" outlineLevel="0" collapsed="false">
      <c r="B777" s="9" t="s">
        <v>114</v>
      </c>
      <c r="C777" s="5" t="s">
        <v>805</v>
      </c>
      <c r="D777" s="5" t="s">
        <v>800</v>
      </c>
      <c r="E777" s="5" t="s">
        <v>836</v>
      </c>
      <c r="F777" s="9" t="s">
        <v>856</v>
      </c>
      <c r="G777" s="19" t="s">
        <v>1952</v>
      </c>
      <c r="H777" s="19" t="s">
        <v>1953</v>
      </c>
    </row>
    <row r="778" customFormat="false" ht="15" hidden="false" customHeight="false" outlineLevel="0" collapsed="false">
      <c r="B778" s="9" t="s">
        <v>114</v>
      </c>
      <c r="C778" s="5" t="s">
        <v>805</v>
      </c>
      <c r="D778" s="5" t="s">
        <v>800</v>
      </c>
      <c r="E778" s="5" t="s">
        <v>840</v>
      </c>
      <c r="F778" s="9" t="s">
        <v>1925</v>
      </c>
      <c r="G778" s="19" t="s">
        <v>1954</v>
      </c>
      <c r="H778" s="19" t="s">
        <v>1955</v>
      </c>
    </row>
    <row r="779" customFormat="false" ht="15" hidden="false" customHeight="false" outlineLevel="0" collapsed="false">
      <c r="B779" s="9" t="s">
        <v>114</v>
      </c>
      <c r="C779" s="5" t="s">
        <v>805</v>
      </c>
      <c r="D779" s="5" t="s">
        <v>1931</v>
      </c>
      <c r="E779" s="5" t="s">
        <v>836</v>
      </c>
      <c r="F779" s="9" t="s">
        <v>1932</v>
      </c>
      <c r="G779" s="19" t="s">
        <v>1956</v>
      </c>
      <c r="H779" s="19" t="s">
        <v>1957</v>
      </c>
    </row>
    <row r="780" customFormat="false" ht="15" hidden="false" customHeight="false" outlineLevel="0" collapsed="false">
      <c r="B780" s="9" t="s">
        <v>114</v>
      </c>
      <c r="C780" s="5" t="s">
        <v>805</v>
      </c>
      <c r="D780" s="5" t="s">
        <v>1935</v>
      </c>
      <c r="E780" s="5" t="s">
        <v>836</v>
      </c>
      <c r="F780" s="9" t="s">
        <v>1936</v>
      </c>
      <c r="G780" s="19" t="s">
        <v>1958</v>
      </c>
      <c r="H780" s="19" t="s">
        <v>1959</v>
      </c>
    </row>
    <row r="781" customFormat="false" ht="15" hidden="false" customHeight="false" outlineLevel="0" collapsed="false">
      <c r="B781" s="9" t="s">
        <v>114</v>
      </c>
      <c r="C781" s="5" t="s">
        <v>805</v>
      </c>
      <c r="D781" s="5" t="s">
        <v>883</v>
      </c>
      <c r="E781" s="5" t="s">
        <v>836</v>
      </c>
      <c r="F781" s="9" t="s">
        <v>1939</v>
      </c>
      <c r="G781" s="19" t="s">
        <v>1960</v>
      </c>
      <c r="H781" s="19" t="s">
        <v>1961</v>
      </c>
    </row>
    <row r="782" customFormat="false" ht="15" hidden="false" customHeight="false" outlineLevel="0" collapsed="false">
      <c r="B782" s="9" t="s">
        <v>114</v>
      </c>
      <c r="C782" s="5" t="s">
        <v>805</v>
      </c>
      <c r="D782" s="5" t="s">
        <v>1486</v>
      </c>
      <c r="E782" s="5" t="s">
        <v>836</v>
      </c>
      <c r="F782" s="9" t="s">
        <v>1942</v>
      </c>
      <c r="G782" s="19" t="s">
        <v>1962</v>
      </c>
      <c r="H782" s="19" t="s">
        <v>1963</v>
      </c>
    </row>
    <row r="783" customFormat="false" ht="15" hidden="false" customHeight="false" outlineLevel="0" collapsed="false">
      <c r="B783" s="9" t="s">
        <v>118</v>
      </c>
      <c r="C783" s="5" t="s">
        <v>799</v>
      </c>
      <c r="D783" s="5" t="s">
        <v>1912</v>
      </c>
      <c r="E783" s="5" t="s">
        <v>1913</v>
      </c>
      <c r="F783" s="9" t="s">
        <v>1914</v>
      </c>
      <c r="G783" s="19" t="s">
        <v>812</v>
      </c>
      <c r="H783" s="19" t="s">
        <v>813</v>
      </c>
    </row>
    <row r="784" customFormat="false" ht="15" hidden="false" customHeight="false" outlineLevel="0" collapsed="false">
      <c r="B784" s="9" t="s">
        <v>118</v>
      </c>
      <c r="C784" s="5" t="s">
        <v>799</v>
      </c>
      <c r="D784" s="5" t="s">
        <v>1912</v>
      </c>
      <c r="E784" s="5" t="s">
        <v>836</v>
      </c>
      <c r="F784" s="9" t="s">
        <v>1915</v>
      </c>
      <c r="G784" s="19" t="s">
        <v>814</v>
      </c>
      <c r="H784" s="19" t="s">
        <v>815</v>
      </c>
    </row>
    <row r="785" customFormat="false" ht="15" hidden="false" customHeight="false" outlineLevel="0" collapsed="false">
      <c r="B785" s="9" t="s">
        <v>118</v>
      </c>
      <c r="C785" s="5" t="s">
        <v>799</v>
      </c>
      <c r="D785" s="5" t="s">
        <v>1916</v>
      </c>
      <c r="E785" s="5" t="s">
        <v>836</v>
      </c>
      <c r="F785" s="9" t="s">
        <v>1917</v>
      </c>
      <c r="G785" s="19" t="s">
        <v>816</v>
      </c>
      <c r="H785" s="19" t="s">
        <v>1964</v>
      </c>
    </row>
    <row r="786" customFormat="false" ht="15" hidden="false" customHeight="false" outlineLevel="0" collapsed="false">
      <c r="B786" s="9" t="s">
        <v>118</v>
      </c>
      <c r="C786" s="5" t="s">
        <v>799</v>
      </c>
      <c r="D786" s="5" t="s">
        <v>4</v>
      </c>
      <c r="E786" s="5" t="s">
        <v>836</v>
      </c>
      <c r="F786" s="9" t="s">
        <v>1919</v>
      </c>
      <c r="G786" s="19" t="s">
        <v>818</v>
      </c>
      <c r="H786" s="19" t="s">
        <v>1965</v>
      </c>
    </row>
    <row r="787" customFormat="false" ht="15" hidden="false" customHeight="false" outlineLevel="0" collapsed="false">
      <c r="B787" s="9" t="s">
        <v>118</v>
      </c>
      <c r="C787" s="5" t="s">
        <v>799</v>
      </c>
      <c r="D787" s="5" t="s">
        <v>4</v>
      </c>
      <c r="E787" s="5" t="s">
        <v>836</v>
      </c>
      <c r="F787" s="9" t="s">
        <v>1921</v>
      </c>
      <c r="G787" s="19" t="s">
        <v>820</v>
      </c>
      <c r="H787" s="19" t="s">
        <v>1966</v>
      </c>
    </row>
    <row r="788" customFormat="false" ht="15" hidden="false" customHeight="false" outlineLevel="0" collapsed="false">
      <c r="B788" s="9" t="s">
        <v>118</v>
      </c>
      <c r="C788" s="5" t="s">
        <v>799</v>
      </c>
      <c r="D788" s="5" t="s">
        <v>4</v>
      </c>
      <c r="E788" s="5" t="s">
        <v>836</v>
      </c>
      <c r="F788" s="9" t="s">
        <v>1967</v>
      </c>
      <c r="G788" s="19" t="s">
        <v>823</v>
      </c>
      <c r="H788" s="19" t="s">
        <v>1968</v>
      </c>
    </row>
    <row r="789" customFormat="false" ht="15" hidden="false" customHeight="false" outlineLevel="0" collapsed="false">
      <c r="B789" s="9" t="s">
        <v>118</v>
      </c>
      <c r="C789" s="5" t="s">
        <v>799</v>
      </c>
      <c r="D789" s="5" t="s">
        <v>800</v>
      </c>
      <c r="E789" s="5" t="s">
        <v>836</v>
      </c>
      <c r="F789" s="9" t="s">
        <v>1969</v>
      </c>
      <c r="G789" s="19" t="s">
        <v>825</v>
      </c>
      <c r="H789" s="19" t="s">
        <v>1970</v>
      </c>
    </row>
    <row r="790" customFormat="false" ht="15" hidden="false" customHeight="false" outlineLevel="0" collapsed="false">
      <c r="B790" s="9" t="s">
        <v>118</v>
      </c>
      <c r="C790" s="5" t="s">
        <v>799</v>
      </c>
      <c r="D790" s="5" t="s">
        <v>800</v>
      </c>
      <c r="E790" s="5" t="s">
        <v>840</v>
      </c>
      <c r="F790" s="9" t="s">
        <v>1971</v>
      </c>
      <c r="G790" s="19" t="s">
        <v>828</v>
      </c>
      <c r="H790" s="19" t="s">
        <v>1972</v>
      </c>
    </row>
    <row r="791" customFormat="false" ht="15" hidden="false" customHeight="false" outlineLevel="0" collapsed="false">
      <c r="B791" s="9" t="s">
        <v>118</v>
      </c>
      <c r="C791" s="5" t="s">
        <v>799</v>
      </c>
      <c r="D791" s="5" t="s">
        <v>800</v>
      </c>
      <c r="E791" s="5" t="s">
        <v>1443</v>
      </c>
      <c r="F791" s="9" t="s">
        <v>1973</v>
      </c>
      <c r="G791" s="19" t="s">
        <v>830</v>
      </c>
      <c r="H791" s="19" t="s">
        <v>1974</v>
      </c>
    </row>
    <row r="792" customFormat="false" ht="15" hidden="false" customHeight="false" outlineLevel="0" collapsed="false">
      <c r="B792" s="9" t="s">
        <v>118</v>
      </c>
      <c r="C792" s="5" t="s">
        <v>799</v>
      </c>
      <c r="D792" s="5" t="s">
        <v>232</v>
      </c>
      <c r="E792" s="5" t="s">
        <v>840</v>
      </c>
      <c r="F792" s="9" t="s">
        <v>1975</v>
      </c>
      <c r="G792" s="19" t="s">
        <v>832</v>
      </c>
      <c r="H792" s="19" t="s">
        <v>1976</v>
      </c>
    </row>
    <row r="793" customFormat="false" ht="15" hidden="false" customHeight="false" outlineLevel="0" collapsed="false">
      <c r="B793" s="9" t="s">
        <v>118</v>
      </c>
      <c r="C793" s="5" t="s">
        <v>799</v>
      </c>
      <c r="D793" s="5" t="s">
        <v>365</v>
      </c>
      <c r="E793" s="5" t="s">
        <v>836</v>
      </c>
      <c r="F793" s="9" t="s">
        <v>1977</v>
      </c>
      <c r="G793" s="19" t="s">
        <v>834</v>
      </c>
      <c r="H793" s="19" t="s">
        <v>1978</v>
      </c>
    </row>
    <row r="794" customFormat="false" ht="15" hidden="false" customHeight="false" outlineLevel="0" collapsed="false">
      <c r="B794" s="9" t="s">
        <v>118</v>
      </c>
      <c r="C794" s="5" t="s">
        <v>799</v>
      </c>
      <c r="D794" s="5" t="s">
        <v>365</v>
      </c>
      <c r="E794" s="5" t="s">
        <v>836</v>
      </c>
      <c r="F794" s="9" t="s">
        <v>1979</v>
      </c>
      <c r="G794" s="19" t="s">
        <v>1980</v>
      </c>
      <c r="H794" s="19" t="s">
        <v>1981</v>
      </c>
    </row>
    <row r="795" customFormat="false" ht="15" hidden="false" customHeight="false" outlineLevel="0" collapsed="false">
      <c r="B795" s="9" t="s">
        <v>118</v>
      </c>
      <c r="C795" s="5" t="s">
        <v>799</v>
      </c>
      <c r="D795" s="5" t="s">
        <v>365</v>
      </c>
      <c r="E795" s="5" t="s">
        <v>836</v>
      </c>
      <c r="F795" s="9" t="s">
        <v>1982</v>
      </c>
      <c r="G795" s="19" t="s">
        <v>1983</v>
      </c>
      <c r="H795" s="19" t="s">
        <v>1984</v>
      </c>
    </row>
    <row r="796" customFormat="false" ht="15" hidden="false" customHeight="false" outlineLevel="0" collapsed="false">
      <c r="B796" s="9" t="s">
        <v>118</v>
      </c>
      <c r="C796" s="5" t="s">
        <v>799</v>
      </c>
      <c r="D796" s="5" t="s">
        <v>1931</v>
      </c>
      <c r="E796" s="5" t="s">
        <v>836</v>
      </c>
      <c r="F796" s="9" t="s">
        <v>1985</v>
      </c>
      <c r="G796" s="19" t="s">
        <v>1986</v>
      </c>
      <c r="H796" s="19" t="s">
        <v>1987</v>
      </c>
    </row>
    <row r="797" customFormat="false" ht="15" hidden="false" customHeight="false" outlineLevel="0" collapsed="false">
      <c r="B797" s="9" t="s">
        <v>118</v>
      </c>
      <c r="C797" s="5" t="s">
        <v>799</v>
      </c>
      <c r="D797" s="5" t="s">
        <v>1935</v>
      </c>
      <c r="E797" s="5" t="s">
        <v>836</v>
      </c>
      <c r="F797" s="9" t="s">
        <v>1988</v>
      </c>
      <c r="G797" s="19" t="s">
        <v>1989</v>
      </c>
      <c r="H797" s="19" t="s">
        <v>1990</v>
      </c>
    </row>
    <row r="798" customFormat="false" ht="15" hidden="false" customHeight="false" outlineLevel="0" collapsed="false">
      <c r="B798" s="9" t="s">
        <v>118</v>
      </c>
      <c r="C798" s="5" t="s">
        <v>799</v>
      </c>
      <c r="D798" s="5" t="s">
        <v>1935</v>
      </c>
      <c r="E798" s="5" t="s">
        <v>836</v>
      </c>
      <c r="F798" s="9" t="s">
        <v>1991</v>
      </c>
      <c r="G798" s="19" t="s">
        <v>1992</v>
      </c>
      <c r="H798" s="19" t="s">
        <v>1993</v>
      </c>
    </row>
    <row r="799" customFormat="false" ht="15" hidden="false" customHeight="false" outlineLevel="0" collapsed="false">
      <c r="B799" s="9" t="s">
        <v>118</v>
      </c>
      <c r="C799" s="5" t="s">
        <v>799</v>
      </c>
      <c r="D799" s="5" t="s">
        <v>883</v>
      </c>
      <c r="E799" s="5" t="s">
        <v>836</v>
      </c>
      <c r="F799" s="9" t="s">
        <v>1994</v>
      </c>
      <c r="G799" s="19" t="s">
        <v>1995</v>
      </c>
      <c r="H799" s="19" t="s">
        <v>1996</v>
      </c>
    </row>
    <row r="800" customFormat="false" ht="15" hidden="false" customHeight="false" outlineLevel="0" collapsed="false">
      <c r="B800" s="9" t="s">
        <v>118</v>
      </c>
      <c r="C800" s="5" t="s">
        <v>799</v>
      </c>
      <c r="D800" s="5" t="s">
        <v>1486</v>
      </c>
      <c r="E800" s="5" t="s">
        <v>836</v>
      </c>
      <c r="F800" s="9" t="s">
        <v>1997</v>
      </c>
      <c r="G800" s="19" t="s">
        <v>1998</v>
      </c>
      <c r="H800" s="19" t="s">
        <v>1999</v>
      </c>
    </row>
    <row r="801" customFormat="false" ht="15" hidden="false" customHeight="false" outlineLevel="0" collapsed="false">
      <c r="B801" s="9" t="s">
        <v>118</v>
      </c>
      <c r="C801" s="5" t="s">
        <v>805</v>
      </c>
      <c r="D801" s="5" t="s">
        <v>1912</v>
      </c>
      <c r="E801" s="5" t="s">
        <v>1913</v>
      </c>
      <c r="F801" s="9" t="s">
        <v>1914</v>
      </c>
      <c r="G801" s="19" t="s">
        <v>2000</v>
      </c>
      <c r="H801" s="19" t="s">
        <v>817</v>
      </c>
    </row>
    <row r="802" customFormat="false" ht="15" hidden="false" customHeight="false" outlineLevel="0" collapsed="false">
      <c r="B802" s="9" t="s">
        <v>118</v>
      </c>
      <c r="C802" s="5" t="s">
        <v>805</v>
      </c>
      <c r="D802" s="5" t="s">
        <v>1912</v>
      </c>
      <c r="E802" s="5" t="s">
        <v>836</v>
      </c>
      <c r="F802" s="9" t="s">
        <v>1915</v>
      </c>
      <c r="G802" s="19" t="s">
        <v>2001</v>
      </c>
      <c r="H802" s="19" t="s">
        <v>819</v>
      </c>
    </row>
    <row r="803" customFormat="false" ht="15" hidden="false" customHeight="false" outlineLevel="0" collapsed="false">
      <c r="B803" s="9" t="s">
        <v>118</v>
      </c>
      <c r="C803" s="5" t="s">
        <v>805</v>
      </c>
      <c r="D803" s="5" t="s">
        <v>1916</v>
      </c>
      <c r="E803" s="5" t="s">
        <v>836</v>
      </c>
      <c r="F803" s="9" t="s">
        <v>1917</v>
      </c>
      <c r="G803" s="19" t="s">
        <v>2002</v>
      </c>
      <c r="H803" s="19" t="s">
        <v>821</v>
      </c>
    </row>
    <row r="804" customFormat="false" ht="15" hidden="false" customHeight="false" outlineLevel="0" collapsed="false">
      <c r="B804" s="9" t="s">
        <v>118</v>
      </c>
      <c r="C804" s="5" t="s">
        <v>805</v>
      </c>
      <c r="D804" s="5" t="s">
        <v>4</v>
      </c>
      <c r="E804" s="5" t="s">
        <v>836</v>
      </c>
      <c r="F804" s="9" t="s">
        <v>1919</v>
      </c>
      <c r="G804" s="19" t="s">
        <v>2003</v>
      </c>
      <c r="H804" s="19" t="s">
        <v>2004</v>
      </c>
    </row>
    <row r="805" customFormat="false" ht="15" hidden="false" customHeight="false" outlineLevel="0" collapsed="false">
      <c r="B805" s="9" t="s">
        <v>118</v>
      </c>
      <c r="C805" s="5" t="s">
        <v>805</v>
      </c>
      <c r="D805" s="5" t="s">
        <v>4</v>
      </c>
      <c r="E805" s="5" t="s">
        <v>836</v>
      </c>
      <c r="F805" s="9" t="s">
        <v>1921</v>
      </c>
      <c r="G805" s="19" t="s">
        <v>2005</v>
      </c>
      <c r="H805" s="19" t="s">
        <v>2006</v>
      </c>
    </row>
    <row r="806" customFormat="false" ht="15" hidden="false" customHeight="false" outlineLevel="0" collapsed="false">
      <c r="B806" s="9" t="s">
        <v>118</v>
      </c>
      <c r="C806" s="5" t="s">
        <v>805</v>
      </c>
      <c r="D806" s="5" t="s">
        <v>4</v>
      </c>
      <c r="E806" s="5" t="s">
        <v>836</v>
      </c>
      <c r="F806" s="9" t="s">
        <v>1967</v>
      </c>
      <c r="G806" s="19" t="s">
        <v>2007</v>
      </c>
      <c r="H806" s="19" t="s">
        <v>2008</v>
      </c>
    </row>
    <row r="807" customFormat="false" ht="15" hidden="false" customHeight="false" outlineLevel="0" collapsed="false">
      <c r="B807" s="9" t="s">
        <v>118</v>
      </c>
      <c r="C807" s="5" t="s">
        <v>805</v>
      </c>
      <c r="D807" s="5" t="s">
        <v>800</v>
      </c>
      <c r="E807" s="5" t="s">
        <v>836</v>
      </c>
      <c r="F807" s="9" t="s">
        <v>1969</v>
      </c>
      <c r="G807" s="19" t="s">
        <v>2009</v>
      </c>
      <c r="H807" s="19" t="s">
        <v>2010</v>
      </c>
    </row>
    <row r="808" customFormat="false" ht="15" hidden="false" customHeight="false" outlineLevel="0" collapsed="false">
      <c r="B808" s="9" t="s">
        <v>118</v>
      </c>
      <c r="C808" s="5" t="s">
        <v>805</v>
      </c>
      <c r="D808" s="5" t="s">
        <v>800</v>
      </c>
      <c r="E808" s="5" t="s">
        <v>840</v>
      </c>
      <c r="F808" s="9" t="s">
        <v>1971</v>
      </c>
      <c r="G808" s="19" t="s">
        <v>2011</v>
      </c>
      <c r="H808" s="19" t="s">
        <v>2012</v>
      </c>
    </row>
    <row r="809" customFormat="false" ht="15" hidden="false" customHeight="false" outlineLevel="0" collapsed="false">
      <c r="B809" s="9" t="s">
        <v>118</v>
      </c>
      <c r="C809" s="5" t="s">
        <v>805</v>
      </c>
      <c r="D809" s="5" t="s">
        <v>800</v>
      </c>
      <c r="E809" s="5" t="s">
        <v>1443</v>
      </c>
      <c r="F809" s="9" t="s">
        <v>1973</v>
      </c>
      <c r="G809" s="19" t="s">
        <v>2013</v>
      </c>
      <c r="H809" s="19" t="s">
        <v>2014</v>
      </c>
    </row>
    <row r="810" customFormat="false" ht="15" hidden="false" customHeight="false" outlineLevel="0" collapsed="false">
      <c r="B810" s="9" t="s">
        <v>118</v>
      </c>
      <c r="C810" s="5" t="s">
        <v>805</v>
      </c>
      <c r="D810" s="5" t="s">
        <v>365</v>
      </c>
      <c r="E810" s="5" t="s">
        <v>836</v>
      </c>
      <c r="F810" s="9" t="s">
        <v>1977</v>
      </c>
      <c r="G810" s="19" t="s">
        <v>2015</v>
      </c>
      <c r="H810" s="19" t="s">
        <v>2016</v>
      </c>
    </row>
    <row r="811" customFormat="false" ht="15" hidden="false" customHeight="false" outlineLevel="0" collapsed="false">
      <c r="B811" s="9" t="s">
        <v>118</v>
      </c>
      <c r="C811" s="5" t="s">
        <v>805</v>
      </c>
      <c r="D811" s="5" t="s">
        <v>365</v>
      </c>
      <c r="E811" s="5" t="s">
        <v>836</v>
      </c>
      <c r="F811" s="9" t="s">
        <v>1979</v>
      </c>
      <c r="G811" s="19" t="s">
        <v>2017</v>
      </c>
      <c r="H811" s="19" t="s">
        <v>2018</v>
      </c>
    </row>
    <row r="812" customFormat="false" ht="15" hidden="false" customHeight="false" outlineLevel="0" collapsed="false">
      <c r="B812" s="9" t="s">
        <v>118</v>
      </c>
      <c r="C812" s="5" t="s">
        <v>805</v>
      </c>
      <c r="D812" s="5" t="s">
        <v>365</v>
      </c>
      <c r="E812" s="5" t="s">
        <v>836</v>
      </c>
      <c r="F812" s="9" t="s">
        <v>1982</v>
      </c>
      <c r="G812" s="19" t="s">
        <v>2019</v>
      </c>
      <c r="H812" s="19" t="s">
        <v>2020</v>
      </c>
    </row>
    <row r="813" customFormat="false" ht="15" hidden="false" customHeight="false" outlineLevel="0" collapsed="false">
      <c r="B813" s="9" t="s">
        <v>118</v>
      </c>
      <c r="C813" s="5" t="s">
        <v>805</v>
      </c>
      <c r="D813" s="5" t="s">
        <v>1931</v>
      </c>
      <c r="E813" s="5" t="s">
        <v>836</v>
      </c>
      <c r="F813" s="9" t="s">
        <v>1985</v>
      </c>
      <c r="G813" s="19" t="s">
        <v>2021</v>
      </c>
      <c r="H813" s="19" t="s">
        <v>2022</v>
      </c>
    </row>
    <row r="814" customFormat="false" ht="15" hidden="false" customHeight="false" outlineLevel="0" collapsed="false">
      <c r="B814" s="9" t="s">
        <v>118</v>
      </c>
      <c r="C814" s="5" t="s">
        <v>805</v>
      </c>
      <c r="D814" s="5" t="s">
        <v>1935</v>
      </c>
      <c r="E814" s="5" t="s">
        <v>836</v>
      </c>
      <c r="F814" s="9" t="s">
        <v>1988</v>
      </c>
      <c r="G814" s="19" t="s">
        <v>2023</v>
      </c>
      <c r="H814" s="19" t="s">
        <v>2024</v>
      </c>
    </row>
    <row r="815" customFormat="false" ht="15" hidden="false" customHeight="false" outlineLevel="0" collapsed="false">
      <c r="B815" s="9" t="s">
        <v>118</v>
      </c>
      <c r="C815" s="5" t="s">
        <v>805</v>
      </c>
      <c r="D815" s="5" t="s">
        <v>1935</v>
      </c>
      <c r="E815" s="5" t="s">
        <v>836</v>
      </c>
      <c r="F815" s="9" t="s">
        <v>1991</v>
      </c>
      <c r="G815" s="19" t="s">
        <v>2025</v>
      </c>
      <c r="H815" s="19" t="s">
        <v>2026</v>
      </c>
    </row>
    <row r="816" customFormat="false" ht="15" hidden="false" customHeight="false" outlineLevel="0" collapsed="false">
      <c r="B816" s="9" t="s">
        <v>118</v>
      </c>
      <c r="C816" s="5" t="s">
        <v>805</v>
      </c>
      <c r="D816" s="5" t="s">
        <v>883</v>
      </c>
      <c r="E816" s="5" t="s">
        <v>836</v>
      </c>
      <c r="F816" s="9" t="s">
        <v>1994</v>
      </c>
      <c r="G816" s="19" t="s">
        <v>2027</v>
      </c>
      <c r="H816" s="19" t="s">
        <v>2028</v>
      </c>
    </row>
    <row r="817" customFormat="false" ht="15" hidden="false" customHeight="false" outlineLevel="0" collapsed="false">
      <c r="B817" s="9" t="s">
        <v>118</v>
      </c>
      <c r="C817" s="5" t="s">
        <v>805</v>
      </c>
      <c r="D817" s="5" t="s">
        <v>1486</v>
      </c>
      <c r="E817" s="5" t="s">
        <v>836</v>
      </c>
      <c r="F817" s="9" t="s">
        <v>1997</v>
      </c>
      <c r="G817" s="19" t="s">
        <v>2029</v>
      </c>
      <c r="H817" s="19" t="s">
        <v>2030</v>
      </c>
    </row>
    <row r="818" customFormat="false" ht="15" hidden="false" customHeight="false" outlineLevel="0" collapsed="false">
      <c r="B818" s="9" t="s">
        <v>118</v>
      </c>
      <c r="C818" s="5" t="s">
        <v>822</v>
      </c>
      <c r="D818" s="5" t="s">
        <v>1912</v>
      </c>
      <c r="E818" s="5" t="s">
        <v>1913</v>
      </c>
      <c r="F818" s="9" t="s">
        <v>1914</v>
      </c>
      <c r="G818" s="19" t="s">
        <v>2031</v>
      </c>
      <c r="H818" s="19" t="s">
        <v>824</v>
      </c>
    </row>
    <row r="819" customFormat="false" ht="15" hidden="false" customHeight="false" outlineLevel="0" collapsed="false">
      <c r="B819" s="9" t="s">
        <v>118</v>
      </c>
      <c r="C819" s="5" t="s">
        <v>822</v>
      </c>
      <c r="D819" s="5" t="s">
        <v>1912</v>
      </c>
      <c r="E819" s="5" t="s">
        <v>836</v>
      </c>
      <c r="F819" s="9" t="s">
        <v>1915</v>
      </c>
      <c r="G819" s="19" t="s">
        <v>2032</v>
      </c>
      <c r="H819" s="19" t="s">
        <v>826</v>
      </c>
    </row>
    <row r="820" customFormat="false" ht="15" hidden="false" customHeight="false" outlineLevel="0" collapsed="false">
      <c r="B820" s="9" t="s">
        <v>118</v>
      </c>
      <c r="C820" s="5" t="s">
        <v>822</v>
      </c>
      <c r="D820" s="5" t="s">
        <v>1916</v>
      </c>
      <c r="E820" s="5" t="s">
        <v>836</v>
      </c>
      <c r="F820" s="9" t="s">
        <v>1917</v>
      </c>
      <c r="G820" s="19" t="s">
        <v>2033</v>
      </c>
      <c r="H820" s="19" t="s">
        <v>2034</v>
      </c>
    </row>
    <row r="821" customFormat="false" ht="15" hidden="false" customHeight="false" outlineLevel="0" collapsed="false">
      <c r="B821" s="9" t="s">
        <v>118</v>
      </c>
      <c r="C821" s="5" t="s">
        <v>822</v>
      </c>
      <c r="D821" s="5" t="s">
        <v>4</v>
      </c>
      <c r="E821" s="5" t="s">
        <v>836</v>
      </c>
      <c r="F821" s="9" t="s">
        <v>1919</v>
      </c>
      <c r="G821" s="19" t="s">
        <v>2035</v>
      </c>
      <c r="H821" s="19" t="s">
        <v>2036</v>
      </c>
    </row>
    <row r="822" customFormat="false" ht="15" hidden="false" customHeight="false" outlineLevel="0" collapsed="false">
      <c r="B822" s="9" t="s">
        <v>118</v>
      </c>
      <c r="C822" s="5" t="s">
        <v>822</v>
      </c>
      <c r="D822" s="5" t="s">
        <v>4</v>
      </c>
      <c r="E822" s="5" t="s">
        <v>836</v>
      </c>
      <c r="F822" s="9" t="s">
        <v>1921</v>
      </c>
      <c r="G822" s="19" t="s">
        <v>2037</v>
      </c>
      <c r="H822" s="19" t="s">
        <v>2038</v>
      </c>
    </row>
    <row r="823" customFormat="false" ht="15" hidden="false" customHeight="false" outlineLevel="0" collapsed="false">
      <c r="B823" s="9" t="s">
        <v>118</v>
      </c>
      <c r="C823" s="5" t="s">
        <v>822</v>
      </c>
      <c r="D823" s="5" t="s">
        <v>4</v>
      </c>
      <c r="E823" s="5" t="s">
        <v>836</v>
      </c>
      <c r="F823" s="9" t="s">
        <v>1967</v>
      </c>
      <c r="G823" s="19" t="s">
        <v>2039</v>
      </c>
      <c r="H823" s="19" t="s">
        <v>2040</v>
      </c>
    </row>
    <row r="824" customFormat="false" ht="15" hidden="false" customHeight="false" outlineLevel="0" collapsed="false">
      <c r="B824" s="9" t="s">
        <v>118</v>
      </c>
      <c r="C824" s="5" t="s">
        <v>822</v>
      </c>
      <c r="D824" s="5" t="s">
        <v>800</v>
      </c>
      <c r="E824" s="5" t="s">
        <v>836</v>
      </c>
      <c r="F824" s="9" t="s">
        <v>1969</v>
      </c>
      <c r="G824" s="19" t="s">
        <v>2041</v>
      </c>
      <c r="H824" s="19" t="s">
        <v>2042</v>
      </c>
    </row>
    <row r="825" customFormat="false" ht="15" hidden="false" customHeight="false" outlineLevel="0" collapsed="false">
      <c r="B825" s="9" t="s">
        <v>118</v>
      </c>
      <c r="C825" s="5" t="s">
        <v>822</v>
      </c>
      <c r="D825" s="5" t="s">
        <v>800</v>
      </c>
      <c r="E825" s="5" t="s">
        <v>840</v>
      </c>
      <c r="F825" s="9" t="s">
        <v>1971</v>
      </c>
      <c r="G825" s="19" t="s">
        <v>2043</v>
      </c>
      <c r="H825" s="19" t="s">
        <v>2044</v>
      </c>
    </row>
    <row r="826" customFormat="false" ht="15" hidden="false" customHeight="false" outlineLevel="0" collapsed="false">
      <c r="B826" s="9" t="s">
        <v>118</v>
      </c>
      <c r="C826" s="5" t="s">
        <v>822</v>
      </c>
      <c r="D826" s="5" t="s">
        <v>800</v>
      </c>
      <c r="E826" s="5" t="s">
        <v>1443</v>
      </c>
      <c r="F826" s="9" t="s">
        <v>1973</v>
      </c>
      <c r="G826" s="19" t="s">
        <v>2045</v>
      </c>
      <c r="H826" s="19" t="s">
        <v>2046</v>
      </c>
    </row>
    <row r="827" customFormat="false" ht="15" hidden="false" customHeight="false" outlineLevel="0" collapsed="false">
      <c r="B827" s="9" t="s">
        <v>118</v>
      </c>
      <c r="C827" s="5" t="s">
        <v>822</v>
      </c>
      <c r="D827" s="5" t="s">
        <v>232</v>
      </c>
      <c r="E827" s="5" t="s">
        <v>840</v>
      </c>
      <c r="F827" s="9" t="s">
        <v>1975</v>
      </c>
      <c r="G827" s="19" t="s">
        <v>2047</v>
      </c>
      <c r="H827" s="19" t="s">
        <v>2048</v>
      </c>
    </row>
    <row r="828" customFormat="false" ht="15" hidden="false" customHeight="false" outlineLevel="0" collapsed="false">
      <c r="B828" s="9" t="s">
        <v>118</v>
      </c>
      <c r="C828" s="5" t="s">
        <v>822</v>
      </c>
      <c r="D828" s="5" t="s">
        <v>365</v>
      </c>
      <c r="E828" s="5" t="s">
        <v>836</v>
      </c>
      <c r="F828" s="9" t="s">
        <v>1977</v>
      </c>
      <c r="G828" s="19" t="s">
        <v>2049</v>
      </c>
      <c r="H828" s="19" t="s">
        <v>2050</v>
      </c>
    </row>
    <row r="829" customFormat="false" ht="15" hidden="false" customHeight="false" outlineLevel="0" collapsed="false">
      <c r="B829" s="9" t="s">
        <v>118</v>
      </c>
      <c r="C829" s="5" t="s">
        <v>822</v>
      </c>
      <c r="D829" s="5" t="s">
        <v>365</v>
      </c>
      <c r="E829" s="5" t="s">
        <v>836</v>
      </c>
      <c r="F829" s="9" t="s">
        <v>1979</v>
      </c>
      <c r="G829" s="19" t="s">
        <v>2051</v>
      </c>
      <c r="H829" s="19" t="s">
        <v>2052</v>
      </c>
    </row>
    <row r="830" customFormat="false" ht="15" hidden="false" customHeight="false" outlineLevel="0" collapsed="false">
      <c r="B830" s="9" t="s">
        <v>118</v>
      </c>
      <c r="C830" s="5" t="s">
        <v>822</v>
      </c>
      <c r="D830" s="5" t="s">
        <v>365</v>
      </c>
      <c r="E830" s="5" t="s">
        <v>836</v>
      </c>
      <c r="F830" s="9" t="s">
        <v>1982</v>
      </c>
      <c r="G830" s="19" t="s">
        <v>2053</v>
      </c>
      <c r="H830" s="19" t="s">
        <v>2054</v>
      </c>
    </row>
    <row r="831" customFormat="false" ht="15" hidden="false" customHeight="false" outlineLevel="0" collapsed="false">
      <c r="B831" s="9" t="s">
        <v>118</v>
      </c>
      <c r="C831" s="5" t="s">
        <v>822</v>
      </c>
      <c r="D831" s="5" t="s">
        <v>1931</v>
      </c>
      <c r="E831" s="5" t="s">
        <v>836</v>
      </c>
      <c r="F831" s="9" t="s">
        <v>1985</v>
      </c>
      <c r="G831" s="19" t="s">
        <v>2055</v>
      </c>
      <c r="H831" s="19" t="s">
        <v>2056</v>
      </c>
    </row>
    <row r="832" customFormat="false" ht="15" hidden="false" customHeight="false" outlineLevel="0" collapsed="false">
      <c r="B832" s="9" t="s">
        <v>118</v>
      </c>
      <c r="C832" s="5" t="s">
        <v>822</v>
      </c>
      <c r="D832" s="5" t="s">
        <v>1935</v>
      </c>
      <c r="E832" s="5" t="s">
        <v>836</v>
      </c>
      <c r="F832" s="9" t="s">
        <v>1988</v>
      </c>
      <c r="G832" s="19" t="s">
        <v>2057</v>
      </c>
      <c r="H832" s="19" t="s">
        <v>2058</v>
      </c>
    </row>
    <row r="833" customFormat="false" ht="15" hidden="false" customHeight="false" outlineLevel="0" collapsed="false">
      <c r="B833" s="9" t="s">
        <v>118</v>
      </c>
      <c r="C833" s="5" t="s">
        <v>822</v>
      </c>
      <c r="D833" s="5" t="s">
        <v>1935</v>
      </c>
      <c r="E833" s="5" t="s">
        <v>836</v>
      </c>
      <c r="F833" s="9" t="s">
        <v>1991</v>
      </c>
      <c r="G833" s="19" t="s">
        <v>2059</v>
      </c>
      <c r="H833" s="19" t="s">
        <v>2060</v>
      </c>
    </row>
    <row r="834" customFormat="false" ht="15" hidden="false" customHeight="false" outlineLevel="0" collapsed="false">
      <c r="B834" s="9" t="s">
        <v>118</v>
      </c>
      <c r="C834" s="5" t="s">
        <v>822</v>
      </c>
      <c r="D834" s="5" t="s">
        <v>883</v>
      </c>
      <c r="E834" s="5" t="s">
        <v>836</v>
      </c>
      <c r="F834" s="9" t="s">
        <v>1994</v>
      </c>
      <c r="G834" s="19" t="s">
        <v>2061</v>
      </c>
      <c r="H834" s="19" t="s">
        <v>2062</v>
      </c>
    </row>
    <row r="835" customFormat="false" ht="15" hidden="false" customHeight="false" outlineLevel="0" collapsed="false">
      <c r="B835" s="9" t="s">
        <v>118</v>
      </c>
      <c r="C835" s="5" t="s">
        <v>822</v>
      </c>
      <c r="D835" s="5" t="s">
        <v>1486</v>
      </c>
      <c r="E835" s="5" t="s">
        <v>836</v>
      </c>
      <c r="F835" s="9" t="s">
        <v>1997</v>
      </c>
      <c r="G835" s="19" t="s">
        <v>2063</v>
      </c>
      <c r="H835" s="19" t="s">
        <v>2064</v>
      </c>
    </row>
    <row r="836" customFormat="false" ht="15" hidden="false" customHeight="false" outlineLevel="0" collapsed="false">
      <c r="B836" s="9" t="s">
        <v>118</v>
      </c>
      <c r="C836" s="5" t="s">
        <v>827</v>
      </c>
      <c r="D836" s="5" t="s">
        <v>1912</v>
      </c>
      <c r="E836" s="5" t="s">
        <v>1913</v>
      </c>
      <c r="F836" s="9" t="s">
        <v>1914</v>
      </c>
      <c r="G836" s="19" t="s">
        <v>2065</v>
      </c>
      <c r="H836" s="19" t="s">
        <v>829</v>
      </c>
    </row>
    <row r="837" customFormat="false" ht="15" hidden="false" customHeight="false" outlineLevel="0" collapsed="false">
      <c r="B837" s="9" t="s">
        <v>118</v>
      </c>
      <c r="C837" s="5" t="s">
        <v>827</v>
      </c>
      <c r="D837" s="5" t="s">
        <v>1912</v>
      </c>
      <c r="E837" s="5" t="s">
        <v>836</v>
      </c>
      <c r="F837" s="9" t="s">
        <v>1915</v>
      </c>
      <c r="G837" s="19" t="s">
        <v>2066</v>
      </c>
      <c r="H837" s="19" t="s">
        <v>831</v>
      </c>
    </row>
    <row r="838" customFormat="false" ht="15" hidden="false" customHeight="false" outlineLevel="0" collapsed="false">
      <c r="B838" s="9" t="s">
        <v>118</v>
      </c>
      <c r="C838" s="5" t="s">
        <v>827</v>
      </c>
      <c r="D838" s="5" t="s">
        <v>1916</v>
      </c>
      <c r="E838" s="5" t="s">
        <v>836</v>
      </c>
      <c r="F838" s="9" t="s">
        <v>1917</v>
      </c>
      <c r="G838" s="19" t="s">
        <v>2067</v>
      </c>
      <c r="H838" s="19" t="s">
        <v>833</v>
      </c>
    </row>
    <row r="839" customFormat="false" ht="15" hidden="false" customHeight="false" outlineLevel="0" collapsed="false">
      <c r="B839" s="9" t="s">
        <v>118</v>
      </c>
      <c r="C839" s="5" t="s">
        <v>827</v>
      </c>
      <c r="D839" s="5" t="s">
        <v>4</v>
      </c>
      <c r="E839" s="5" t="s">
        <v>836</v>
      </c>
      <c r="F839" s="9" t="s">
        <v>1919</v>
      </c>
      <c r="G839" s="19" t="s">
        <v>2068</v>
      </c>
      <c r="H839" s="19" t="s">
        <v>835</v>
      </c>
    </row>
    <row r="840" customFormat="false" ht="15" hidden="false" customHeight="false" outlineLevel="0" collapsed="false">
      <c r="B840" s="9" t="s">
        <v>118</v>
      </c>
      <c r="C840" s="5" t="s">
        <v>827</v>
      </c>
      <c r="D840" s="5" t="s">
        <v>4</v>
      </c>
      <c r="E840" s="5" t="s">
        <v>836</v>
      </c>
      <c r="F840" s="9" t="s">
        <v>1921</v>
      </c>
      <c r="G840" s="19" t="s">
        <v>2069</v>
      </c>
      <c r="H840" s="19" t="s">
        <v>2070</v>
      </c>
    </row>
    <row r="841" customFormat="false" ht="15" hidden="false" customHeight="false" outlineLevel="0" collapsed="false">
      <c r="B841" s="9" t="s">
        <v>118</v>
      </c>
      <c r="C841" s="5" t="s">
        <v>827</v>
      </c>
      <c r="D841" s="5" t="s">
        <v>4</v>
      </c>
      <c r="E841" s="5" t="s">
        <v>836</v>
      </c>
      <c r="F841" s="9" t="s">
        <v>1967</v>
      </c>
      <c r="G841" s="19" t="s">
        <v>2071</v>
      </c>
      <c r="H841" s="19" t="s">
        <v>2072</v>
      </c>
    </row>
    <row r="842" customFormat="false" ht="15" hidden="false" customHeight="false" outlineLevel="0" collapsed="false">
      <c r="B842" s="9" t="s">
        <v>118</v>
      </c>
      <c r="C842" s="5" t="s">
        <v>827</v>
      </c>
      <c r="D842" s="5" t="s">
        <v>800</v>
      </c>
      <c r="E842" s="5" t="s">
        <v>836</v>
      </c>
      <c r="F842" s="9" t="s">
        <v>1969</v>
      </c>
      <c r="G842" s="19" t="s">
        <v>2073</v>
      </c>
      <c r="H842" s="19" t="s">
        <v>2074</v>
      </c>
    </row>
    <row r="843" customFormat="false" ht="15" hidden="false" customHeight="false" outlineLevel="0" collapsed="false">
      <c r="B843" s="9" t="s">
        <v>118</v>
      </c>
      <c r="C843" s="5" t="s">
        <v>827</v>
      </c>
      <c r="D843" s="5" t="s">
        <v>800</v>
      </c>
      <c r="E843" s="5" t="s">
        <v>840</v>
      </c>
      <c r="F843" s="9" t="s">
        <v>1971</v>
      </c>
      <c r="G843" s="19" t="s">
        <v>2075</v>
      </c>
      <c r="H843" s="19" t="s">
        <v>2076</v>
      </c>
    </row>
    <row r="844" customFormat="false" ht="15" hidden="false" customHeight="false" outlineLevel="0" collapsed="false">
      <c r="B844" s="9" t="s">
        <v>118</v>
      </c>
      <c r="C844" s="5" t="s">
        <v>827</v>
      </c>
      <c r="D844" s="5" t="s">
        <v>800</v>
      </c>
      <c r="E844" s="5" t="s">
        <v>1443</v>
      </c>
      <c r="F844" s="9" t="s">
        <v>1973</v>
      </c>
      <c r="G844" s="19" t="s">
        <v>2077</v>
      </c>
      <c r="H844" s="19" t="s">
        <v>2078</v>
      </c>
    </row>
    <row r="845" customFormat="false" ht="15" hidden="false" customHeight="false" outlineLevel="0" collapsed="false">
      <c r="B845" s="9" t="s">
        <v>118</v>
      </c>
      <c r="C845" s="5" t="s">
        <v>827</v>
      </c>
      <c r="D845" s="5" t="s">
        <v>365</v>
      </c>
      <c r="E845" s="5" t="s">
        <v>836</v>
      </c>
      <c r="F845" s="9" t="s">
        <v>1979</v>
      </c>
      <c r="G845" s="19" t="s">
        <v>2079</v>
      </c>
      <c r="H845" s="19" t="s">
        <v>2080</v>
      </c>
    </row>
    <row r="846" customFormat="false" ht="15" hidden="false" customHeight="false" outlineLevel="0" collapsed="false">
      <c r="B846" s="9" t="s">
        <v>118</v>
      </c>
      <c r="C846" s="5" t="s">
        <v>827</v>
      </c>
      <c r="D846" s="5" t="s">
        <v>365</v>
      </c>
      <c r="E846" s="5" t="s">
        <v>836</v>
      </c>
      <c r="F846" s="9" t="s">
        <v>1982</v>
      </c>
      <c r="G846" s="19" t="s">
        <v>2081</v>
      </c>
      <c r="H846" s="19" t="s">
        <v>2082</v>
      </c>
    </row>
    <row r="847" customFormat="false" ht="15" hidden="false" customHeight="false" outlineLevel="0" collapsed="false">
      <c r="B847" s="9" t="s">
        <v>118</v>
      </c>
      <c r="C847" s="5" t="s">
        <v>827</v>
      </c>
      <c r="D847" s="5" t="s">
        <v>1931</v>
      </c>
      <c r="E847" s="5" t="s">
        <v>836</v>
      </c>
      <c r="F847" s="9" t="s">
        <v>1985</v>
      </c>
      <c r="G847" s="19" t="s">
        <v>2083</v>
      </c>
      <c r="H847" s="19" t="s">
        <v>2084</v>
      </c>
    </row>
    <row r="848" customFormat="false" ht="15" hidden="false" customHeight="false" outlineLevel="0" collapsed="false">
      <c r="B848" s="9" t="s">
        <v>118</v>
      </c>
      <c r="C848" s="5" t="s">
        <v>827</v>
      </c>
      <c r="D848" s="5" t="s">
        <v>1935</v>
      </c>
      <c r="E848" s="5" t="s">
        <v>836</v>
      </c>
      <c r="F848" s="9" t="s">
        <v>1988</v>
      </c>
      <c r="G848" s="19" t="s">
        <v>2085</v>
      </c>
      <c r="H848" s="19" t="s">
        <v>2086</v>
      </c>
    </row>
    <row r="849" customFormat="false" ht="15" hidden="false" customHeight="false" outlineLevel="0" collapsed="false">
      <c r="B849" s="9" t="s">
        <v>118</v>
      </c>
      <c r="C849" s="5" t="s">
        <v>827</v>
      </c>
      <c r="D849" s="5" t="s">
        <v>1935</v>
      </c>
      <c r="E849" s="5" t="s">
        <v>836</v>
      </c>
      <c r="F849" s="9" t="s">
        <v>1991</v>
      </c>
      <c r="G849" s="19" t="s">
        <v>2087</v>
      </c>
      <c r="H849" s="19" t="s">
        <v>2088</v>
      </c>
    </row>
    <row r="850" customFormat="false" ht="15" hidden="false" customHeight="false" outlineLevel="0" collapsed="false">
      <c r="B850" s="9" t="s">
        <v>118</v>
      </c>
      <c r="C850" s="5" t="s">
        <v>827</v>
      </c>
      <c r="D850" s="5" t="s">
        <v>883</v>
      </c>
      <c r="E850" s="5" t="s">
        <v>836</v>
      </c>
      <c r="F850" s="9" t="s">
        <v>1994</v>
      </c>
      <c r="G850" s="19" t="s">
        <v>2089</v>
      </c>
      <c r="H850" s="19" t="s">
        <v>2090</v>
      </c>
    </row>
    <row r="851" customFormat="false" ht="15" hidden="false" customHeight="false" outlineLevel="0" collapsed="false">
      <c r="B851" s="9" t="s">
        <v>118</v>
      </c>
      <c r="C851" s="5" t="s">
        <v>827</v>
      </c>
      <c r="D851" s="5" t="s">
        <v>1486</v>
      </c>
      <c r="E851" s="5" t="s">
        <v>836</v>
      </c>
      <c r="F851" s="9" t="s">
        <v>1997</v>
      </c>
      <c r="G851" s="19" t="s">
        <v>2091</v>
      </c>
      <c r="H851" s="19" t="s">
        <v>2092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8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6" min="6" style="0" width="22"/>
    <col collapsed="false" customWidth="true" hidden="false" outlineLevel="0" max="7" min="7" style="0" width="46"/>
    <col collapsed="false" customWidth="true" hidden="false" outlineLevel="0" max="8" min="8" style="0" width="40"/>
  </cols>
  <sheetData>
    <row r="2" customFormat="false" ht="23.85" hidden="false" customHeight="false" outlineLevel="0" collapsed="false">
      <c r="B2" s="3" t="s">
        <v>15</v>
      </c>
      <c r="C2" s="3" t="s">
        <v>62</v>
      </c>
      <c r="D2" s="3" t="s">
        <v>2093</v>
      </c>
      <c r="E2" s="3" t="s">
        <v>2094</v>
      </c>
      <c r="F2" s="3" t="s">
        <v>20</v>
      </c>
      <c r="G2" s="3" t="s">
        <v>2095</v>
      </c>
      <c r="H2" s="3" t="s">
        <v>2096</v>
      </c>
    </row>
    <row r="3" customFormat="false" ht="15" hidden="false" customHeight="false" outlineLevel="0" collapsed="false">
      <c r="B3" s="9" t="s">
        <v>68</v>
      </c>
      <c r="C3" s="5" t="n">
        <v>1</v>
      </c>
      <c r="D3" s="5" t="s">
        <v>36</v>
      </c>
      <c r="E3" s="5" t="n">
        <v>1000</v>
      </c>
      <c r="F3" s="5" t="s">
        <v>36</v>
      </c>
      <c r="G3" s="9" t="s">
        <v>2097</v>
      </c>
      <c r="H3" s="9" t="s">
        <v>180</v>
      </c>
    </row>
    <row r="4" customFormat="false" ht="15" hidden="false" customHeight="false" outlineLevel="0" collapsed="false">
      <c r="B4" s="9" t="s">
        <v>68</v>
      </c>
      <c r="C4" s="5" t="n">
        <v>2</v>
      </c>
      <c r="D4" s="5" t="s">
        <v>195</v>
      </c>
      <c r="E4" s="5" t="n">
        <v>2000</v>
      </c>
      <c r="F4" s="5" t="s">
        <v>195</v>
      </c>
      <c r="G4" s="9" t="s">
        <v>2098</v>
      </c>
      <c r="H4" s="9" t="s">
        <v>182</v>
      </c>
    </row>
    <row r="5" customFormat="false" ht="15" hidden="false" customHeight="false" outlineLevel="0" collapsed="false">
      <c r="B5" s="9" t="s">
        <v>68</v>
      </c>
      <c r="C5" s="5" t="n">
        <v>3</v>
      </c>
      <c r="D5" s="5" t="s">
        <v>210</v>
      </c>
      <c r="E5" s="5" t="n">
        <v>3000</v>
      </c>
      <c r="F5" s="5" t="s">
        <v>210</v>
      </c>
      <c r="G5" s="9" t="s">
        <v>2099</v>
      </c>
      <c r="H5" s="9" t="s">
        <v>185</v>
      </c>
    </row>
    <row r="6" customFormat="false" ht="15" hidden="false" customHeight="false" outlineLevel="0" collapsed="false">
      <c r="B6" s="9" t="s">
        <v>68</v>
      </c>
      <c r="C6" s="5" t="n">
        <v>4</v>
      </c>
      <c r="D6" s="5" t="s">
        <v>223</v>
      </c>
      <c r="E6" s="5" t="n">
        <v>4000</v>
      </c>
      <c r="F6" s="5" t="s">
        <v>223</v>
      </c>
      <c r="G6" s="9" t="s">
        <v>2100</v>
      </c>
      <c r="H6" s="9" t="s">
        <v>188</v>
      </c>
    </row>
    <row r="7" customFormat="false" ht="15" hidden="false" customHeight="false" outlineLevel="0" collapsed="false">
      <c r="B7" s="9" t="s">
        <v>68</v>
      </c>
      <c r="C7" s="5" t="n">
        <v>5</v>
      </c>
      <c r="D7" s="5" t="s">
        <v>244</v>
      </c>
      <c r="E7" s="5" t="n">
        <v>5000</v>
      </c>
      <c r="F7" s="5" t="s">
        <v>244</v>
      </c>
      <c r="G7" s="9" t="s">
        <v>2101</v>
      </c>
      <c r="H7" s="9" t="s">
        <v>190</v>
      </c>
    </row>
    <row r="8" customFormat="false" ht="15" hidden="false" customHeight="false" outlineLevel="0" collapsed="false">
      <c r="B8" s="9" t="s">
        <v>68</v>
      </c>
      <c r="C8" s="5" t="n">
        <v>6</v>
      </c>
      <c r="D8" s="5" t="s">
        <v>257</v>
      </c>
      <c r="E8" s="5" t="n">
        <v>6000</v>
      </c>
      <c r="F8" s="5" t="s">
        <v>257</v>
      </c>
      <c r="G8" s="9" t="s">
        <v>2102</v>
      </c>
      <c r="H8" s="9" t="s">
        <v>193</v>
      </c>
    </row>
    <row r="9" customFormat="false" ht="15" hidden="false" customHeight="false" outlineLevel="0" collapsed="false">
      <c r="B9" s="9" t="s">
        <v>76</v>
      </c>
      <c r="C9" s="5" t="n">
        <v>1</v>
      </c>
      <c r="D9" s="5" t="s">
        <v>36</v>
      </c>
      <c r="E9" s="5" t="n">
        <v>1000</v>
      </c>
      <c r="F9" s="5" t="s">
        <v>36</v>
      </c>
      <c r="G9" s="9" t="s">
        <v>2103</v>
      </c>
      <c r="H9" s="9" t="s">
        <v>279</v>
      </c>
    </row>
    <row r="10" customFormat="false" ht="15" hidden="false" customHeight="false" outlineLevel="0" collapsed="false">
      <c r="B10" s="9" t="s">
        <v>76</v>
      </c>
      <c r="C10" s="5" t="n">
        <v>2</v>
      </c>
      <c r="D10" s="5" t="s">
        <v>195</v>
      </c>
      <c r="E10" s="5" t="n">
        <v>2000</v>
      </c>
      <c r="F10" s="5" t="s">
        <v>195</v>
      </c>
      <c r="G10" s="9" t="s">
        <v>2104</v>
      </c>
      <c r="H10" s="9" t="s">
        <v>281</v>
      </c>
    </row>
    <row r="11" customFormat="false" ht="15" hidden="false" customHeight="false" outlineLevel="0" collapsed="false">
      <c r="B11" s="9" t="s">
        <v>76</v>
      </c>
      <c r="C11" s="5" t="n">
        <v>3</v>
      </c>
      <c r="D11" s="5" t="s">
        <v>210</v>
      </c>
      <c r="E11" s="5" t="n">
        <v>3000</v>
      </c>
      <c r="F11" s="5" t="s">
        <v>210</v>
      </c>
      <c r="G11" s="9" t="s">
        <v>2105</v>
      </c>
      <c r="H11" s="9" t="s">
        <v>283</v>
      </c>
    </row>
    <row r="12" customFormat="false" ht="15" hidden="false" customHeight="false" outlineLevel="0" collapsed="false">
      <c r="B12" s="9" t="s">
        <v>76</v>
      </c>
      <c r="C12" s="5" t="n">
        <v>4</v>
      </c>
      <c r="D12" s="5" t="s">
        <v>223</v>
      </c>
      <c r="E12" s="5" t="n">
        <v>4000</v>
      </c>
      <c r="F12" s="5" t="s">
        <v>223</v>
      </c>
      <c r="G12" s="9" t="s">
        <v>2106</v>
      </c>
      <c r="H12" s="9" t="s">
        <v>285</v>
      </c>
    </row>
    <row r="13" customFormat="false" ht="15" hidden="false" customHeight="false" outlineLevel="0" collapsed="false">
      <c r="B13" s="9" t="s">
        <v>76</v>
      </c>
      <c r="C13" s="5" t="n">
        <v>5</v>
      </c>
      <c r="D13" s="5" t="s">
        <v>244</v>
      </c>
      <c r="E13" s="5" t="n">
        <v>5000</v>
      </c>
      <c r="F13" s="5" t="s">
        <v>244</v>
      </c>
      <c r="G13" s="9" t="s">
        <v>2107</v>
      </c>
      <c r="H13" s="9" t="s">
        <v>287</v>
      </c>
    </row>
    <row r="14" customFormat="false" ht="15" hidden="false" customHeight="false" outlineLevel="0" collapsed="false">
      <c r="B14" s="9" t="s">
        <v>76</v>
      </c>
      <c r="C14" s="5" t="n">
        <v>6</v>
      </c>
      <c r="D14" s="5" t="s">
        <v>257</v>
      </c>
      <c r="E14" s="5" t="n">
        <v>6000</v>
      </c>
      <c r="F14" s="5" t="s">
        <v>257</v>
      </c>
      <c r="G14" s="9" t="s">
        <v>2108</v>
      </c>
      <c r="H14" s="9" t="s">
        <v>289</v>
      </c>
    </row>
    <row r="15" customFormat="false" ht="15" hidden="false" customHeight="false" outlineLevel="0" collapsed="false">
      <c r="B15" s="9" t="s">
        <v>79</v>
      </c>
      <c r="C15" s="5" t="n">
        <v>1</v>
      </c>
      <c r="D15" s="5" t="s">
        <v>36</v>
      </c>
      <c r="E15" s="5" t="n">
        <v>1000</v>
      </c>
      <c r="F15" s="5" t="s">
        <v>36</v>
      </c>
      <c r="G15" s="9" t="s">
        <v>2109</v>
      </c>
      <c r="H15" s="9" t="s">
        <v>374</v>
      </c>
    </row>
    <row r="16" customFormat="false" ht="15" hidden="false" customHeight="false" outlineLevel="0" collapsed="false">
      <c r="B16" s="9" t="s">
        <v>79</v>
      </c>
      <c r="C16" s="5" t="n">
        <v>2</v>
      </c>
      <c r="D16" s="5" t="s">
        <v>195</v>
      </c>
      <c r="E16" s="5" t="n">
        <v>2000</v>
      </c>
      <c r="F16" s="5" t="s">
        <v>195</v>
      </c>
      <c r="G16" s="9" t="s">
        <v>2110</v>
      </c>
      <c r="H16" s="9" t="s">
        <v>376</v>
      </c>
    </row>
    <row r="17" customFormat="false" ht="15" hidden="false" customHeight="false" outlineLevel="0" collapsed="false">
      <c r="B17" s="9" t="s">
        <v>79</v>
      </c>
      <c r="C17" s="5" t="n">
        <v>3</v>
      </c>
      <c r="D17" s="5" t="s">
        <v>210</v>
      </c>
      <c r="E17" s="5" t="n">
        <v>3000</v>
      </c>
      <c r="F17" s="5" t="s">
        <v>210</v>
      </c>
      <c r="G17" s="9" t="s">
        <v>2111</v>
      </c>
      <c r="H17" s="9" t="s">
        <v>378</v>
      </c>
    </row>
    <row r="18" customFormat="false" ht="15" hidden="false" customHeight="false" outlineLevel="0" collapsed="false">
      <c r="B18" s="9" t="s">
        <v>79</v>
      </c>
      <c r="C18" s="5" t="n">
        <v>4</v>
      </c>
      <c r="D18" s="5" t="s">
        <v>223</v>
      </c>
      <c r="E18" s="5" t="n">
        <v>4000</v>
      </c>
      <c r="F18" s="5" t="s">
        <v>223</v>
      </c>
      <c r="G18" s="9" t="s">
        <v>2112</v>
      </c>
      <c r="H18" s="9" t="s">
        <v>380</v>
      </c>
    </row>
    <row r="19" customFormat="false" ht="15" hidden="false" customHeight="false" outlineLevel="0" collapsed="false">
      <c r="B19" s="9" t="s">
        <v>79</v>
      </c>
      <c r="C19" s="5" t="n">
        <v>5</v>
      </c>
      <c r="D19" s="5" t="s">
        <v>244</v>
      </c>
      <c r="E19" s="5" t="n">
        <v>5000</v>
      </c>
      <c r="F19" s="5" t="s">
        <v>244</v>
      </c>
      <c r="G19" s="9" t="s">
        <v>2113</v>
      </c>
      <c r="H19" s="9" t="s">
        <v>382</v>
      </c>
    </row>
    <row r="20" customFormat="false" ht="15" hidden="false" customHeight="false" outlineLevel="0" collapsed="false">
      <c r="B20" s="9" t="s">
        <v>79</v>
      </c>
      <c r="C20" s="5" t="n">
        <v>6</v>
      </c>
      <c r="D20" s="5" t="s">
        <v>257</v>
      </c>
      <c r="E20" s="5" t="n">
        <v>6000</v>
      </c>
      <c r="F20" s="5" t="s">
        <v>257</v>
      </c>
      <c r="G20" s="9" t="s">
        <v>2114</v>
      </c>
      <c r="H20" s="9" t="s">
        <v>384</v>
      </c>
    </row>
    <row r="21" customFormat="false" ht="15" hidden="false" customHeight="false" outlineLevel="0" collapsed="false">
      <c r="B21" s="9" t="s">
        <v>85</v>
      </c>
      <c r="C21" s="5" t="n">
        <v>1</v>
      </c>
      <c r="D21" s="5" t="s">
        <v>474</v>
      </c>
      <c r="E21" s="5" t="n">
        <v>250</v>
      </c>
      <c r="F21" s="5" t="s">
        <v>474</v>
      </c>
      <c r="G21" s="9" t="s">
        <v>2115</v>
      </c>
      <c r="H21" s="9" t="s">
        <v>475</v>
      </c>
    </row>
    <row r="22" customFormat="false" ht="15" hidden="false" customHeight="false" outlineLevel="0" collapsed="false">
      <c r="B22" s="9" t="s">
        <v>85</v>
      </c>
      <c r="C22" s="5" t="n">
        <v>2</v>
      </c>
      <c r="D22" s="5" t="s">
        <v>490</v>
      </c>
      <c r="E22" s="5" t="n">
        <v>500</v>
      </c>
      <c r="F22" s="5" t="s">
        <v>490</v>
      </c>
      <c r="G22" s="9" t="s">
        <v>2116</v>
      </c>
      <c r="H22" s="9" t="s">
        <v>477</v>
      </c>
    </row>
    <row r="23" customFormat="false" ht="15" hidden="false" customHeight="false" outlineLevel="0" collapsed="false">
      <c r="B23" s="9" t="s">
        <v>85</v>
      </c>
      <c r="C23" s="5" t="n">
        <v>3</v>
      </c>
      <c r="D23" s="5" t="s">
        <v>512</v>
      </c>
      <c r="E23" s="5" t="n">
        <v>750</v>
      </c>
      <c r="F23" s="5" t="s">
        <v>512</v>
      </c>
      <c r="G23" s="9" t="s">
        <v>2117</v>
      </c>
      <c r="H23" s="9" t="s">
        <v>479</v>
      </c>
    </row>
    <row r="24" customFormat="false" ht="15" hidden="false" customHeight="false" outlineLevel="0" collapsed="false">
      <c r="B24" s="9" t="s">
        <v>85</v>
      </c>
      <c r="C24" s="5" t="n">
        <v>4</v>
      </c>
      <c r="D24" s="5" t="s">
        <v>527</v>
      </c>
      <c r="E24" s="5" t="n">
        <v>1000</v>
      </c>
      <c r="F24" s="5" t="s">
        <v>527</v>
      </c>
      <c r="G24" s="9" t="s">
        <v>2118</v>
      </c>
      <c r="H24" s="9" t="s">
        <v>481</v>
      </c>
    </row>
    <row r="25" customFormat="false" ht="15" hidden="false" customHeight="false" outlineLevel="0" collapsed="false">
      <c r="B25" s="9" t="s">
        <v>105</v>
      </c>
      <c r="C25" s="5" t="n">
        <v>1</v>
      </c>
      <c r="D25" s="5" t="s">
        <v>560</v>
      </c>
      <c r="E25" s="5" t="n">
        <v>100</v>
      </c>
      <c r="F25" s="5" t="s">
        <v>560</v>
      </c>
      <c r="G25" s="9" t="s">
        <v>2119</v>
      </c>
      <c r="H25" s="9" t="s">
        <v>561</v>
      </c>
    </row>
    <row r="26" customFormat="false" ht="15" hidden="false" customHeight="false" outlineLevel="0" collapsed="false">
      <c r="B26" s="9" t="s">
        <v>105</v>
      </c>
      <c r="C26" s="5" t="n">
        <v>2</v>
      </c>
      <c r="D26" s="5" t="s">
        <v>569</v>
      </c>
      <c r="E26" s="5" t="n">
        <v>200</v>
      </c>
      <c r="F26" s="5" t="s">
        <v>569</v>
      </c>
      <c r="G26" s="9" t="s">
        <v>2120</v>
      </c>
      <c r="H26" s="9" t="s">
        <v>563</v>
      </c>
    </row>
    <row r="27" customFormat="false" ht="15" hidden="false" customHeight="false" outlineLevel="0" collapsed="false">
      <c r="B27" s="9" t="s">
        <v>105</v>
      </c>
      <c r="C27" s="5" t="n">
        <v>3</v>
      </c>
      <c r="D27" s="5" t="s">
        <v>578</v>
      </c>
      <c r="E27" s="5" t="n">
        <v>300</v>
      </c>
      <c r="F27" s="5" t="s">
        <v>578</v>
      </c>
      <c r="G27" s="9" t="s">
        <v>2121</v>
      </c>
      <c r="H27" s="9" t="s">
        <v>565</v>
      </c>
    </row>
    <row r="28" customFormat="false" ht="15" hidden="false" customHeight="false" outlineLevel="0" collapsed="false">
      <c r="B28" s="9" t="s">
        <v>93</v>
      </c>
      <c r="C28" s="5" t="n">
        <v>1</v>
      </c>
      <c r="D28" s="5" t="s">
        <v>560</v>
      </c>
      <c r="E28" s="5" t="n">
        <v>100</v>
      </c>
      <c r="F28" s="5" t="s">
        <v>560</v>
      </c>
      <c r="G28" s="9" t="s">
        <v>2122</v>
      </c>
      <c r="H28" s="9" t="s">
        <v>594</v>
      </c>
    </row>
    <row r="29" customFormat="false" ht="15" hidden="false" customHeight="false" outlineLevel="0" collapsed="false">
      <c r="B29" s="9" t="s">
        <v>93</v>
      </c>
      <c r="C29" s="5" t="n">
        <v>2</v>
      </c>
      <c r="D29" s="5" t="s">
        <v>569</v>
      </c>
      <c r="E29" s="5" t="n">
        <v>200</v>
      </c>
      <c r="F29" s="5" t="s">
        <v>569</v>
      </c>
      <c r="G29" s="9" t="s">
        <v>2123</v>
      </c>
      <c r="H29" s="9" t="s">
        <v>596</v>
      </c>
    </row>
    <row r="30" customFormat="false" ht="15" hidden="false" customHeight="false" outlineLevel="0" collapsed="false">
      <c r="B30" s="9" t="s">
        <v>93</v>
      </c>
      <c r="C30" s="5" t="n">
        <v>3</v>
      </c>
      <c r="D30" s="5" t="s">
        <v>578</v>
      </c>
      <c r="E30" s="5" t="n">
        <v>300</v>
      </c>
      <c r="F30" s="5" t="s">
        <v>578</v>
      </c>
      <c r="G30" s="9" t="s">
        <v>2124</v>
      </c>
      <c r="H30" s="9" t="s">
        <v>598</v>
      </c>
    </row>
    <row r="31" customFormat="false" ht="15" hidden="false" customHeight="false" outlineLevel="0" collapsed="false">
      <c r="B31" s="9" t="s">
        <v>96</v>
      </c>
      <c r="C31" s="5" t="n">
        <v>1</v>
      </c>
      <c r="D31" s="5" t="s">
        <v>560</v>
      </c>
      <c r="E31" s="5" t="n">
        <v>100</v>
      </c>
      <c r="F31" s="5" t="s">
        <v>560</v>
      </c>
      <c r="G31" s="9" t="s">
        <v>2125</v>
      </c>
      <c r="H31" s="9" t="s">
        <v>622</v>
      </c>
    </row>
    <row r="32" customFormat="false" ht="15" hidden="false" customHeight="false" outlineLevel="0" collapsed="false">
      <c r="B32" s="9" t="s">
        <v>96</v>
      </c>
      <c r="C32" s="5" t="n">
        <v>2</v>
      </c>
      <c r="D32" s="5" t="s">
        <v>569</v>
      </c>
      <c r="E32" s="5" t="n">
        <v>200</v>
      </c>
      <c r="F32" s="5" t="s">
        <v>569</v>
      </c>
      <c r="G32" s="9" t="s">
        <v>2126</v>
      </c>
      <c r="H32" s="9" t="s">
        <v>624</v>
      </c>
    </row>
    <row r="33" customFormat="false" ht="15" hidden="false" customHeight="false" outlineLevel="0" collapsed="false">
      <c r="B33" s="9" t="s">
        <v>96</v>
      </c>
      <c r="C33" s="5" t="n">
        <v>3</v>
      </c>
      <c r="D33" s="5" t="s">
        <v>578</v>
      </c>
      <c r="E33" s="5" t="n">
        <v>300</v>
      </c>
      <c r="F33" s="5" t="s">
        <v>578</v>
      </c>
      <c r="G33" s="9" t="s">
        <v>2127</v>
      </c>
      <c r="H33" s="9" t="s">
        <v>626</v>
      </c>
    </row>
    <row r="34" customFormat="false" ht="15" hidden="false" customHeight="false" outlineLevel="0" collapsed="false">
      <c r="B34" s="9" t="s">
        <v>90</v>
      </c>
      <c r="C34" s="5" t="n">
        <v>1</v>
      </c>
      <c r="D34" s="5" t="s">
        <v>560</v>
      </c>
      <c r="E34" s="5" t="n">
        <v>100</v>
      </c>
      <c r="F34" s="5" t="s">
        <v>560</v>
      </c>
      <c r="G34" s="9" t="s">
        <v>2128</v>
      </c>
      <c r="H34" s="9" t="s">
        <v>650</v>
      </c>
    </row>
    <row r="35" customFormat="false" ht="15" hidden="false" customHeight="false" outlineLevel="0" collapsed="false">
      <c r="B35" s="9" t="s">
        <v>90</v>
      </c>
      <c r="C35" s="5" t="n">
        <v>2</v>
      </c>
      <c r="D35" s="5" t="s">
        <v>569</v>
      </c>
      <c r="E35" s="5" t="n">
        <v>200</v>
      </c>
      <c r="F35" s="5" t="s">
        <v>569</v>
      </c>
      <c r="G35" s="9" t="s">
        <v>2129</v>
      </c>
      <c r="H35" s="9" t="s">
        <v>653</v>
      </c>
    </row>
    <row r="36" customFormat="false" ht="15" hidden="false" customHeight="false" outlineLevel="0" collapsed="false">
      <c r="B36" s="9" t="s">
        <v>90</v>
      </c>
      <c r="C36" s="5" t="n">
        <v>3</v>
      </c>
      <c r="D36" s="5" t="s">
        <v>578</v>
      </c>
      <c r="E36" s="5" t="n">
        <v>300</v>
      </c>
      <c r="F36" s="5" t="s">
        <v>578</v>
      </c>
      <c r="G36" s="9" t="s">
        <v>2130</v>
      </c>
      <c r="H36" s="9" t="s">
        <v>655</v>
      </c>
    </row>
    <row r="37" customFormat="false" ht="15" hidden="false" customHeight="false" outlineLevel="0" collapsed="false">
      <c r="B37" s="9" t="s">
        <v>108</v>
      </c>
      <c r="C37" s="5" t="n">
        <v>1</v>
      </c>
      <c r="D37" s="5" t="s">
        <v>685</v>
      </c>
      <c r="E37" s="5" t="n">
        <v>50</v>
      </c>
      <c r="F37" s="5" t="s">
        <v>685</v>
      </c>
      <c r="G37" s="9" t="s">
        <v>2131</v>
      </c>
      <c r="H37" s="9" t="s">
        <v>686</v>
      </c>
    </row>
    <row r="38" customFormat="false" ht="15" hidden="false" customHeight="false" outlineLevel="0" collapsed="false">
      <c r="B38" s="9" t="s">
        <v>108</v>
      </c>
      <c r="C38" s="5" t="n">
        <v>2</v>
      </c>
      <c r="D38" s="5" t="s">
        <v>692</v>
      </c>
      <c r="E38" s="5" t="n">
        <v>100</v>
      </c>
      <c r="F38" s="5" t="s">
        <v>692</v>
      </c>
      <c r="G38" s="9" t="s">
        <v>2132</v>
      </c>
      <c r="H38" s="9" t="s">
        <v>688</v>
      </c>
    </row>
    <row r="39" customFormat="false" ht="15" hidden="false" customHeight="false" outlineLevel="0" collapsed="false">
      <c r="B39" s="9" t="s">
        <v>108</v>
      </c>
      <c r="C39" s="5" t="n">
        <v>3</v>
      </c>
      <c r="D39" s="5" t="s">
        <v>703</v>
      </c>
      <c r="E39" s="5" t="n">
        <v>150</v>
      </c>
      <c r="F39" s="5" t="s">
        <v>703</v>
      </c>
      <c r="G39" s="9" t="s">
        <v>2133</v>
      </c>
      <c r="H39" s="9" t="s">
        <v>690</v>
      </c>
    </row>
    <row r="40" customFormat="false" ht="15" hidden="false" customHeight="false" outlineLevel="0" collapsed="false">
      <c r="B40" s="9" t="s">
        <v>108</v>
      </c>
      <c r="C40" s="5" t="n">
        <v>4</v>
      </c>
      <c r="D40" s="5" t="s">
        <v>710</v>
      </c>
      <c r="E40" s="5" t="n">
        <v>200</v>
      </c>
      <c r="F40" s="5" t="s">
        <v>710</v>
      </c>
      <c r="G40" s="9" t="s">
        <v>2134</v>
      </c>
      <c r="H40" s="9" t="s">
        <v>693</v>
      </c>
    </row>
    <row r="41" customFormat="false" ht="15" hidden="false" customHeight="false" outlineLevel="0" collapsed="false">
      <c r="B41" s="9" t="s">
        <v>111</v>
      </c>
      <c r="C41" s="5" t="n">
        <v>1</v>
      </c>
      <c r="D41" s="5" t="s">
        <v>685</v>
      </c>
      <c r="E41" s="5" t="n">
        <v>50</v>
      </c>
      <c r="F41" s="5" t="s">
        <v>685</v>
      </c>
      <c r="G41" s="9" t="s">
        <v>2135</v>
      </c>
      <c r="H41" s="9" t="s">
        <v>723</v>
      </c>
    </row>
    <row r="42" customFormat="false" ht="15" hidden="false" customHeight="false" outlineLevel="0" collapsed="false">
      <c r="B42" s="9" t="s">
        <v>111</v>
      </c>
      <c r="C42" s="5" t="n">
        <v>2</v>
      </c>
      <c r="D42" s="5" t="s">
        <v>692</v>
      </c>
      <c r="E42" s="5" t="n">
        <v>100</v>
      </c>
      <c r="F42" s="5" t="s">
        <v>692</v>
      </c>
      <c r="G42" s="9" t="s">
        <v>2136</v>
      </c>
      <c r="H42" s="9" t="s">
        <v>725</v>
      </c>
    </row>
    <row r="43" customFormat="false" ht="15" hidden="false" customHeight="false" outlineLevel="0" collapsed="false">
      <c r="B43" s="9" t="s">
        <v>111</v>
      </c>
      <c r="C43" s="5" t="n">
        <v>3</v>
      </c>
      <c r="D43" s="5" t="s">
        <v>703</v>
      </c>
      <c r="E43" s="5" t="n">
        <v>150</v>
      </c>
      <c r="F43" s="5" t="s">
        <v>703</v>
      </c>
      <c r="G43" s="9" t="s">
        <v>2137</v>
      </c>
      <c r="H43" s="9" t="s">
        <v>727</v>
      </c>
    </row>
    <row r="44" customFormat="false" ht="15" hidden="false" customHeight="false" outlineLevel="0" collapsed="false">
      <c r="B44" s="9" t="s">
        <v>111</v>
      </c>
      <c r="C44" s="5" t="n">
        <v>4</v>
      </c>
      <c r="D44" s="5" t="s">
        <v>710</v>
      </c>
      <c r="E44" s="5" t="n">
        <v>200</v>
      </c>
      <c r="F44" s="5" t="s">
        <v>710</v>
      </c>
      <c r="G44" s="9" t="s">
        <v>2138</v>
      </c>
      <c r="H44" s="9" t="s">
        <v>729</v>
      </c>
    </row>
    <row r="45" customFormat="false" ht="22.35" hidden="false" customHeight="false" outlineLevel="0" collapsed="false">
      <c r="B45" s="9" t="s">
        <v>99</v>
      </c>
      <c r="C45" s="5" t="n">
        <v>1</v>
      </c>
      <c r="D45" s="5" t="s">
        <v>685</v>
      </c>
      <c r="E45" s="5" t="n">
        <v>50</v>
      </c>
      <c r="F45" s="5" t="s">
        <v>685</v>
      </c>
      <c r="G45" s="9" t="s">
        <v>2139</v>
      </c>
      <c r="H45" s="9" t="s">
        <v>757</v>
      </c>
    </row>
    <row r="46" customFormat="false" ht="22.35" hidden="false" customHeight="false" outlineLevel="0" collapsed="false">
      <c r="B46" s="9" t="s">
        <v>99</v>
      </c>
      <c r="C46" s="5" t="n">
        <v>2</v>
      </c>
      <c r="D46" s="5" t="s">
        <v>692</v>
      </c>
      <c r="E46" s="5" t="n">
        <v>100</v>
      </c>
      <c r="F46" s="5" t="s">
        <v>692</v>
      </c>
      <c r="G46" s="9" t="s">
        <v>2140</v>
      </c>
      <c r="H46" s="9" t="s">
        <v>759</v>
      </c>
    </row>
    <row r="47" customFormat="false" ht="22.35" hidden="false" customHeight="false" outlineLevel="0" collapsed="false">
      <c r="B47" s="9" t="s">
        <v>99</v>
      </c>
      <c r="C47" s="5" t="n">
        <v>3</v>
      </c>
      <c r="D47" s="5" t="s">
        <v>703</v>
      </c>
      <c r="E47" s="5" t="n">
        <v>150</v>
      </c>
      <c r="F47" s="5" t="s">
        <v>703</v>
      </c>
      <c r="G47" s="9" t="s">
        <v>2141</v>
      </c>
      <c r="H47" s="9" t="s">
        <v>761</v>
      </c>
    </row>
    <row r="48" customFormat="false" ht="22.35" hidden="false" customHeight="false" outlineLevel="0" collapsed="false">
      <c r="B48" s="9" t="s">
        <v>99</v>
      </c>
      <c r="C48" s="5" t="n">
        <v>4</v>
      </c>
      <c r="D48" s="5" t="s">
        <v>710</v>
      </c>
      <c r="E48" s="5" t="n">
        <v>200</v>
      </c>
      <c r="F48" s="5" t="s">
        <v>710</v>
      </c>
      <c r="G48" s="9" t="s">
        <v>2142</v>
      </c>
      <c r="H48" s="9" t="s">
        <v>763</v>
      </c>
    </row>
    <row r="49" customFormat="false" ht="15" hidden="false" customHeight="false" outlineLevel="0" collapsed="false">
      <c r="B49" s="9" t="s">
        <v>114</v>
      </c>
      <c r="C49" s="5" t="n">
        <v>1</v>
      </c>
      <c r="D49" s="5" t="s">
        <v>799</v>
      </c>
      <c r="E49" s="5" t="n">
        <v>3</v>
      </c>
      <c r="F49" s="5" t="s">
        <v>799</v>
      </c>
      <c r="G49" s="9" t="s">
        <v>2143</v>
      </c>
      <c r="H49" s="9" t="s">
        <v>801</v>
      </c>
    </row>
    <row r="50" customFormat="false" ht="15" hidden="false" customHeight="false" outlineLevel="0" collapsed="false">
      <c r="B50" s="9" t="s">
        <v>114</v>
      </c>
      <c r="C50" s="5" t="n">
        <v>2</v>
      </c>
      <c r="D50" s="5" t="s">
        <v>805</v>
      </c>
      <c r="E50" s="5" t="n">
        <v>6</v>
      </c>
      <c r="F50" s="5" t="s">
        <v>805</v>
      </c>
      <c r="G50" s="9" t="s">
        <v>2144</v>
      </c>
      <c r="H50" s="9" t="s">
        <v>803</v>
      </c>
    </row>
    <row r="51" customFormat="false" ht="15" hidden="false" customHeight="false" outlineLevel="0" collapsed="false">
      <c r="B51" s="9" t="s">
        <v>118</v>
      </c>
      <c r="C51" s="5" t="n">
        <v>1</v>
      </c>
      <c r="D51" s="5" t="s">
        <v>799</v>
      </c>
      <c r="E51" s="5" t="n">
        <v>3</v>
      </c>
      <c r="F51" s="5" t="s">
        <v>799</v>
      </c>
      <c r="G51" s="9" t="s">
        <v>2145</v>
      </c>
      <c r="H51" s="9" t="s">
        <v>812</v>
      </c>
    </row>
    <row r="52" customFormat="false" ht="15" hidden="false" customHeight="false" outlineLevel="0" collapsed="false">
      <c r="B52" s="9" t="s">
        <v>118</v>
      </c>
      <c r="C52" s="5" t="n">
        <v>2</v>
      </c>
      <c r="D52" s="5" t="s">
        <v>805</v>
      </c>
      <c r="E52" s="5" t="n">
        <v>6</v>
      </c>
      <c r="F52" s="5" t="s">
        <v>805</v>
      </c>
      <c r="G52" s="9" t="s">
        <v>2146</v>
      </c>
      <c r="H52" s="9" t="s">
        <v>814</v>
      </c>
    </row>
    <row r="53" customFormat="false" ht="15" hidden="false" customHeight="false" outlineLevel="0" collapsed="false">
      <c r="B53" s="9" t="s">
        <v>118</v>
      </c>
      <c r="C53" s="5" t="n">
        <v>3</v>
      </c>
      <c r="D53" s="5" t="s">
        <v>822</v>
      </c>
      <c r="E53" s="5" t="n">
        <v>9</v>
      </c>
      <c r="F53" s="5" t="s">
        <v>822</v>
      </c>
      <c r="G53" s="9" t="s">
        <v>2147</v>
      </c>
      <c r="H53" s="9" t="s">
        <v>816</v>
      </c>
    </row>
    <row r="54" customFormat="false" ht="15" hidden="false" customHeight="false" outlineLevel="0" collapsed="false">
      <c r="B54" s="9" t="s">
        <v>118</v>
      </c>
      <c r="C54" s="5" t="n">
        <v>4</v>
      </c>
      <c r="D54" s="5" t="s">
        <v>827</v>
      </c>
      <c r="E54" s="5" t="n">
        <v>12</v>
      </c>
      <c r="F54" s="5" t="s">
        <v>827</v>
      </c>
      <c r="G54" s="9" t="s">
        <v>2148</v>
      </c>
      <c r="H54" s="9" t="s">
        <v>818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2026-10-18T19:01:14Z</dcterms:created>
  <dc:creator>openpyxl</dc:creator>
  <dc:description/>
  <dc:language>en-US</dc:language>
  <cp:lastModifiedBy/>
  <dcterms:modified xsi:type="dcterms:W3CDTF">2026-10-18T19:01:25Z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